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https://imperiallondon.sharepoint.com/sites/InicioFinancial-CI/Shared Documents/General/Monthly reports/"/>
    </mc:Choice>
  </mc:AlternateContent>
  <xr:revisionPtr revIDLastSave="72" documentId="11_D01457857EB03B9B1031EABC0A7E4E3E4EFEECC9" xr6:coauthVersionLast="47" xr6:coauthVersionMax="47" xr10:uidLastSave="{A43205FE-3ECD-4BF8-A1D3-295DAD789835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F8" i="1"/>
  <c r="E8" i="1"/>
  <c r="G8" i="1"/>
  <c r="H8" i="1"/>
  <c r="D8" i="1"/>
  <c r="I7" i="1"/>
  <c r="D7" i="1"/>
  <c r="E7" i="1"/>
  <c r="F7" i="1"/>
  <c r="G7" i="1"/>
  <c r="H7" i="1"/>
</calcChain>
</file>

<file path=xl/sharedStrings.xml><?xml version="1.0" encoding="utf-8"?>
<sst xmlns="http://schemas.openxmlformats.org/spreadsheetml/2006/main" count="13" uniqueCount="13">
  <si>
    <t>spring 2024</t>
  </si>
  <si>
    <t xml:space="preserve">LEC viewers </t>
  </si>
  <si>
    <t>winter 2023</t>
  </si>
  <si>
    <t>summer 2023</t>
  </si>
  <si>
    <t>spring 2023</t>
  </si>
  <si>
    <t>winter 2022</t>
  </si>
  <si>
    <t>summer 2024</t>
  </si>
  <si>
    <t>hr watched</t>
  </si>
  <si>
    <t>hr streamed</t>
  </si>
  <si>
    <t>view</t>
  </si>
  <si>
    <t>tt</t>
  </si>
  <si>
    <t>Adjusting our League of Legends Esports Strategy in 2024 | Riot Games</t>
  </si>
  <si>
    <t>LEC salary cap and financial regulations implemented (esports-news.co.uk)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</si>
</sst>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BFBFCB"/>
      <name val="Arial"/>
      <family val="2"/>
    </font>
    <font>
      <sz val="9"/>
      <color rgb="FFBFBFCB"/>
      <name val="Arial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Sheet1!$F$8:$I$8</c:f>
              <c:numCache>
                <c:formatCode>General</c:formatCode>
                <c:ptCount val="4"/>
                <c:pt idx="0">
                  <c:v>16177243</c:v>
                </c:pt>
                <c:pt idx="1">
                  <c:v>30756583</c:v>
                </c:pt>
                <c:pt idx="2">
                  <c:v>21348847</c:v>
                </c:pt>
                <c:pt idx="3">
                  <c:v>37326912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B4-4B61-9A45-26F8599444D7}"/>
            </c:ext>
          </c:extLst>
        </c:ser>
        <c:ser>
          <c:idx val="0"/>
          <c:order val="2"/>
          <c:tx>
            <c:strRef>
              <c:f>Sheet1!$C$5</c:f>
              <c:strCache>
                <c:ptCount val="1"/>
                <c:pt idx="0">
                  <c:v>hr watched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Sheet1!$F$4:$I$4</c:f>
              <c:strCache>
                <c:ptCount val="4"/>
                <c:pt idx="0">
                  <c:v>summer 2023</c:v>
                </c:pt>
                <c:pt idx="1">
                  <c:v>winter 2023</c:v>
                </c:pt>
                <c:pt idx="2">
                  <c:v>spring 2024</c:v>
                </c:pt>
                <c:pt idx="3">
                  <c:v>summer 2024</c:v>
                </c:pt>
              </c:strCache>
            </c:strRef>
          </c:cat>
          <c:val>
            <c:numRef>
              <c:f>Sheet1!$F$5:$I$5</c:f>
              <c:numCache>
                <c:formatCode>General</c:formatCode>
                <c:ptCount val="4"/>
                <c:pt idx="0">
                  <c:v>16177243</c:v>
                </c:pt>
                <c:pt idx="1">
                  <c:v>30756583</c:v>
                </c:pt>
                <c:pt idx="2">
                  <c:v>21348847</c:v>
                </c:pt>
                <c:pt idx="3">
                  <c:v>7326912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4-4B61-9A45-26F859944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2871071"/>
        <c:axId val="506288095"/>
      </c:barChart>
      <c:lineChart>
        <c:grouping val="standard"/>
        <c:varyColors val="0"/>
        <c:ser>
          <c:idx val="2"/>
          <c:order val="0"/>
          <c:tx>
            <c:strRef>
              <c:f>Sheet1!$C$7</c:f>
              <c:strCache>
                <c:ptCount val="1"/>
                <c:pt idx="0">
                  <c:v>view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1"/>
            <c:dispRSqr val="0"/>
            <c:dispEq val="0"/>
          </c:trendline>
          <c:cat>
            <c:strRef>
              <c:f>Sheet1!$F$4:$I$4</c:f>
              <c:strCache>
                <c:ptCount val="4"/>
                <c:pt idx="0">
                  <c:v>summer 2023</c:v>
                </c:pt>
                <c:pt idx="1">
                  <c:v>winter 2023</c:v>
                </c:pt>
                <c:pt idx="2">
                  <c:v>spring 2024</c:v>
                </c:pt>
                <c:pt idx="3">
                  <c:v>summer 2024</c:v>
                </c:pt>
              </c:strCache>
            </c:strRef>
          </c:cat>
          <c:val>
            <c:numRef>
              <c:f>Sheet1!$F$7:$H$7</c:f>
              <c:numCache>
                <c:formatCode>General</c:formatCode>
                <c:ptCount val="3"/>
                <c:pt idx="0">
                  <c:v>172098.32978723405</c:v>
                </c:pt>
                <c:pt idx="1">
                  <c:v>337984.42857142858</c:v>
                </c:pt>
                <c:pt idx="2">
                  <c:v>266860.58750000002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B4-4B61-9A45-26F859944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647759"/>
        <c:axId val="898219743"/>
      </c:lineChart>
      <c:catAx>
        <c:axId val="50287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288095"/>
        <c:crosses val="autoZero"/>
        <c:auto val="1"/>
        <c:lblAlgn val="ctr"/>
        <c:lblOffset val="100"/>
        <c:noMultiLvlLbl val="0"/>
      </c:catAx>
      <c:valAx>
        <c:axId val="50628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871071"/>
        <c:crosses val="autoZero"/>
        <c:crossBetween val="between"/>
      </c:valAx>
      <c:valAx>
        <c:axId val="8982197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647759"/>
        <c:crosses val="max"/>
        <c:crossBetween val="between"/>
      </c:valAx>
      <c:catAx>
        <c:axId val="9756477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82197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10</xdr:row>
      <xdr:rowOff>14287</xdr:rowOff>
    </xdr:from>
    <xdr:to>
      <xdr:col>11</xdr:col>
      <xdr:colOff>0</xdr:colOff>
      <xdr:row>24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506154-5E6D-81E1-9A38-BB243ECE2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sports-news.co.uk/2023/09/28/lec-salary-cap-financial-regulations/" TargetMode="External"/><Relationship Id="rId1" Type="http://schemas.openxmlformats.org/officeDocument/2006/relationships/hyperlink" Target="https://www.riotgames.com/en/news/lol-esports-strategy-adjustments-202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L8"/>
  <sheetViews>
    <sheetView tabSelected="1" workbookViewId="0">
      <selection activeCell="N21" sqref="N21"/>
    </sheetView>
  </sheetViews>
  <sheetFormatPr defaultRowHeight="15" x14ac:dyDescent="0.25"/>
  <sheetData>
    <row r="3" spans="3:12" x14ac:dyDescent="0.25">
      <c r="C3" t="s">
        <v>1</v>
      </c>
    </row>
    <row r="4" spans="3:12" x14ac:dyDescent="0.25">
      <c r="D4" t="s">
        <v>5</v>
      </c>
      <c r="E4" t="s">
        <v>4</v>
      </c>
      <c r="F4" t="s">
        <v>3</v>
      </c>
      <c r="G4" t="s">
        <v>2</v>
      </c>
      <c r="H4" t="s">
        <v>0</v>
      </c>
      <c r="I4" t="s">
        <v>6</v>
      </c>
    </row>
    <row r="5" spans="3:12" x14ac:dyDescent="0.25">
      <c r="C5" t="s">
        <v>7</v>
      </c>
      <c r="D5">
        <v>25599476</v>
      </c>
      <c r="E5">
        <v>21426163</v>
      </c>
      <c r="F5" s="2">
        <v>16177243</v>
      </c>
      <c r="G5" s="1">
        <v>30756583</v>
      </c>
      <c r="H5">
        <v>21348847</v>
      </c>
      <c r="I5">
        <v>7326912</v>
      </c>
      <c r="L5" s="3" t="s">
        <v>11</v>
      </c>
    </row>
    <row r="6" spans="3:12" x14ac:dyDescent="0.25">
      <c r="C6" t="s">
        <v>8</v>
      </c>
      <c r="D6">
        <v>95</v>
      </c>
      <c r="E6">
        <v>98</v>
      </c>
      <c r="F6">
        <v>94</v>
      </c>
      <c r="G6">
        <v>91</v>
      </c>
      <c r="H6">
        <v>80</v>
      </c>
      <c r="I6">
        <v>33</v>
      </c>
    </row>
    <row r="7" spans="3:12" x14ac:dyDescent="0.25">
      <c r="C7" t="s">
        <v>9</v>
      </c>
      <c r="D7">
        <f>D5/D6</f>
        <v>269468.16842105263</v>
      </c>
      <c r="E7">
        <f>E5/E6</f>
        <v>218634.31632653062</v>
      </c>
      <c r="F7">
        <f>F5/F6</f>
        <v>172098.32978723405</v>
      </c>
      <c r="G7">
        <f>G5/G6</f>
        <v>337984.42857142858</v>
      </c>
      <c r="H7">
        <f>H5/H6</f>
        <v>266860.58750000002</v>
      </c>
      <c r="I7">
        <f>I5/I6</f>
        <v>222027.63636363635</v>
      </c>
      <c r="L7" s="3" t="s">
        <v>12</v>
      </c>
    </row>
    <row r="8" spans="3:12" x14ac:dyDescent="0.25">
      <c r="C8" t="s">
        <v>10</v>
      </c>
      <c r="D8">
        <f>D5</f>
        <v>25599476</v>
      </c>
      <c r="E8">
        <f t="shared" ref="E8:I8" si="0">E5</f>
        <v>21426163</v>
      </c>
      <c r="F8">
        <f>F5</f>
        <v>16177243</v>
      </c>
      <c r="G8">
        <f t="shared" si="0"/>
        <v>30756583</v>
      </c>
      <c r="H8">
        <f t="shared" si="0"/>
        <v>21348847</v>
      </c>
      <c r="I8">
        <f>I5+30000000</f>
        <v>37326912</v>
      </c>
    </row>
  </sheetData>
  <hyperlinks>
    <hyperlink ref="L5" r:id="rId1" display="https://www.riotgames.com/en/news/lol-esports-strategy-adjustments-2024" xr:uid="{08090A5B-9188-4FF4-8919-CDFD8981CEAB}"/>
    <hyperlink ref="L7" r:id="rId2" display="https://esports-news.co.uk/2023/09/28/lec-salary-cap-financial-regulations/" xr:uid="{92401FF3-11CE-439F-82F8-4D6B39EDF25A}"/>
  </hyperlinks>
  <pageMargins left="0.7" right="0.7" top="0.75" bottom="0.75" header="0.3" footer="0.3"/>
  <pageSetup paperSize="9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c390ba-ccc1-4a97-8ed5-e6130fdb8bb2">
      <Terms xmlns="http://schemas.microsoft.com/office/infopath/2007/PartnerControls"/>
    </lcf76f155ced4ddcb4097134ff3c332f>
    <TaxCatchAll xmlns="6474e229-2bef-48fc-98c6-dfaf0db62f0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DE78237E5BD43BF0CE567A8265D11" ma:contentTypeVersion="11" ma:contentTypeDescription="Create a new document." ma:contentTypeScope="" ma:versionID="5567f670ed4d1c84974d99644a3ea51e">
  <xsd:schema xmlns:xsd="http://www.w3.org/2001/XMLSchema" xmlns:xs="http://www.w3.org/2001/XMLSchema" xmlns:p="http://schemas.microsoft.com/office/2006/metadata/properties" xmlns:ns2="37c390ba-ccc1-4a97-8ed5-e6130fdb8bb2" xmlns:ns3="6474e229-2bef-48fc-98c6-dfaf0db62f0f" targetNamespace="http://schemas.microsoft.com/office/2006/metadata/properties" ma:root="true" ma:fieldsID="2dc838be0319862c61f2214a1cfe9000" ns2:_="" ns3:_="">
    <xsd:import namespace="37c390ba-ccc1-4a97-8ed5-e6130fdb8bb2"/>
    <xsd:import namespace="6474e229-2bef-48fc-98c6-dfaf0db62f0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390ba-ccc1-4a97-8ed5-e6130fdb8bb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74e229-2bef-48fc-98c6-dfaf0db62f0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1dd08a0-46ed-48f9-87fa-ffc2a8469090}" ma:internalName="TaxCatchAll" ma:showField="CatchAllData" ma:web="6474e229-2bef-48fc-98c6-dfaf0db62f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8C471B-2916-4999-93AE-C582559C645A}">
  <ds:schemaRefs>
    <ds:schemaRef ds:uri="http://purl.org/dc/dcmitype/"/>
    <ds:schemaRef ds:uri="http://schemas.microsoft.com/office/2006/documentManagement/types"/>
    <ds:schemaRef ds:uri="6474e229-2bef-48fc-98c6-dfaf0db62f0f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7c390ba-ccc1-4a97-8ed5-e6130fdb8bb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AC6BEAE-2CC6-4BE6-BD55-E038715373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FBD5BB-3044-46C0-BA11-5D7811029D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c390ba-ccc1-4a97-8ed5-e6130fdb8bb2"/>
    <ds:schemaRef ds:uri="6474e229-2bef-48fc-98c6-dfaf0db62f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Amann, Guillaume J</cp:lastModifiedBy>
  <cp:revision/>
  <dcterms:created xsi:type="dcterms:W3CDTF">2024-06-24T23:30:28Z</dcterms:created>
  <dcterms:modified xsi:type="dcterms:W3CDTF">2024-06-27T20:55:47Z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0x01010048FDE78237E5BD43BF0CE567A8265D11</vt:lpwstr>
  </property>
  <property fmtid="{D5CDD505-2E9C-101B-9397-08002B2CF9AE}" pid="3" name="MediaServiceImageTags">
    <vt:lpwstr/>
  </property>
</Properties>
</file>