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filterPrivacy="1"/>
  <xr:revisionPtr revIDLastSave="0" documentId="13_ncr:1_{0B094697-FFF8-3C45-9A9A-A01CD2CF3102}" xr6:coauthVersionLast="47" xr6:coauthVersionMax="47" xr10:uidLastSave="{00000000-0000-0000-0000-000000000000}"/>
  <bookViews>
    <workbookView xWindow="280" yWindow="500" windowWidth="28520" windowHeight="15900" xr2:uid="{D7FF0FB4-8B6D-134D-B25B-3F737394D2A9}"/>
  </bookViews>
  <sheets>
    <sheet name="Key Stats" sheetId="1" r:id="rId1"/>
    <sheet name="Income Statement" sheetId="2" r:id="rId2"/>
    <sheet name="Balance Sheet" sheetId="3" r:id="rId3"/>
    <sheet name="Cash Flow" sheetId="4" r:id="rId4"/>
    <sheet name="Multiples" sheetId="5" r:id="rId5"/>
    <sheet name="Historical Capitalization" sheetId="6" r:id="rId6"/>
    <sheet name="Capital Structure Summary" sheetId="7" r:id="rId7"/>
    <sheet name="Capital Structure Details" sheetId="8" r:id="rId8"/>
    <sheet name="Ratios" sheetId="9" r:id="rId9"/>
    <sheet name="Segments" sheetId="13" r:id="rId10"/>
  </sheets>
  <definedNames>
    <definedName name="fcff">'Key Stats'!$J$35</definedName>
    <definedName name="_xlnm.Print_Area" localSheetId="0">'Key Stats'!$A$1:$K$61</definedName>
    <definedName name="_xlnm.Print_Titles" localSheetId="2">'Balance Sheet'!$1:$3</definedName>
    <definedName name="_xlnm.Print_Titles" localSheetId="7">'Capital Structure Details'!$1:$3</definedName>
    <definedName name="_xlnm.Print_Titles" localSheetId="6">'Capital Structure Summary'!$1:$3</definedName>
    <definedName name="_xlnm.Print_Titles" localSheetId="3">'Cash Flow'!$1:$3</definedName>
    <definedName name="_xlnm.Print_Titles" localSheetId="5">'Historical Capitalization'!$1:$3</definedName>
    <definedName name="_xlnm.Print_Titles" localSheetId="1">'Income Statement'!$1:$3</definedName>
    <definedName name="_xlnm.Print_Titles" localSheetId="0">'Key Stats'!$2:$4</definedName>
    <definedName name="_xlnm.Print_Titles" localSheetId="4">Multiples!$1:$3</definedName>
    <definedName name="_xlnm.Print_Titles" localSheetId="8">Ratios!$1:$3</definedName>
    <definedName name="_xlnm.Print_Titles" localSheetId="9">Segments!$1:$3</definedName>
    <definedName name="tgr">'Key Stats'!$J$45</definedName>
    <definedName name="wacc">'Key Stats'!$J$46</definedName>
  </definedNames>
  <calcPr calcId="191029" iterateDelta="9.9999999999994451E-4"/>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6" i="1" l="1"/>
  <c r="G52" i="1"/>
  <c r="G49" i="1"/>
  <c r="G56" i="1"/>
  <c r="G57" i="1"/>
  <c r="G58" i="1"/>
  <c r="H26" i="1"/>
  <c r="I26" i="1" s="1"/>
  <c r="H29" i="1"/>
  <c r="I29" i="1" s="1"/>
  <c r="H32" i="1"/>
  <c r="I32" i="1" s="1"/>
  <c r="G32" i="1"/>
  <c r="G29" i="1"/>
  <c r="G26" i="1"/>
  <c r="H23" i="1"/>
  <c r="I23" i="1" s="1"/>
  <c r="G23" i="1"/>
  <c r="G20" i="1"/>
  <c r="H20" i="1" s="1"/>
  <c r="H17" i="1"/>
  <c r="H18" i="1" s="1"/>
  <c r="G17" i="1"/>
  <c r="G35" i="1"/>
  <c r="H35" i="1" s="1"/>
  <c r="C35" i="1" a="1"/>
  <c r="C35" i="1" s="1"/>
  <c r="G50" i="1"/>
  <c r="G45" i="1"/>
  <c r="G53" i="1"/>
  <c r="G47" i="1"/>
  <c r="G44" i="1"/>
  <c r="J26" i="1" l="1"/>
  <c r="J29" i="1"/>
  <c r="J32" i="1"/>
  <c r="J23" i="1"/>
  <c r="G21" i="1"/>
  <c r="H21" i="1"/>
  <c r="I20" i="1"/>
  <c r="I21" i="1" s="1"/>
  <c r="G24" i="1"/>
  <c r="I35" i="1"/>
  <c r="J35" i="1" s="1"/>
  <c r="I17" i="1"/>
  <c r="I18" i="1" s="1"/>
  <c r="G18" i="1"/>
  <c r="H33" i="1"/>
  <c r="H27" i="1"/>
  <c r="H24" i="1"/>
  <c r="H30" i="1"/>
  <c r="G33" i="1"/>
  <c r="G30" i="1"/>
  <c r="G27" i="1"/>
  <c r="G48" i="1"/>
  <c r="H36" i="1" l="1"/>
  <c r="I36" i="1"/>
  <c r="G36" i="1"/>
  <c r="J20" i="1"/>
  <c r="J21" i="1" s="1"/>
  <c r="I30" i="1"/>
  <c r="I27" i="1"/>
  <c r="J17" i="1"/>
  <c r="J18" i="1" s="1"/>
  <c r="J36" i="1"/>
  <c r="G55" i="1"/>
  <c r="G60" i="1" s="1"/>
  <c r="I33" i="1"/>
  <c r="I24" i="1"/>
  <c r="J33" i="1" l="1"/>
  <c r="J27" i="1"/>
  <c r="J24" i="1"/>
  <c r="J3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<sst xmlns="http://schemas.openxmlformats.org/spreadsheetml/2006/main" count="1439" uniqueCount="532">
  <si>
    <t>Silkeborg IF Invest A/S (CPSE:SIF) &gt; Financials &gt; Key Stats</t>
  </si>
  <si>
    <t>In Millions of the trading currency, except per share items.</t>
  </si>
  <si>
    <t>Currency:</t>
  </si>
  <si>
    <t>Trading Currency</t>
  </si>
  <si>
    <t> </t>
  </si>
  <si>
    <t>Conversion:</t>
  </si>
  <si>
    <t>Historical</t>
  </si>
  <si>
    <t>Order:</t>
  </si>
  <si>
    <t>Latest on Right</t>
  </si>
  <si>
    <t>Units:</t>
  </si>
  <si>
    <t>S&amp;P Capital IQ (Default)</t>
  </si>
  <si>
    <t>Decimals:</t>
  </si>
  <si>
    <t>Capital IQ (Default)</t>
  </si>
  <si>
    <t>Dilution:</t>
  </si>
  <si>
    <t>Basic</t>
  </si>
  <si>
    <t>Key Financials¹</t>
  </si>
  <si>
    <t xml:space="preserve">For the Fiscal Period Ending
</t>
  </si>
  <si>
    <t>12 months
Dec-31-2019A</t>
  </si>
  <si>
    <t>12 months
Dec-31-2020A</t>
  </si>
  <si>
    <t>12 months
Dec-31-2021A</t>
  </si>
  <si>
    <t>12 months
Dec-31-2022A</t>
  </si>
  <si>
    <t>12 months
Dec-31-2023A</t>
  </si>
  <si>
    <t>Currency</t>
  </si>
  <si>
    <t>DKK</t>
  </si>
  <si>
    <t>Total Revenue</t>
  </si>
  <si>
    <t xml:space="preserve">  Growth Over Prior Year</t>
  </si>
  <si>
    <t>Gross Profit</t>
  </si>
  <si>
    <t xml:space="preserve">  Margin %</t>
  </si>
  <si>
    <t>EBITDA</t>
  </si>
  <si>
    <t>EBIT</t>
  </si>
  <si>
    <t>Earnings from Cont. Ops.</t>
  </si>
  <si>
    <t>Net Income</t>
  </si>
  <si>
    <t xml:space="preserve"> </t>
  </si>
  <si>
    <t>¹All results are taken from the most recently filed statement for each period. When there has been more than one, earlier filings can be viewed on the individual statement pages.</t>
  </si>
  <si>
    <t>Growth Rates are calculated in originally reported currency only and will not reflect any currency conversion selected above.</t>
  </si>
  <si>
    <t>Latest Capitalization (Millions of DKK)</t>
  </si>
  <si>
    <t>Share Price</t>
  </si>
  <si>
    <t>Shares Out.</t>
  </si>
  <si>
    <t>Market Capitalization</t>
  </si>
  <si>
    <t>- Cash &amp; Short Term Investments</t>
  </si>
  <si>
    <t>+ Total Debt</t>
  </si>
  <si>
    <t>+ Pref. Equity</t>
  </si>
  <si>
    <t>-</t>
  </si>
  <si>
    <t>+ Total Minority Interest</t>
  </si>
  <si>
    <t>- Long Term Marketable Securities</t>
  </si>
  <si>
    <t>= Total Enterprise Value (TEV)</t>
  </si>
  <si>
    <t>Book Value of Common Equity</t>
  </si>
  <si>
    <t>= Total Capital</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</si>
  <si>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</si>
  <si>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</si>
  <si>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</si>
  <si>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</si>
  <si>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</si>
  <si>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</si>
  <si>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TEV/Total Revenue</t>
  </si>
  <si>
    <t>TEV/EBITDA</t>
  </si>
  <si>
    <t>TEV/EBIT</t>
  </si>
  <si>
    <t>P/Diluted EPS Before Extra</t>
  </si>
  <si>
    <t>P/BV</t>
  </si>
  <si>
    <t>Price/Tang BV</t>
  </si>
  <si>
    <t xml:space="preserve">
               </t>
  </si>
  <si>
    <t>Silkeborg IF Invest A/S (CPSE:SIF) &gt; Financials &gt; Income Statement</t>
  </si>
  <si>
    <t>In Millions of the reported currency, except per share items.</t>
  </si>
  <si>
    <t>Template:</t>
  </si>
  <si>
    <t>Standard</t>
  </si>
  <si>
    <t>Restatement:</t>
  </si>
  <si>
    <t>Latest Filings</t>
  </si>
  <si>
    <t>Period Type:</t>
  </si>
  <si>
    <t>Annual</t>
  </si>
  <si>
    <t>Order:</t>
  </si>
  <si>
    <t>Currency:</t>
  </si>
  <si>
    <t>Reported Currency</t>
  </si>
  <si>
    <t>Conversion:</t>
  </si>
  <si>
    <t>Units:</t>
  </si>
  <si>
    <t>Decimals:</t>
  </si>
  <si>
    <t>Source:</t>
  </si>
  <si>
    <t>Capital IQ &amp; Proprietary Data</t>
  </si>
  <si>
    <t>Income Statement</t>
  </si>
  <si>
    <t>12 months
Dec-31-2018</t>
  </si>
  <si>
    <t>12 months
Dec-31-2019</t>
  </si>
  <si>
    <t>12 months
Dec-31-2020</t>
  </si>
  <si>
    <t>Reclassified
12 months
Dec-31-2021</t>
  </si>
  <si>
    <t>Reclassified
12 months
Dec-31-2022</t>
  </si>
  <si>
    <t>12 months
Dec-31-2023</t>
  </si>
  <si>
    <t>Revenue</t>
  </si>
  <si>
    <t>Other Revenue</t>
  </si>
  <si>
    <t xml:space="preserve">  Total Revenue</t>
  </si>
  <si>
    <t>Cost Of Goods Sold</t>
  </si>
  <si>
    <t xml:space="preserve">  Gross Profit</t>
  </si>
  <si>
    <t>Selling General &amp; Admin Exp.</t>
  </si>
  <si>
    <t>R &amp; D Exp.</t>
  </si>
  <si>
    <t>Depreciation &amp; Amort.</t>
  </si>
  <si>
    <t>Other Operating Expense/(Income)</t>
  </si>
  <si>
    <t xml:space="preserve">  Other Operating Exp., Total</t>
  </si>
  <si>
    <t xml:space="preserve">  Operating Income</t>
  </si>
  <si>
    <t>Interest Expense</t>
  </si>
  <si>
    <t>Interest and Invest. Income</t>
  </si>
  <si>
    <t xml:space="preserve">  Net Interest Exp.</t>
  </si>
  <si>
    <t>Other Non-Operating Inc. (Exp.)</t>
  </si>
  <si>
    <t xml:space="preserve">  EBT Excl. Unusual Items</t>
  </si>
  <si>
    <t>Impairment of Goodwill</t>
  </si>
  <si>
    <t>Gain (Loss) On Sale Of Assets</t>
  </si>
  <si>
    <t>Asset Writedown</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</si>
  <si>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</si>
  <si>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</si>
  <si>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</si>
  <si>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</si>
  <si>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</si>
  <si>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</si>
  <si>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</si>
  <si>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</si>
  <si>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</si>
  <si>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</si>
  <si>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</si>
  <si>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</si>
  <si>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</si>
  <si>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</si>
  <si>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</si>
  <si>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</si>
  <si>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</si>
  <si>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</si>
  <si>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</si>
  <si>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</si>
  <si>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</si>
  <si>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</si>
  <si>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NA</t>
  </si>
  <si>
    <t>Supplemental Items</t>
  </si>
  <si>
    <t>EBITA</t>
  </si>
  <si>
    <t>EBITDAR</t>
  </si>
  <si>
    <t>Effective Tax Rate %</t>
  </si>
  <si>
    <t>Current Domestic Taxes</t>
  </si>
  <si>
    <t>Total Current Taxes</t>
  </si>
  <si>
    <t>Deferred Domestic Taxes</t>
  </si>
  <si>
    <t>Total Deferred Taxes</t>
  </si>
  <si>
    <t>Normalized Net Income</t>
  </si>
  <si>
    <t>Interest on Long Term Debt</t>
  </si>
  <si>
    <t>Filing Date</t>
  </si>
  <si>
    <t>Restatement Type</t>
  </si>
  <si>
    <t>NC</t>
  </si>
  <si>
    <t>RC</t>
  </si>
  <si>
    <t>O</t>
  </si>
  <si>
    <t>Calculation Type</t>
  </si>
  <si>
    <t>REP</t>
  </si>
  <si>
    <t>Supplemental Operating Expense Items</t>
  </si>
  <si>
    <t>Net Rental Exp.</t>
  </si>
  <si>
    <t>Imputed Oper. Lease Interest Exp.</t>
  </si>
  <si>
    <t>Imputed Oper. Lease Depreciation</t>
  </si>
  <si>
    <t>Note: For multiple class companies, per share items are primary class equivalent, and for foreign companies listed as primary ADRs, per share items are ADR-equivalent.</t>
  </si>
  <si>
    <t>Silkeborg IF Invest A/S (CPSE:SIF) &gt; Financials &gt; Balance Sheet</t>
  </si>
  <si>
    <t>In Millions of the reported currency, except per share items.</t>
  </si>
  <si>
    <t>Template:</t>
  </si>
  <si>
    <t>Restatement:</t>
  </si>
  <si>
    <t>Period Type:</t>
  </si>
  <si>
    <t>Order:</t>
  </si>
  <si>
    <t>Currency:</t>
  </si>
  <si>
    <t>Conversion:</t>
  </si>
  <si>
    <t>Units:</t>
  </si>
  <si>
    <t>Decimals:</t>
  </si>
  <si>
    <t>Source:</t>
  </si>
  <si>
    <t>Balance Sheet</t>
  </si>
  <si>
    <t xml:space="preserve">Balance Sheet as of:
</t>
  </si>
  <si>
    <t>ASSETS</t>
  </si>
  <si>
    <t>Cash And Equivalents</t>
  </si>
  <si>
    <t>Short Term Investments</t>
  </si>
  <si>
    <t xml:space="preserve">  Total Cash &amp; ST Investments</t>
  </si>
  <si>
    <t>Accounts Receivable</t>
  </si>
  <si>
    <t>Other Receivables</t>
  </si>
  <si>
    <t xml:space="preserve">  Total Receivables</t>
  </si>
  <si>
    <t>Inventory</t>
  </si>
  <si>
    <t>Other Current Assets</t>
  </si>
  <si>
    <t xml:space="preserve">  Total Current Assets</t>
  </si>
  <si>
    <t>Gross Property, Plant &amp; Equipment</t>
  </si>
  <si>
    <t>Accumulated Depreciation</t>
  </si>
  <si>
    <t xml:space="preserve">  Net Property, Plant &amp; Equipment</t>
  </si>
  <si>
    <t>Other Intangibles</t>
  </si>
  <si>
    <t>Other Long-Term Assets</t>
  </si>
  <si>
    <t>Total Assets</t>
  </si>
  <si>
    <t>LIABILITIES</t>
  </si>
  <si>
    <t>Accounts Payable</t>
  </si>
  <si>
    <t>Accrued Exp.</t>
  </si>
  <si>
    <t>Short-term Borrowings</t>
  </si>
  <si>
    <t>Curr. Port. of LT Debt</t>
  </si>
  <si>
    <t>Curr. Port. of Leases</t>
  </si>
  <si>
    <t>Curr. Income Taxes Payable</t>
  </si>
  <si>
    <t>Unearned Revenue, Current</t>
  </si>
  <si>
    <t>Other Current Liabilities</t>
  </si>
  <si>
    <t xml:space="preserve">  Total Current Liabilities</t>
  </si>
  <si>
    <t>Long-Term Debt</t>
  </si>
  <si>
    <t>Long-Term Leases</t>
  </si>
  <si>
    <t>Unearned Revenue, Non-Current</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</si>
  <si>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</si>
  <si>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</si>
  <si>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</si>
  <si>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</si>
  <si>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</si>
  <si>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</si>
  <si>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</si>
  <si>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</si>
  <si>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</si>
  <si>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</si>
  <si>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</si>
  <si>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</si>
  <si>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</si>
  <si>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</si>
  <si>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</si>
  <si>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</si>
  <si>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</si>
  <si>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</si>
  <si>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Equivalent Oper. Leases</t>
  </si>
  <si>
    <t>Inventory Method</t>
  </si>
  <si>
    <t>Avg Cost</t>
  </si>
  <si>
    <t>Raw Materials Inventory</t>
  </si>
  <si>
    <t>Finished Goods Inventory</t>
  </si>
  <si>
    <t>Land</t>
  </si>
  <si>
    <t>Machinery</t>
  </si>
  <si>
    <t>Leasehold Improvements</t>
  </si>
  <si>
    <t>Full Time Employees</t>
  </si>
  <si>
    <t>Accum. Allowance for Doubtful Accts</t>
  </si>
  <si>
    <t>Note: For multiple class companies, total share counts are primary class equivalent, and for foreign companies listed as primary ADRs, total share counts are ADR-equivalent.</t>
  </si>
  <si>
    <t>Silkeborg IF Invest A/S (CPSE:SIF) &gt; Financials &gt; Cash Flow</t>
  </si>
  <si>
    <t>In Millions of the reported currency, except per share items.</t>
  </si>
  <si>
    <t>Template:</t>
  </si>
  <si>
    <t>Restatement:</t>
  </si>
  <si>
    <t>Period Type:</t>
  </si>
  <si>
    <t>Order:</t>
  </si>
  <si>
    <t>Currency:</t>
  </si>
  <si>
    <t>Conversion:</t>
  </si>
  <si>
    <t>Units:</t>
  </si>
  <si>
    <t>Decimals:</t>
  </si>
  <si>
    <t>Source:</t>
  </si>
  <si>
    <t>Cash Flow</t>
  </si>
  <si>
    <t>Restated
12 months
Dec-31-2019</t>
  </si>
  <si>
    <t>12 months
Dec-31-2021</t>
  </si>
  <si>
    <t>12 months
Dec-31-2022</t>
  </si>
  <si>
    <t>Amort. of Goodwill and Intangibles</t>
  </si>
  <si>
    <t>Depreciation &amp; Amort., Total</t>
  </si>
  <si>
    <t>Other Amortization</t>
  </si>
  <si>
    <t>Other Operating Activities</t>
  </si>
  <si>
    <t>Change in Acc. Receivable</t>
  </si>
  <si>
    <t>Change In Inventories</t>
  </si>
  <si>
    <t>Change in Other Net Operating Assets</t>
  </si>
  <si>
    <t xml:space="preserve">  Cash from Ops.</t>
  </si>
  <si>
    <t>Capital Expenditure</t>
  </si>
  <si>
    <t>Sale of Property, Plant, and Equipment</t>
  </si>
  <si>
    <t>Cash Acquisitions</t>
  </si>
  <si>
    <t>Divestitures</t>
  </si>
  <si>
    <t>Sale (Purchase) of Real Estate properties</t>
  </si>
  <si>
    <t>Sale (Purchase) of Intangible assets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</si>
  <si>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</si>
  <si>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</si>
  <si>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</si>
  <si>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</si>
  <si>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</si>
  <si>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</si>
  <si>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</si>
  <si>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</si>
  <si>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</si>
  <si>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</si>
  <si>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</si>
  <si>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Total Dividends Paid</t>
  </si>
  <si>
    <t>Special Dividend Paid</t>
  </si>
  <si>
    <t>Other Financing Activities</t>
  </si>
  <si>
    <t xml:space="preserve">  Cash from Financing</t>
  </si>
  <si>
    <t xml:space="preserve">  Net Change in Cash</t>
  </si>
  <si>
    <t>Cash Interest Paid</t>
  </si>
  <si>
    <t>Cash Taxes Paid</t>
  </si>
  <si>
    <t>Levered Free Cash Flow</t>
  </si>
  <si>
    <t>Unlevered Free Cash Flow</t>
  </si>
  <si>
    <t>Change in Net Working Capital</t>
  </si>
  <si>
    <t>Net Debt Issued</t>
  </si>
  <si>
    <t>RS</t>
  </si>
  <si>
    <t>Silkeborg IF Invest A/S (CPSE:SIF) &gt; Financials &gt; Multiples</t>
  </si>
  <si>
    <t>View:</t>
  </si>
  <si>
    <t>Data</t>
  </si>
  <si>
    <t>Frequency:</t>
  </si>
  <si>
    <t>Quarterly</t>
  </si>
  <si>
    <t>Order:</t>
  </si>
  <si>
    <t>Decimals:</t>
  </si>
  <si>
    <t>Dilution:</t>
  </si>
  <si>
    <t>Multiples Detail
                     In Millions of the reported currency, except per share items.</t>
  </si>
  <si>
    <t>For Quarter Ending</t>
  </si>
  <si>
    <t>TEV/LTM Total Revenue</t>
  </si>
  <si>
    <t>Average</t>
  </si>
  <si>
    <t>High</t>
  </si>
  <si>
    <t>Low</t>
  </si>
  <si>
    <t>Close</t>
  </si>
  <si>
    <t>TEV/LTM EBITDA</t>
  </si>
  <si>
    <t>TEV/LTM EBIT</t>
  </si>
  <si>
    <t>P/LTM EPS</t>
  </si>
  <si>
    <t>P/LTM Normalized EPS</t>
  </si>
  <si>
    <t>P/Tangible BV</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</si>
  <si>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</si>
  <si>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</si>
  <si>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</si>
  <si>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</si>
  <si>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Historical Equity Pricing Data supplied by Interactive Data Pricing and Reference Data LLC</t>
  </si>
  <si>
    <t>Silkeborg IF Invest A/S (CPSE:SIF) &gt; Financials &gt; Historical Capitalization</t>
  </si>
  <si>
    <t>In Millions of the trading currency, except per share items.</t>
  </si>
  <si>
    <t>Frequency:</t>
  </si>
  <si>
    <t>Order:</t>
  </si>
  <si>
    <t>Currency:</t>
  </si>
  <si>
    <t>Conversion:</t>
  </si>
  <si>
    <t>Units:</t>
  </si>
  <si>
    <t>Decimals:</t>
  </si>
  <si>
    <t>Dilution:</t>
  </si>
  <si>
    <t>Historical Capitalization</t>
  </si>
  <si>
    <t>Pricing as of*</t>
  </si>
  <si>
    <t>Capitalization Detail</t>
  </si>
  <si>
    <t>* Pricing as of the filing date of the balance sheet period end date. For TEV calculation purposes on this page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t>
  </si>
  <si>
    <t>** 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</si>
  <si>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Silkeborg IF Invest A/S (CPSE:SIF) &gt; Financials &gt; Capital Structure Summary</t>
  </si>
  <si>
    <t>In Millions of the reported currency, except ratios and % of Total values.</t>
  </si>
  <si>
    <t>Restatement:</t>
  </si>
  <si>
    <t>Period Type:</t>
  </si>
  <si>
    <t>Currency:</t>
  </si>
  <si>
    <t>Conversion:</t>
  </si>
  <si>
    <t>Units:</t>
  </si>
  <si>
    <t>Decimals:</t>
  </si>
  <si>
    <t>Order:</t>
  </si>
  <si>
    <t>Capital Structure Data</t>
  </si>
  <si>
    <t xml:space="preserve"> For the Fiscal Period Ending
</t>
  </si>
  <si>
    <t xml:space="preserve"> 12 months Dec-31-2021</t>
  </si>
  <si>
    <t xml:space="preserve"> 12 months Dec-31-2022</t>
  </si>
  <si>
    <t xml:space="preserve"> 12 months Dec-31-2023</t>
  </si>
  <si>
    <t xml:space="preserve"> Currency</t>
  </si>
  <si>
    <t xml:space="preserve"> DKK</t>
  </si>
  <si>
    <t xml:space="preserve"> Units</t>
  </si>
  <si>
    <t xml:space="preserve"> Millions</t>
  </si>
  <si>
    <t>% of Total</t>
  </si>
  <si>
    <t>Total Common Equity</t>
  </si>
  <si>
    <t xml:space="preserve">  Total Capital</t>
  </si>
  <si>
    <t>Debt Summary Data</t>
  </si>
  <si>
    <t>Total Revolving Credit</t>
  </si>
  <si>
    <t>Total Term Loans</t>
  </si>
  <si>
    <t>Total Senior Bonds and Notes</t>
  </si>
  <si>
    <t>Total Lease Liabilities</t>
  </si>
  <si>
    <t xml:space="preserve">  Total Principal Due</t>
  </si>
  <si>
    <t xml:space="preserve">  Total Debt Outstanding</t>
  </si>
  <si>
    <t>Available Credit</t>
  </si>
  <si>
    <t>Other Available Credit</t>
  </si>
  <si>
    <t xml:space="preserve">  Total Undrawn Credit</t>
  </si>
  <si>
    <t>Additional Totals</t>
  </si>
  <si>
    <t>Total Cash &amp; ST Investments</t>
  </si>
  <si>
    <t>Total Senior Debt</t>
  </si>
  <si>
    <t>Total Short-Term Borrowings</t>
  </si>
  <si>
    <t>Curr. Port. of LT Debt/Cap. Leases</t>
  </si>
  <si>
    <t>Long-Term Debt (Incl. Cap. Leases)</t>
  </si>
  <si>
    <t>Total Bank Debt</t>
  </si>
  <si>
    <t>Total Secured Debt</t>
  </si>
  <si>
    <t>Senior Secured Loans</t>
  </si>
  <si>
    <t>Senior Secured Bonds and Notes</t>
  </si>
  <si>
    <t>Total Senior Secured Debt</t>
  </si>
  <si>
    <t>Total Unsecured Debt</t>
  </si>
  <si>
    <t>Fixed Rate Debt</t>
  </si>
  <si>
    <t>Variable Rate Debt</t>
  </si>
  <si>
    <t>Credit Ratios</t>
  </si>
  <si>
    <t>Net Debt/EBITDA</t>
  </si>
  <si>
    <t>Total Debt/EBITDA</t>
  </si>
  <si>
    <t>Total Senior Debt/EBITDA</t>
  </si>
  <si>
    <t>Total Senior Secured/EBITDA</t>
  </si>
  <si>
    <t>Net Debt/(EBITDA-CAPEX)</t>
  </si>
  <si>
    <t>Total Debt/(EBITDA-CAPEX)</t>
  </si>
  <si>
    <t>Total Senior Debt/(EBITDA-CAPEX)</t>
  </si>
  <si>
    <t>Total Senior Secured/(EBITDA-CAPEX)</t>
  </si>
  <si>
    <t>Interest Rate Data</t>
  </si>
  <si>
    <t>Silkeborg IF Invest A/S (CPSE:SIF) &gt; Financials &gt; Capital Structure Details</t>
  </si>
  <si>
    <t>Principal Due in Millions of the reported currency.</t>
  </si>
  <si>
    <t>Period Type:</t>
  </si>
  <si>
    <t>Source:</t>
  </si>
  <si>
    <t>A 2023 filed Mar-15-2024</t>
  </si>
  <si>
    <t>Currency:</t>
  </si>
  <si>
    <t>Conversion:</t>
  </si>
  <si>
    <t>Units:</t>
  </si>
  <si>
    <t>Decimals:</t>
  </si>
  <si>
    <t>FY 2023 (Dec-31-2023) Capital Structure As Reported Details</t>
  </si>
  <si>
    <t>Description</t>
  </si>
  <si>
    <t>Type</t>
  </si>
  <si>
    <t>Principal Due (DKK)</t>
  </si>
  <si>
    <t>Coupon/Base Rate</t>
  </si>
  <si>
    <t>Floating Rate</t>
  </si>
  <si>
    <t>Maturity</t>
  </si>
  <si>
    <t>Seniority</t>
  </si>
  <si>
    <t>Secured</t>
  </si>
  <si>
    <t>Convertible</t>
  </si>
  <si>
    <t>Repayment Currency</t>
  </si>
  <si>
    <t>1.5% Debenture</t>
  </si>
  <si>
    <t>Bonds and Notes</t>
  </si>
  <si>
    <t>1.500%</t>
  </si>
  <si>
    <t>Senior</t>
  </si>
  <si>
    <t>Yes</t>
  </si>
  <si>
    <t>No</t>
  </si>
  <si>
    <t>3.0% Bond Loan</t>
  </si>
  <si>
    <t>3.000%</t>
  </si>
  <si>
    <t>5.0% Bond Loan</t>
  </si>
  <si>
    <t>5.000%</t>
  </si>
  <si>
    <t>Bank Overdrafts</t>
  </si>
  <si>
    <t>Revolving Credit</t>
  </si>
  <si>
    <t>Bond Loans</t>
  </si>
  <si>
    <t>Leasing Liabilities</t>
  </si>
  <si>
    <t>Capital Lease</t>
  </si>
  <si>
    <t>Variable Interest CIBOR3- Mortgage Loan</t>
  </si>
  <si>
    <t>Term Loans</t>
  </si>
  <si>
    <t>3.880%</t>
  </si>
  <si>
    <t>Variable Interest Rate Flex Loans- Mortgage Loan</t>
  </si>
  <si>
    <t>3.630%</t>
  </si>
  <si>
    <t>FY 2022 (Dec-31-2022) Capital Structure As Reported Details</t>
  </si>
  <si>
    <t>Silkeborg IF Invest A/S (CPSE:SIF) &gt; Financials &gt; Ratios</t>
  </si>
  <si>
    <t>Restatement:</t>
  </si>
  <si>
    <t>Period Type:</t>
  </si>
  <si>
    <t>Order:</t>
  </si>
  <si>
    <t>Decimals:</t>
  </si>
  <si>
    <t>Source:</t>
  </si>
  <si>
    <t>Ratios</t>
  </si>
  <si>
    <t>Profitability</t>
  </si>
  <si>
    <t xml:space="preserve">  Return on Assets %</t>
  </si>
  <si>
    <t xml:space="preserve">  Return on Capital %</t>
  </si>
  <si>
    <t xml:space="preserve">  Return on Equity %</t>
  </si>
  <si>
    <t xml:space="preserve">  Return on Common Equity %</t>
  </si>
  <si>
    <t>Margin Analysis</t>
  </si>
  <si>
    <t xml:space="preserve">  Gross Margin %</t>
  </si>
  <si>
    <t xml:space="preserve">  SG&amp;A Margin %</t>
  </si>
  <si>
    <t xml:space="preserve">  EBITDA Margin %</t>
  </si>
  <si>
    <t xml:space="preserve">  EBITA Margin %</t>
  </si>
  <si>
    <t xml:space="preserve">  EBIT Margin %</t>
  </si>
  <si>
    <t xml:space="preserve">  Earnings from Cont. Ops Margin %</t>
  </si>
  <si>
    <t xml:space="preserve">  Net Income Margin %</t>
  </si>
  <si>
    <t xml:space="preserve">  Net Income Avail. for Common Margin %</t>
  </si>
  <si>
    <t xml:space="preserve">  Normalized Net Income Margin %</t>
  </si>
  <si>
    <t xml:space="preserve">  Levered Free Cash Flow Margin %</t>
  </si>
  <si>
    <t xml:space="preserve">  Unlevered Free Cash Flow Margin %</t>
  </si>
  <si>
    <t>Asset Turnover</t>
  </si>
  <si>
    <t xml:space="preserve">  Total Asset Turnover</t>
  </si>
  <si>
    <t xml:space="preserve">  Fixed Asset Turnover</t>
  </si>
  <si>
    <t xml:space="preserve">  Accounts Receivable Turnover</t>
  </si>
  <si>
    <t xml:space="preserve">  Inventory Turnover</t>
  </si>
  <si>
    <t>Short Term Liquidity</t>
  </si>
  <si>
    <t xml:space="preserve">  Current Ratio</t>
  </si>
  <si>
    <t xml:space="preserve">  Quick Ratio</t>
  </si>
  <si>
    <t xml:space="preserve">  Cash from Ops. to Curr. Liab.</t>
  </si>
  <si>
    <t>NM</t>
  </si>
  <si>
    <t xml:space="preserve">  Avg. Days Sales Out.</t>
  </si>
  <si>
    <t xml:space="preserve">  Avg. Days Inventory Out.</t>
  </si>
  <si>
    <t xml:space="preserve">  Avg. Days Payable Out.</t>
  </si>
  <si>
    <t xml:space="preserve">  Avg. Cash Conversion Cycle</t>
  </si>
  <si>
    <t>Long Term Solvency</t>
  </si>
  <si>
    <t xml:space="preserve">  Total Debt/Equity</t>
  </si>
  <si>
    <t xml:space="preserve">  Total Debt/Capital</t>
  </si>
  <si>
    <t xml:space="preserve">  LT Debt/Equity</t>
  </si>
  <si>
    <t xml:space="preserve">  LT Debt/Capital</t>
  </si>
  <si>
    <t xml:space="preserve">  Total Liabilities/Total Assets</t>
  </si>
  <si>
    <t xml:space="preserve">  EBIT / Interest Exp.</t>
  </si>
  <si>
    <t xml:space="preserve">  EBITDA / Interest Exp.</t>
  </si>
  <si>
    <t xml:space="preserve">  (EBITDA-CAPEX) / Interest Exp.</t>
  </si>
  <si>
    <t xml:space="preserve">  Total Debt/EBITDA</t>
  </si>
  <si>
    <t xml:space="preserve">  Net Debt/EBITDA</t>
  </si>
  <si>
    <t xml:space="preserve">  Total Debt/(EBITDA-CAPEX)</t>
  </si>
  <si>
    <t xml:space="preserve">  Net Debt/(EBITDA-CAPEX)</t>
  </si>
  <si>
    <t xml:space="preserve">  Altman Z Score</t>
  </si>
  <si>
    <t>Growth Over Prior Year</t>
  </si>
  <si>
    <t xml:space="preserve">  EBITDA</t>
  </si>
  <si>
    <t xml:space="preserve">  EBITA</t>
  </si>
  <si>
    <t xml:space="preserve">  EBIT</t>
  </si>
  <si>
    <t xml:space="preserve">  Normalized Net Income</t>
  </si>
  <si>
    <t xml:space="preserve">  Diluted EPS before Extra</t>
  </si>
  <si>
    <t xml:space="preserve">  Accounts Receivable</t>
  </si>
  <si>
    <t xml:space="preserve">  Inventory</t>
  </si>
  <si>
    <t xml:space="preserve">  Net PP&amp;E</t>
  </si>
  <si>
    <t xml:space="preserve">  Total Assets</t>
  </si>
  <si>
    <t xml:space="preserve">  Tangible Book Value</t>
  </si>
  <si>
    <t xml:space="preserve">  Common Equity</t>
  </si>
  <si>
    <t xml:space="preserve">  Capital Expenditures</t>
  </si>
  <si>
    <t xml:space="preserve">  Levered Free Cash Flow</t>
  </si>
  <si>
    <t xml:space="preserve">  Unlevered Free Cash Flow</t>
  </si>
  <si>
    <t xml:space="preserve">  Dividend per Share</t>
  </si>
  <si>
    <t>Compound Annual Growth Rate Over Two Years</t>
  </si>
  <si>
    <t>Compound Annual Growth Rate Over Three Years</t>
  </si>
  <si>
    <t>Compound Annual Growth Rate Over Five Years</t>
  </si>
  <si>
    <t>Silkeborg IF Invest A/S (CPSE:SIF) &gt; Financials &gt; Segments</t>
  </si>
  <si>
    <t>In Millions of the reported currency.</t>
  </si>
  <si>
    <t>View By:</t>
  </si>
  <si>
    <t>Line Items</t>
  </si>
  <si>
    <t>Restatement:</t>
  </si>
  <si>
    <t>Period Type:</t>
  </si>
  <si>
    <t>Order:</t>
  </si>
  <si>
    <t>Currency:</t>
  </si>
  <si>
    <t>Conversion:</t>
  </si>
  <si>
    <t>Units:</t>
  </si>
  <si>
    <t>Decimals:</t>
  </si>
  <si>
    <t>Business Segments</t>
  </si>
  <si>
    <t>Revenues</t>
  </si>
  <si>
    <t>Football</t>
  </si>
  <si>
    <t>Properties</t>
  </si>
  <si>
    <t>Hotel</t>
  </si>
  <si>
    <t>Elimination</t>
  </si>
  <si>
    <t>Non-Distributed Assets and Liabilities</t>
  </si>
  <si>
    <t xml:space="preserve">  Total Revenues</t>
  </si>
  <si>
    <t>Operating Profit Before Tax</t>
  </si>
  <si>
    <t xml:space="preserve">  Total Operating Profit Before Tax</t>
  </si>
  <si>
    <t xml:space="preserve">  Total Interest Expense</t>
  </si>
  <si>
    <t>Net Profit Before Tax</t>
  </si>
  <si>
    <t xml:space="preserve">  Total Net Profit Before Tax</t>
  </si>
  <si>
    <t>Assets</t>
  </si>
  <si>
    <t>Depreciation &amp; Amortization</t>
  </si>
  <si>
    <t xml:space="preserve">  Total Depreciation &amp; Amortization</t>
  </si>
  <si>
    <t xml:space="preserve">  Total Capital Expenditure</t>
  </si>
  <si>
    <t>Geographic Segments</t>
  </si>
  <si>
    <t>Denmark</t>
  </si>
  <si>
    <t>Tax Expense</t>
  </si>
  <si>
    <t xml:space="preserve">  Total Tax Expense</t>
  </si>
  <si>
    <t>Net Profit After Tax</t>
  </si>
  <si>
    <t xml:space="preserve">  Total Net Profit After Tax</t>
  </si>
  <si>
    <t>Free Cash Flow</t>
  </si>
  <si>
    <t>Present value of FCF</t>
  </si>
  <si>
    <t>Terminal Value in Y5</t>
  </si>
  <si>
    <t>% Debt</t>
  </si>
  <si>
    <t>WACC 
(% Equity x Cost of Equity) + (% Debt x Cost of Debt x (1 -Tax rate))</t>
  </si>
  <si>
    <t>Present value of TV</t>
  </si>
  <si>
    <t>Cost of Debt</t>
  </si>
  <si>
    <t>TGR</t>
  </si>
  <si>
    <t>Tax Rate</t>
  </si>
  <si>
    <t>Equity Value</t>
  </si>
  <si>
    <t>% Equity</t>
  </si>
  <si>
    <t>Cost of Equity
Risk Free Rate + (Beta x (Expected Market Return - Risk Free Rate))</t>
  </si>
  <si>
    <t>Risk Free Rate</t>
  </si>
  <si>
    <t>Beta</t>
  </si>
  <si>
    <t>Market Risk Premium 
= Market return - Risk free return</t>
  </si>
  <si>
    <t>Debt + Equity</t>
  </si>
  <si>
    <t>€STR</t>
  </si>
  <si>
    <t>Tbill 10Y</t>
  </si>
  <si>
    <t>-&gt;</t>
  </si>
  <si>
    <t>Forcasted Share Price</t>
  </si>
  <si>
    <t>Upside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</si>
</sst>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 #,##0.0##_);_(* \(#,##0.0##\)_)\ ;_(* 0_)"/>
    <numFmt numFmtId="165" formatCode="_(#,##0.00%_);_(\(#,##0.00%\)_);_(#,##0.00%_)"/>
    <numFmt numFmtId="166" formatCode="_(* #,##0.0#_);_(* \(#,##0.0#\)_)\ ;_(* 0_)"/>
    <numFmt numFmtId="167" formatCode="_(* #,##0.0_);_(* \(#,##0.0\)_)\ ;_(* 0_)"/>
    <numFmt numFmtId="168" formatCode="#,##0.00\x"/>
    <numFmt numFmtId="169" formatCode="mmm\-dd\-yyyy"/>
    <numFmt numFmtId="170" formatCode="_(* #,##0_);_(* \(#,##0\)_)\ ;_(* 0_)"/>
    <numFmt numFmtId="171" formatCode="_(#,##0.00#%_);_(\(#,##0.00#%\)_);_(#,##0.00#%_)"/>
    <numFmt numFmtId="172" formatCode="_(\ #,##0.0_);_(\ \(#,##0.0\)_);_(\ &quot; - &quot;_)"/>
    <numFmt numFmtId="173" formatCode="_(#,##0.0%_);_(\(#,##0.0%\)_);_(#,##0.0%_)"/>
    <numFmt numFmtId="174" formatCode="#,##0.0\x"/>
    <numFmt numFmtId="175" formatCode="#,##0.0"/>
    <numFmt numFmtId="176" formatCode="[$$-409]#,##0.00"/>
    <numFmt numFmtId="177" formatCode="#,##0.000"/>
  </numFmts>
  <fonts count="27" x14ac:knownFonts="1">
    <font>
      <sz val="10"/>
      <name val="Arial"/>
    </font>
    <font>
      <sz val="8"/>
      <name val="Arial"/>
      <family val="2"/>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charset val="2"/>
    </font>
    <font>
      <sz val="10"/>
      <color indexed="8"/>
      <name val="Arial"/>
      <family val="2"/>
    </font>
    <font>
      <b/>
      <sz val="8"/>
      <color indexed="8"/>
      <name val="Verdana"/>
      <family val="2"/>
    </font>
    <font>
      <i/>
      <sz val="8"/>
      <name val="Arial"/>
      <family val="2"/>
    </font>
    <font>
      <b/>
      <sz val="8"/>
      <name val="Arial"/>
      <family val="2"/>
    </font>
    <font>
      <b/>
      <i/>
      <sz val="8"/>
      <color indexed="8"/>
      <name val="Arial"/>
      <family val="2"/>
    </font>
    <font>
      <b/>
      <u val="double"/>
      <sz val="8"/>
      <color indexed="8"/>
      <name val="Arial"/>
      <family val="2"/>
    </font>
    <font>
      <b/>
      <u/>
      <sz val="8"/>
      <color indexed="8"/>
      <name val="Arial"/>
      <family val="2"/>
    </font>
    <font>
      <b/>
      <u val="singleAccounting"/>
      <sz val="8"/>
      <color indexed="9"/>
      <name val="Verdana"/>
      <family val="2"/>
    </font>
    <font>
      <b/>
      <i/>
      <sz val="8"/>
      <name val="Arial"/>
      <family val="2"/>
    </font>
    <font>
      <b/>
      <sz val="10"/>
      <color indexed="8"/>
      <name val="Arial"/>
      <family val="2"/>
    </font>
    <font>
      <sz val="10"/>
      <name val="Arial"/>
      <family val="2"/>
    </font>
    <font>
      <sz val="8"/>
      <color theme="0"/>
      <name val="Arial"/>
      <family val="2"/>
    </font>
    <font>
      <i/>
      <sz val="8"/>
      <color theme="0" tint="-0.34998626667073579"/>
      <name val="Arial"/>
      <family val="2"/>
    </font>
  </fonts>
  <fills count="7">
    <fill>
      <patternFill patternType="none"/>
    </fill>
    <fill>
      <patternFill patternType="gray125"/>
    </fill>
    <fill>
      <patternFill patternType="solid">
        <fgColor indexed="63"/>
        <bgColor indexed="64"/>
      </patternFill>
    </fill>
    <fill>
      <patternFill patternType="solid">
        <fgColor indexed="62"/>
        <bgColor indexed="64"/>
      </patternFill>
    </fill>
    <fill>
      <patternFill patternType="solid">
        <fgColor indexed="56"/>
        <bgColor indexed="64"/>
      </patternFill>
    </fill>
    <fill>
      <patternFill patternType="solid">
        <fgColor indexed="60"/>
        <bgColor indexed="64"/>
      </patternFill>
    </fill>
    <fill>
      <patternFill patternType="solid">
        <fgColor rgb="FFFFFFFF"/>
        <bgColor indexed="64"/>
      </patternFill>
    </fill>
  </fills>
  <borders count="14">
    <border>
      <left/>
      <right/>
      <top/>
      <bottom/>
      <diagonal/>
    </border>
    <border>
      <left/>
      <right/>
      <top style="thin">
        <color indexed="8"/>
      </top>
      <bottom/>
      <diagonal/>
    </border>
    <border>
      <left style="thin">
        <color indexed="64"/>
      </left>
      <right style="thin">
        <color indexed="64"/>
      </right>
      <top/>
      <bottom/>
      <diagonal/>
    </border>
    <border>
      <left/>
      <right style="thin">
        <color auto="1"/>
      </right>
      <top/>
      <bottom/>
      <diagonal/>
    </border>
    <border>
      <left/>
      <right style="thin">
        <color auto="1"/>
      </right>
      <top/>
      <bottom style="hair">
        <color auto="1"/>
      </bottom>
      <diagonal/>
    </border>
    <border>
      <left style="thin">
        <color auto="1"/>
      </left>
      <right/>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diagonal/>
    </border>
    <border>
      <left style="thin">
        <color auto="1"/>
      </left>
      <right/>
      <top style="hair">
        <color auto="1"/>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18">
    <xf numFmtId="0" fontId="0" fillId="0" borderId="0"/>
    <xf numFmtId="0" fontId="2" fillId="0" borderId="0" applyAlignment="0"/>
    <xf numFmtId="0" fontId="3" fillId="0" borderId="0" applyAlignment="0"/>
    <xf numFmtId="0" fontId="4" fillId="2" borderId="0" applyAlignment="0"/>
    <xf numFmtId="0" fontId="5" fillId="3" borderId="0" applyAlignment="0"/>
    <xf numFmtId="0" fontId="6" fillId="4" borderId="0" applyAlignment="0"/>
    <xf numFmtId="0" fontId="7" fillId="5" borderId="0" applyAlignment="0"/>
    <xf numFmtId="0" fontId="8" fillId="0" borderId="0" applyAlignment="0"/>
    <xf numFmtId="0" fontId="9" fillId="0" borderId="0" applyAlignment="0"/>
    <xf numFmtId="0" fontId="10" fillId="0" borderId="0" applyAlignment="0"/>
    <xf numFmtId="0" fontId="11" fillId="0" borderId="0" applyAlignment="0"/>
    <xf numFmtId="0" fontId="12" fillId="0" borderId="0" applyAlignment="0"/>
    <xf numFmtId="0" fontId="11" fillId="0" borderId="0" applyAlignment="0">
      <alignment wrapText="1"/>
    </xf>
    <xf numFmtId="0" fontId="13" fillId="0" borderId="0" applyAlignment="0"/>
    <xf numFmtId="0" fontId="14" fillId="0" borderId="0" applyAlignment="0"/>
    <xf numFmtId="0" fontId="15" fillId="0" borderId="0" applyAlignment="0"/>
    <xf numFmtId="175" fontId="23" fillId="6" borderId="2">
      <alignment horizontal="right"/>
    </xf>
    <xf numFmtId="9" fontId="24" fillId="0" borderId="0" applyFont="0" applyFill="0" applyBorder="0" applyAlignment="0" applyProtection="0"/>
  </cellStyleXfs>
  <cellXfs count="102">
    <xf numFmtId="0" fontId="1" fillId="0" borderId="0" xfId="0" applyFont="1"/>
    <xf numFmtId="0" fontId="2" fillId="0" borderId="0" xfId="0" applyFont="1"/>
    <xf numFmtId="0" fontId="16" fillId="0" borderId="0" xfId="0" applyFont="1" applyAlignment="1">
      <alignment wrapText="1"/>
    </xf>
    <xf numFmtId="0" fontId="17" fillId="0" borderId="0" xfId="0" applyFont="1"/>
    <xf numFmtId="0" fontId="8" fillId="0" borderId="0" xfId="0" applyFont="1" applyAlignment="1">
      <alignment horizontal="left" vertical="top"/>
    </xf>
    <xf numFmtId="49" fontId="1" fillId="0" borderId="0" xfId="0" applyNumberFormat="1" applyFont="1"/>
    <xf numFmtId="0" fontId="6" fillId="4" borderId="0" xfId="0" applyFont="1" applyFill="1"/>
    <xf numFmtId="0" fontId="11" fillId="5" borderId="0" xfId="0" applyFont="1" applyFill="1" applyAlignment="1">
      <alignment wrapText="1"/>
    </xf>
    <xf numFmtId="0" fontId="18" fillId="5" borderId="0" xfId="0" applyFont="1" applyFill="1" applyAlignment="1">
      <alignment wrapText="1"/>
    </xf>
    <xf numFmtId="0" fontId="11" fillId="0" borderId="0" xfId="0" applyFont="1" applyAlignment="1">
      <alignment horizontal="left" vertical="top"/>
    </xf>
    <xf numFmtId="0" fontId="12" fillId="0" borderId="0" xfId="0" applyFont="1" applyAlignment="1">
      <alignment horizontal="left" vertical="top"/>
    </xf>
    <xf numFmtId="0" fontId="1" fillId="0" borderId="0" xfId="0" applyFont="1" applyAlignment="1">
      <alignment vertical="top" wrapText="1"/>
    </xf>
    <xf numFmtId="0" fontId="11" fillId="5" borderId="0" xfId="0" applyFont="1" applyFill="1" applyAlignment="1">
      <alignment horizontal="right" wrapText="1"/>
    </xf>
    <xf numFmtId="0" fontId="18" fillId="5" borderId="0" xfId="0" applyFont="1" applyFill="1" applyAlignment="1">
      <alignment horizontal="right" wrapText="1"/>
    </xf>
    <xf numFmtId="164" fontId="11" fillId="0" borderId="0" xfId="0" applyNumberFormat="1" applyFont="1" applyAlignment="1">
      <alignment horizontal="right" vertical="top" wrapText="1"/>
    </xf>
    <xf numFmtId="165" fontId="12" fillId="0" borderId="0" xfId="0" applyNumberFormat="1" applyFont="1" applyAlignment="1">
      <alignment horizontal="right" vertical="top" wrapText="1"/>
    </xf>
    <xf numFmtId="49" fontId="8" fillId="0" borderId="0" xfId="0" applyNumberFormat="1" applyFont="1" applyAlignment="1">
      <alignment horizontal="right" vertical="top" wrapText="1"/>
    </xf>
    <xf numFmtId="167" fontId="8" fillId="0" borderId="0" xfId="0" applyNumberFormat="1" applyFont="1" applyAlignment="1">
      <alignment horizontal="right" vertical="top" wrapText="1"/>
    </xf>
    <xf numFmtId="166" fontId="8" fillId="0" borderId="0" xfId="0" applyNumberFormat="1" applyFont="1" applyAlignment="1">
      <alignment horizontal="right" vertical="top" wrapText="1"/>
    </xf>
    <xf numFmtId="164" fontId="8" fillId="0" borderId="0" xfId="0" applyNumberFormat="1" applyFont="1" applyAlignment="1">
      <alignment horizontal="right" vertical="top" wrapText="1"/>
    </xf>
    <xf numFmtId="0" fontId="1" fillId="0" borderId="0" xfId="0" applyFont="1" applyAlignment="1">
      <alignment horizontal="center" vertical="top" wrapText="1"/>
    </xf>
    <xf numFmtId="168" fontId="8" fillId="0" borderId="0" xfId="0" applyNumberFormat="1" applyFont="1" applyAlignment="1">
      <alignment horizontal="right" vertical="top" wrapText="1"/>
    </xf>
    <xf numFmtId="0" fontId="8" fillId="0" borderId="0" xfId="0" applyFont="1" applyAlignment="1">
      <alignment horizontal="center" vertical="center"/>
    </xf>
    <xf numFmtId="0" fontId="8" fillId="0" borderId="0" xfId="0" applyFont="1" applyAlignment="1">
      <alignment horizontal="left" vertical="center"/>
    </xf>
    <xf numFmtId="164" fontId="11" fillId="0" borderId="1" xfId="0" applyNumberFormat="1" applyFont="1" applyBorder="1" applyAlignment="1">
      <alignment horizontal="right" vertical="top" wrapText="1"/>
    </xf>
    <xf numFmtId="164" fontId="19" fillId="0" borderId="1" xfId="0" applyNumberFormat="1" applyFont="1" applyBorder="1" applyAlignment="1">
      <alignment horizontal="right" vertical="top" wrapText="1"/>
    </xf>
    <xf numFmtId="165" fontId="8" fillId="0" borderId="0" xfId="0" applyNumberFormat="1" applyFont="1" applyAlignment="1">
      <alignment horizontal="right" vertical="top" wrapText="1"/>
    </xf>
    <xf numFmtId="169" fontId="8" fillId="0" borderId="0" xfId="0" applyNumberFormat="1" applyFont="1" applyAlignment="1">
      <alignment horizontal="right" vertical="top" wrapText="1"/>
    </xf>
    <xf numFmtId="169" fontId="11" fillId="5" borderId="0" xfId="0" applyNumberFormat="1" applyFont="1" applyFill="1" applyAlignment="1">
      <alignment horizontal="right" wrapText="1"/>
    </xf>
    <xf numFmtId="164" fontId="20" fillId="0" borderId="0" xfId="0" applyNumberFormat="1" applyFont="1" applyAlignment="1">
      <alignment horizontal="right" vertical="top" wrapText="1"/>
    </xf>
    <xf numFmtId="164" fontId="19" fillId="0" borderId="0" xfId="0" applyNumberFormat="1" applyFont="1" applyAlignment="1">
      <alignment horizontal="right" vertical="top" wrapText="1"/>
    </xf>
    <xf numFmtId="170" fontId="8" fillId="0" borderId="0" xfId="0" applyNumberFormat="1" applyFont="1" applyAlignment="1">
      <alignment horizontal="right" vertical="top" wrapText="1"/>
    </xf>
    <xf numFmtId="0" fontId="8" fillId="0" borderId="0" xfId="0" applyFont="1" applyAlignment="1">
      <alignment horizontal="center" vertical="center" wrapText="1"/>
    </xf>
    <xf numFmtId="0" fontId="21" fillId="4" borderId="0" xfId="0" applyFont="1" applyFill="1" applyAlignment="1">
      <alignment horizontal="left"/>
    </xf>
    <xf numFmtId="0" fontId="7" fillId="5" borderId="0" xfId="0" applyFont="1" applyFill="1" applyAlignment="1">
      <alignment horizontal="right"/>
    </xf>
    <xf numFmtId="0" fontId="11" fillId="0" borderId="0" xfId="0" applyFont="1" applyAlignment="1">
      <alignment horizontal="left"/>
    </xf>
    <xf numFmtId="0" fontId="11" fillId="5" borderId="0" xfId="0" applyFont="1" applyFill="1" applyAlignment="1">
      <alignment horizontal="right"/>
    </xf>
    <xf numFmtId="169" fontId="11" fillId="5" borderId="0" xfId="0" applyNumberFormat="1" applyFont="1" applyFill="1" applyAlignment="1">
      <alignment horizontal="right"/>
    </xf>
    <xf numFmtId="0" fontId="11" fillId="0" borderId="0" xfId="0" applyFont="1" applyAlignment="1">
      <alignment horizontal="right"/>
    </xf>
    <xf numFmtId="168" fontId="8" fillId="0" borderId="0" xfId="0" applyNumberFormat="1" applyFont="1" applyAlignment="1">
      <alignment horizontal="right"/>
    </xf>
    <xf numFmtId="168" fontId="1" fillId="0" borderId="0" xfId="0" applyNumberFormat="1" applyFont="1" applyAlignment="1">
      <alignment horizontal="right"/>
    </xf>
    <xf numFmtId="0" fontId="1" fillId="0" borderId="0" xfId="0" applyFont="1" applyAlignment="1">
      <alignment horizontal="left"/>
    </xf>
    <xf numFmtId="0" fontId="1" fillId="0" borderId="0" xfId="0" applyFont="1" applyAlignment="1">
      <alignment horizontal="right" wrapText="1"/>
    </xf>
    <xf numFmtId="0" fontId="1" fillId="0" borderId="0" xfId="0" applyFont="1" applyAlignment="1">
      <alignment wrapText="1"/>
    </xf>
    <xf numFmtId="0" fontId="8" fillId="0" borderId="0" xfId="0" applyFont="1" applyAlignment="1">
      <alignment vertical="top" wrapText="1"/>
    </xf>
    <xf numFmtId="171" fontId="12" fillId="0" borderId="0" xfId="0" applyNumberFormat="1" applyFont="1" applyAlignment="1">
      <alignment horizontal="right" vertical="top" wrapText="1"/>
    </xf>
    <xf numFmtId="171" fontId="18" fillId="0" borderId="0" xfId="0" applyNumberFormat="1" applyFont="1" applyAlignment="1">
      <alignment horizontal="right" vertical="top" wrapText="1"/>
    </xf>
    <xf numFmtId="0" fontId="22" fillId="5" borderId="0" xfId="0" applyFont="1" applyFill="1" applyAlignment="1">
      <alignment horizontal="right" wrapText="1"/>
    </xf>
    <xf numFmtId="0" fontId="17" fillId="5" borderId="0" xfId="0" applyFont="1" applyFill="1" applyAlignment="1">
      <alignment horizontal="right" wrapText="1"/>
    </xf>
    <xf numFmtId="171" fontId="16" fillId="0" borderId="0" xfId="0" applyNumberFormat="1" applyFont="1" applyAlignment="1">
      <alignment horizontal="right"/>
    </xf>
    <xf numFmtId="171" fontId="22" fillId="0" borderId="0" xfId="0" applyNumberFormat="1" applyFont="1" applyAlignment="1">
      <alignment horizontal="right"/>
    </xf>
    <xf numFmtId="164" fontId="1" fillId="0" borderId="0" xfId="0" applyNumberFormat="1" applyFont="1" applyAlignment="1">
      <alignment horizontal="right"/>
    </xf>
    <xf numFmtId="164" fontId="17" fillId="0" borderId="0" xfId="0" applyNumberFormat="1" applyFont="1" applyAlignment="1">
      <alignment horizontal="right"/>
    </xf>
    <xf numFmtId="165" fontId="16" fillId="0" borderId="0" xfId="0" applyNumberFormat="1" applyFont="1" applyAlignment="1">
      <alignment horizontal="right"/>
    </xf>
    <xf numFmtId="169" fontId="1" fillId="0" borderId="0" xfId="0" applyNumberFormat="1" applyFont="1" applyAlignment="1">
      <alignment horizontal="right"/>
    </xf>
    <xf numFmtId="0" fontId="7" fillId="5" borderId="0" xfId="0" applyFont="1" applyFill="1" applyAlignment="1">
      <alignment horizontal="left" wrapText="1"/>
    </xf>
    <xf numFmtId="0" fontId="7" fillId="5" borderId="0" xfId="0" applyFont="1" applyFill="1" applyAlignment="1">
      <alignment wrapText="1"/>
    </xf>
    <xf numFmtId="172" fontId="8" fillId="0" borderId="0" xfId="0" applyNumberFormat="1" applyFont="1" applyAlignment="1">
      <alignment horizontal="center" vertical="top" wrapText="1"/>
    </xf>
    <xf numFmtId="0" fontId="8" fillId="0" borderId="0" xfId="0" applyFont="1" applyAlignment="1">
      <alignment horizontal="center" vertical="top" wrapText="1"/>
    </xf>
    <xf numFmtId="169" fontId="8" fillId="0" borderId="0" xfId="0" applyNumberFormat="1" applyFont="1" applyAlignment="1">
      <alignment horizontal="center" vertical="top" wrapText="1"/>
    </xf>
    <xf numFmtId="173" fontId="8" fillId="0" borderId="0" xfId="0" applyNumberFormat="1" applyFont="1" applyAlignment="1">
      <alignment horizontal="right" vertical="top" wrapText="1"/>
    </xf>
    <xf numFmtId="174" fontId="8" fillId="0" borderId="0" xfId="0" applyNumberFormat="1" applyFont="1" applyAlignment="1">
      <alignment horizontal="right" vertical="top" wrapText="1"/>
    </xf>
    <xf numFmtId="167" fontId="11" fillId="0" borderId="0" xfId="0" applyNumberFormat="1" applyFont="1" applyAlignment="1">
      <alignment horizontal="right" vertical="top" wrapText="1"/>
    </xf>
    <xf numFmtId="0" fontId="13" fillId="0" borderId="0" xfId="13" applyAlignment="1"/>
    <xf numFmtId="10" fontId="1" fillId="0" borderId="0" xfId="0" applyNumberFormat="1" applyFont="1"/>
    <xf numFmtId="3" fontId="1" fillId="0" borderId="0" xfId="0" applyNumberFormat="1" applyFont="1"/>
    <xf numFmtId="4" fontId="1" fillId="0" borderId="0" xfId="0" applyNumberFormat="1" applyFont="1"/>
    <xf numFmtId="9" fontId="1" fillId="0" borderId="0" xfId="17" applyFont="1"/>
    <xf numFmtId="10" fontId="1" fillId="0" borderId="0" xfId="17" applyNumberFormat="1" applyFont="1"/>
    <xf numFmtId="43" fontId="1" fillId="0" borderId="0" xfId="0" applyNumberFormat="1" applyFont="1"/>
    <xf numFmtId="0" fontId="1" fillId="0" borderId="0" xfId="0" quotePrefix="1" applyFont="1" applyAlignment="1">
      <alignment horizontal="center"/>
    </xf>
    <xf numFmtId="175" fontId="1" fillId="0" borderId="0" xfId="0" applyNumberFormat="1" applyFont="1"/>
    <xf numFmtId="0" fontId="12" fillId="0" borderId="0" xfId="0" applyFont="1" applyAlignment="1">
      <alignment horizontal="right" vertical="top" wrapText="1"/>
    </xf>
    <xf numFmtId="177" fontId="11" fillId="0" borderId="0" xfId="0" applyNumberFormat="1" applyFont="1" applyAlignment="1">
      <alignment horizontal="right" vertical="top" wrapText="1"/>
    </xf>
    <xf numFmtId="0" fontId="25" fillId="0" borderId="0" xfId="0" applyFont="1" applyAlignment="1">
      <alignment horizontal="right" vertical="top"/>
    </xf>
    <xf numFmtId="0" fontId="25" fillId="0" borderId="0" xfId="0" applyFont="1" applyAlignment="1">
      <alignment horizontal="right"/>
    </xf>
    <xf numFmtId="0" fontId="1" fillId="0" borderId="4" xfId="0" applyFont="1" applyBorder="1"/>
    <xf numFmtId="3" fontId="1" fillId="0" borderId="5" xfId="0" applyNumberFormat="1" applyFont="1" applyBorder="1"/>
    <xf numFmtId="0" fontId="1" fillId="0" borderId="6" xfId="0" applyFont="1" applyBorder="1"/>
    <xf numFmtId="3" fontId="1" fillId="0" borderId="7" xfId="0" applyNumberFormat="1" applyFont="1" applyBorder="1"/>
    <xf numFmtId="0" fontId="1" fillId="0" borderId="8" xfId="0" applyFont="1" applyBorder="1" applyAlignment="1">
      <alignment horizontal="right"/>
    </xf>
    <xf numFmtId="176" fontId="1" fillId="0" borderId="9" xfId="0" applyNumberFormat="1" applyFont="1" applyBorder="1"/>
    <xf numFmtId="0" fontId="26" fillId="0" borderId="0" xfId="0" applyFont="1" applyAlignment="1">
      <alignment horizontal="right"/>
    </xf>
    <xf numFmtId="10" fontId="26" fillId="0" borderId="0" xfId="17" applyNumberFormat="1" applyFont="1"/>
    <xf numFmtId="0" fontId="1" fillId="0" borderId="10" xfId="0" applyFont="1" applyBorder="1" applyAlignment="1">
      <alignment horizontal="right"/>
    </xf>
    <xf numFmtId="10" fontId="1" fillId="0" borderId="11" xfId="0" applyNumberFormat="1" applyFont="1" applyBorder="1"/>
    <xf numFmtId="0" fontId="1" fillId="0" borderId="12" xfId="0" applyFont="1" applyBorder="1" applyAlignment="1">
      <alignment horizontal="left"/>
    </xf>
    <xf numFmtId="10" fontId="1" fillId="0" borderId="13" xfId="0" applyNumberFormat="1" applyFont="1" applyBorder="1"/>
    <xf numFmtId="0" fontId="11" fillId="5" borderId="3" xfId="0" applyFont="1" applyFill="1" applyBorder="1" applyAlignment="1">
      <alignment horizontal="right" wrapText="1"/>
    </xf>
    <xf numFmtId="0" fontId="18" fillId="5" borderId="3" xfId="0" applyFont="1" applyFill="1" applyBorder="1" applyAlignment="1">
      <alignment horizontal="right" wrapText="1"/>
    </xf>
    <xf numFmtId="0" fontId="8" fillId="0" borderId="3" xfId="0" applyFont="1" applyBorder="1" applyAlignment="1">
      <alignment horizontal="left" vertical="top"/>
    </xf>
    <xf numFmtId="164" fontId="11" fillId="0" borderId="3" xfId="0" applyNumberFormat="1" applyFont="1" applyBorder="1" applyAlignment="1">
      <alignment horizontal="right" vertical="top" wrapText="1"/>
    </xf>
    <xf numFmtId="165" fontId="12" fillId="0" borderId="3" xfId="0" applyNumberFormat="1" applyFont="1" applyBorder="1" applyAlignment="1">
      <alignment horizontal="right" vertical="top" wrapText="1"/>
    </xf>
    <xf numFmtId="0" fontId="25" fillId="0" borderId="3" xfId="0" applyFont="1" applyBorder="1" applyAlignment="1">
      <alignment horizontal="right" vertical="top"/>
    </xf>
    <xf numFmtId="177" fontId="11" fillId="0" borderId="3" xfId="0" applyNumberFormat="1" applyFont="1" applyBorder="1" applyAlignment="1">
      <alignment horizontal="right" vertical="top" wrapText="1"/>
    </xf>
    <xf numFmtId="0" fontId="12" fillId="0" borderId="3" xfId="0" applyFont="1" applyBorder="1" applyAlignment="1">
      <alignment horizontal="right" vertical="top" wrapText="1"/>
    </xf>
    <xf numFmtId="0" fontId="23" fillId="5" borderId="0" xfId="0" applyFont="1" applyFill="1" applyAlignment="1">
      <alignment horizontal="right" vertical="center" wrapText="1"/>
    </xf>
    <xf numFmtId="43" fontId="1" fillId="0" borderId="7" xfId="0" applyNumberFormat="1" applyFont="1" applyBorder="1"/>
    <xf numFmtId="0" fontId="11" fillId="5" borderId="0" xfId="0" applyFont="1" applyFill="1" applyAlignment="1">
      <alignment horizontal="center" wrapText="1"/>
    </xf>
    <xf numFmtId="0" fontId="8" fillId="0" borderId="0" xfId="0" applyFont="1" applyAlignment="1">
      <alignment vertical="top" wrapText="1"/>
    </xf>
    <xf numFmtId="0" fontId="1" fillId="0" borderId="0" xfId="0" applyFont="1"/>
    <xf numFmtId="0" fontId="17" fillId="5" borderId="0" xfId="0" applyFont="1" applyFill="1" applyAlignment="1">
      <alignment horizontal="center" wrapText="1"/>
    </xf>
  </cellXfs>
  <cellStyles count="21">
    <cellStyle name="ChartingText" xfId="14" xr:uid="{45039F12-50A4-7A4A-B01E-4F6905E39A01}"/>
    <cellStyle name="CHPAboveAverage" xfId="15" xr:uid="{1810EBF7-4FC4-D649-985E-F6E54F29905F}"/>
    <cellStyle name="CHPBelowAverage" xfId="15" xr:uid="{2A89A643-AF80-C140-8D2B-54FCD210653B}"/>
    <cellStyle name="CHPBottom" xfId="15" xr:uid="{A6B82734-829B-864A-AF93-A67C2BA70B1A}"/>
    <cellStyle name="CHPTop" xfId="15" xr:uid="{BBBCA516-EEA9-034E-A01E-FB17509E026A}"/>
    <cellStyle name="ColumnHeaderNormal" xfId="6" xr:uid="{DB63D9E1-9FE3-5440-9392-B3D2A8FAB4A7}"/>
    <cellStyle name="fa_data_bold_1_grouped" xfId="16" xr:uid="{2B49CFDC-E6C3-7C4A-82C7-0E4C4650E21E}"/>
    <cellStyle name="Invisible" xfId="13" xr:uid="{5FD766B8-CBBF-004A-8B57-453E6874C3F7}"/>
    <cellStyle name="NewColumnHeaderNormal" xfId="4" xr:uid="{B93504E2-A280-0B42-9029-6A2F24D2E074}"/>
    <cellStyle name="NewSectionHeaderNormal" xfId="3" xr:uid="{BC5BA07A-B884-FD41-8B7B-F2E5E262C45C}"/>
    <cellStyle name="NewTitleNormal" xfId="2" xr:uid="{7AD9A20C-3AF5-6D4C-B6C0-EDA0AAC0C930}"/>
    <cellStyle name="Normal" xfId="0" builtinId="0"/>
    <cellStyle name="Per cent" xfId="17" builtinId="5"/>
    <cellStyle name="SectionHeaderNormal" xfId="5" xr:uid="{4846F99B-7156-8E49-9E8A-0F2F61761D64}"/>
    <cellStyle name="SubScript" xfId="9" xr:uid="{B13AAB5A-DA4C-EC42-99C0-7EAA13E74C44}"/>
    <cellStyle name="SuperScript" xfId="8" xr:uid="{BD2E1455-C90C-9A46-AA3A-05FB28B674C9}"/>
    <cellStyle name="TextBold" xfId="10" xr:uid="{F1D1C878-9E3E-CB48-A540-C503628A41E1}"/>
    <cellStyle name="TextItalic" xfId="11" xr:uid="{AC428797-6437-4D44-86CC-51004C3155F0}"/>
    <cellStyle name="TextNormal" xfId="7" xr:uid="{6074A457-CA9C-2B42-B6C1-98E0241A0C37}"/>
    <cellStyle name="TitleNormal" xfId="1" xr:uid="{E1BD2D8D-225D-EE46-9F68-D45F304DE025}"/>
    <cellStyle name="Total" xfId="12" builtinId="25" customBuiltin="1"/>
  </cellStyles>
  <dxfs count="4">
    <dxf>
      <font>
        <color rgb="FF00B050"/>
      </font>
    </dxf>
    <dxf>
      <font>
        <color rgb="FFFF0000"/>
      </font>
    </dxf>
    <dxf>
      <font>
        <color rgb="FF00B050"/>
      </font>
    </dxf>
    <dxf>
      <font>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FA4040"/>
      <rgbColor rgb="00FFFFEB"/>
      <rgbColor rgb="00EEEEEE"/>
      <rgbColor rgb="00F0F0DC"/>
      <rgbColor rgb="00993366"/>
      <rgbColor rgb="00F5F5E1"/>
      <rgbColor rgb="00004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1041400</xdr:colOff>
      <xdr:row>3</xdr:row>
      <xdr:rowOff>101600</xdr:rowOff>
    </xdr:to>
    <xdr:pic>
      <xdr:nvPicPr>
        <xdr:cNvPr id="1026" name="Picture 2">
          <a:extLst>
            <a:ext uri="{FF2B5EF4-FFF2-40B4-BE49-F238E27FC236}">
              <a16:creationId xmlns:a16="http://schemas.microsoft.com/office/drawing/2014/main" id="{2BB5B926-D121-3BFF-EA74-B1B3A48F5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0560" y="142240"/>
          <a:ext cx="1041400" cy="386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12700</xdr:colOff>
      <xdr:row>64</xdr:row>
      <xdr:rowOff>0</xdr:rowOff>
    </xdr:from>
    <xdr:to>
      <xdr:col>4</xdr:col>
      <xdr:colOff>660400</xdr:colOff>
      <xdr:row>64</xdr:row>
      <xdr:rowOff>1905000</xdr:rowOff>
    </xdr:to>
    <xdr:pic>
      <xdr:nvPicPr>
        <xdr:cNvPr id="1027" name="Picture 3">
          <a:extLst>
            <a:ext uri="{FF2B5EF4-FFF2-40B4-BE49-F238E27FC236}">
              <a16:creationId xmlns:a16="http://schemas.microsoft.com/office/drawing/2014/main" id="{E8839C41-D54F-C280-5D6E-F0DDA8FDC0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10210800"/>
          <a:ext cx="64008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203200</xdr:colOff>
      <xdr:row>2</xdr:row>
      <xdr:rowOff>65656</xdr:rowOff>
    </xdr:from>
    <xdr:to>
      <xdr:col>9</xdr:col>
      <xdr:colOff>461162</xdr:colOff>
      <xdr:row>8</xdr:row>
      <xdr:rowOff>66735</xdr:rowOff>
    </xdr:to>
    <xdr:pic>
      <xdr:nvPicPr>
        <xdr:cNvPr id="3" name="Picture 2" descr="Silkeborg IF - Wikipedia">
          <a:extLst>
            <a:ext uri="{FF2B5EF4-FFF2-40B4-BE49-F238E27FC236}">
              <a16:creationId xmlns:a16="http://schemas.microsoft.com/office/drawing/2014/main" id="{513F106C-014B-1E90-C86E-EFDA175CA3E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734300" y="205356"/>
          <a:ext cx="931062" cy="9281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10</xdr:row>
      <xdr:rowOff>0</xdr:rowOff>
    </xdr:from>
    <xdr:to>
      <xdr:col>13</xdr:col>
      <xdr:colOff>304800</xdr:colOff>
      <xdr:row>12</xdr:row>
      <xdr:rowOff>25400</xdr:rowOff>
    </xdr:to>
    <xdr:sp macro="" textlink="">
      <xdr:nvSpPr>
        <xdr:cNvPr id="4" name="AutoShape 3">
          <a:extLst>
            <a:ext uri="{FF2B5EF4-FFF2-40B4-BE49-F238E27FC236}">
              <a16:creationId xmlns:a16="http://schemas.microsoft.com/office/drawing/2014/main" id="{C585862F-5494-61D8-CE99-106D46815BCE}"/>
            </a:ext>
          </a:extLst>
        </xdr:cNvPr>
        <xdr:cNvSpPr>
          <a:spLocks noChangeAspect="1" noChangeArrowheads="1"/>
        </xdr:cNvSpPr>
      </xdr:nvSpPr>
      <xdr:spPr bwMode="auto">
        <a:xfrm>
          <a:off x="11569700" y="148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3074" name="Picture 2">
          <a:extLst>
            <a:ext uri="{FF2B5EF4-FFF2-40B4-BE49-F238E27FC236}">
              <a16:creationId xmlns:a16="http://schemas.microsoft.com/office/drawing/2014/main" id="{664EC04C-CBE7-4FA3-FCFC-0ECE2BAE16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5122" name="Picture 2">
          <a:extLst>
            <a:ext uri="{FF2B5EF4-FFF2-40B4-BE49-F238E27FC236}">
              <a16:creationId xmlns:a16="http://schemas.microsoft.com/office/drawing/2014/main" id="{DC2925B6-4407-02D7-9EE7-2D06D79EEB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7170" name="Picture 2">
          <a:extLst>
            <a:ext uri="{FF2B5EF4-FFF2-40B4-BE49-F238E27FC236}">
              <a16:creationId xmlns:a16="http://schemas.microsoft.com/office/drawing/2014/main" id="{89A35AC6-1036-0A90-22E6-4947D2524B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9218" name="Picture 2">
          <a:extLst>
            <a:ext uri="{FF2B5EF4-FFF2-40B4-BE49-F238E27FC236}">
              <a16:creationId xmlns:a16="http://schemas.microsoft.com/office/drawing/2014/main" id="{A403CDC1-755A-F030-4D3E-6C5EAF7111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65</xdr:row>
      <xdr:rowOff>0</xdr:rowOff>
    </xdr:from>
    <xdr:to>
      <xdr:col>1</xdr:col>
      <xdr:colOff>876300</xdr:colOff>
      <xdr:row>67</xdr:row>
      <xdr:rowOff>101600</xdr:rowOff>
    </xdr:to>
    <xdr:pic>
      <xdr:nvPicPr>
        <xdr:cNvPr id="9219" name="Picture 3">
          <a:extLst>
            <a:ext uri="{FF2B5EF4-FFF2-40B4-BE49-F238E27FC236}">
              <a16:creationId xmlns:a16="http://schemas.microsoft.com/office/drawing/2014/main" id="{DFD45DF5-7956-561E-386F-0F20DACF49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2500" y="9194800"/>
          <a:ext cx="8763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1266" name="Picture 2">
          <a:extLst>
            <a:ext uri="{FF2B5EF4-FFF2-40B4-BE49-F238E27FC236}">
              <a16:creationId xmlns:a16="http://schemas.microsoft.com/office/drawing/2014/main" id="{AF0ADFD4-451E-1EBA-8B68-146EA2B4C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38</xdr:row>
      <xdr:rowOff>0</xdr:rowOff>
    </xdr:from>
    <xdr:to>
      <xdr:col>1</xdr:col>
      <xdr:colOff>876300</xdr:colOff>
      <xdr:row>40</xdr:row>
      <xdr:rowOff>101600</xdr:rowOff>
    </xdr:to>
    <xdr:pic>
      <xdr:nvPicPr>
        <xdr:cNvPr id="11267" name="Picture 3">
          <a:extLst>
            <a:ext uri="{FF2B5EF4-FFF2-40B4-BE49-F238E27FC236}">
              <a16:creationId xmlns:a16="http://schemas.microsoft.com/office/drawing/2014/main" id="{6786DCCC-087E-F497-8A1A-EC6FD964FB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2500" y="7353300"/>
          <a:ext cx="8763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3314" name="Picture 2">
          <a:extLst>
            <a:ext uri="{FF2B5EF4-FFF2-40B4-BE49-F238E27FC236}">
              <a16:creationId xmlns:a16="http://schemas.microsoft.com/office/drawing/2014/main" id="{D003BBB9-ADBC-110A-CFF4-7F3B6BD539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1054100</xdr:colOff>
      <xdr:row>2</xdr:row>
      <xdr:rowOff>101600</xdr:rowOff>
    </xdr:to>
    <xdr:pic>
      <xdr:nvPicPr>
        <xdr:cNvPr id="15362" name="Picture 2">
          <a:extLst>
            <a:ext uri="{FF2B5EF4-FFF2-40B4-BE49-F238E27FC236}">
              <a16:creationId xmlns:a16="http://schemas.microsoft.com/office/drawing/2014/main" id="{FEC72097-C577-E67C-DD09-6B88DC492A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541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7410" name="Picture 2">
          <a:extLst>
            <a:ext uri="{FF2B5EF4-FFF2-40B4-BE49-F238E27FC236}">
              <a16:creationId xmlns:a16="http://schemas.microsoft.com/office/drawing/2014/main" id="{C04B275E-6E4F-1F5D-E9C1-6CD5B023E7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5602" name="Picture 2">
          <a:extLst>
            <a:ext uri="{FF2B5EF4-FFF2-40B4-BE49-F238E27FC236}">
              <a16:creationId xmlns:a16="http://schemas.microsoft.com/office/drawing/2014/main" id="{0B30E980-8FFB-54C5-D754-A3354649FE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CC8AF-DD80-3E45-8A3B-03631F24A1DD}">
  <sheetPr>
    <outlinePr summaryBelow="0" summaryRight="0"/>
    <pageSetUpPr autoPageBreaks="0"/>
  </sheetPr>
  <dimension ref="B6:IV87"/>
  <sheetViews>
    <sheetView showGridLines="0" tabSelected="1" view="pageBreakPreview" zoomScale="125" zoomScaleNormal="99" workbookViewId="0">
      <selection activeCell="C3" sqref="C3"/>
    </sheetView>
  </sheetViews>
  <sheetFormatPr baseColWidth="10" defaultColWidth="8.83203125" defaultRowHeight="11" x14ac:dyDescent="0.15"/>
  <cols>
    <col min="2" max="2" width="45.83203125" customWidth="1"/>
    <col min="3" max="257" width="8.83203125" customWidth="1"/>
  </cols>
  <sheetData>
    <row r="6" spans="2:256" ht="17" x14ac:dyDescent="0.2">
      <c r="B6" s="1" t="s">
        <v>0</v>
      </c>
    </row>
    <row r="8" spans="2:256" ht="12" x14ac:dyDescent="0.15">
      <c r="B8" s="2" t="s">
        <v>1</v>
      </c>
      <c r="C8" s="3" t="s">
        <v>2</v>
      </c>
      <c r="D8" t="s">
        <v>3</v>
      </c>
      <c r="E8" s="4" t="s">
        <v>4</v>
      </c>
      <c r="F8" s="3" t="s">
        <v>5</v>
      </c>
      <c r="G8" t="s">
        <v>6</v>
      </c>
    </row>
    <row r="9" spans="2:256" x14ac:dyDescent="0.15">
      <c r="B9" s="4"/>
      <c r="C9" s="3" t="s">
        <v>7</v>
      </c>
      <c r="D9" t="s">
        <v>8</v>
      </c>
      <c r="E9" s="4" t="s">
        <v>4</v>
      </c>
      <c r="F9" s="3" t="s">
        <v>9</v>
      </c>
      <c r="G9" t="s">
        <v>10</v>
      </c>
    </row>
    <row r="10" spans="2:256" x14ac:dyDescent="0.15">
      <c r="B10" s="4"/>
      <c r="C10" s="3" t="s">
        <v>11</v>
      </c>
      <c r="D10" s="5" t="s">
        <v>12</v>
      </c>
      <c r="E10" s="4" t="s">
        <v>4</v>
      </c>
      <c r="F10" s="3" t="s">
        <v>13</v>
      </c>
      <c r="G10" t="s">
        <v>14</v>
      </c>
    </row>
    <row r="13" spans="2:256" x14ac:dyDescent="0.15">
      <c r="B13" s="6" t="s">
        <v>15</v>
      </c>
      <c r="C13" s="6"/>
      <c r="D13" s="6"/>
      <c r="E13" s="6"/>
      <c r="F13" s="6"/>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63"/>
      <c r="EV13" s="63"/>
      <c r="EW13" s="63"/>
      <c r="EX13" s="63"/>
      <c r="EY13" s="63"/>
      <c r="EZ13" s="63"/>
      <c r="FA13" s="63"/>
      <c r="FB13" s="63"/>
      <c r="FC13" s="63"/>
      <c r="FD13" s="63"/>
      <c r="FE13" s="63"/>
      <c r="FF13" s="63"/>
      <c r="FG13" s="63"/>
      <c r="FH13" s="63"/>
      <c r="FI13" s="63"/>
      <c r="FJ13" s="63"/>
      <c r="FK13" s="63"/>
      <c r="FL13" s="63"/>
      <c r="FM13" s="63"/>
      <c r="FN13" s="63"/>
      <c r="FO13" s="63"/>
      <c r="FP13" s="63"/>
      <c r="FQ13" s="63"/>
      <c r="FR13" s="63"/>
      <c r="FS13" s="63"/>
      <c r="FT13" s="63"/>
      <c r="FU13" s="63"/>
      <c r="FV13" s="63"/>
      <c r="FW13" s="63"/>
      <c r="FX13" s="63"/>
      <c r="FY13" s="63"/>
      <c r="FZ13" s="63"/>
      <c r="GA13" s="63"/>
      <c r="GB13" s="63"/>
      <c r="GC13" s="63"/>
      <c r="GD13" s="63"/>
      <c r="GE13" s="63"/>
      <c r="GF13" s="63"/>
      <c r="GG13" s="63"/>
      <c r="GH13" s="63"/>
      <c r="GI13" s="63"/>
      <c r="GJ13" s="63"/>
      <c r="GK13" s="63"/>
      <c r="GL13" s="63"/>
      <c r="GM13" s="63"/>
      <c r="GN13" s="63"/>
      <c r="GO13" s="63"/>
      <c r="GP13" s="63"/>
      <c r="GQ13" s="63"/>
      <c r="GR13" s="63"/>
      <c r="GS13" s="63"/>
      <c r="GT13" s="63"/>
      <c r="GU13" s="63"/>
      <c r="GV13" s="63"/>
      <c r="GW13" s="63"/>
      <c r="GX13" s="63"/>
      <c r="GY13" s="63"/>
      <c r="GZ13" s="63"/>
      <c r="HA13" s="63"/>
      <c r="HB13" s="63"/>
      <c r="HC13" s="63"/>
      <c r="HD13" s="63"/>
      <c r="HE13" s="63"/>
      <c r="HF13" s="63"/>
      <c r="HG13" s="63"/>
      <c r="HH13" s="63"/>
      <c r="HI13" s="63"/>
      <c r="HJ13" s="63"/>
      <c r="HK13" s="63"/>
      <c r="HL13" s="63"/>
      <c r="HM13" s="63"/>
      <c r="HN13" s="63"/>
      <c r="HO13" s="63"/>
      <c r="HP13" s="63"/>
      <c r="HQ13" s="63"/>
      <c r="HR13" s="63"/>
      <c r="HS13" s="63"/>
      <c r="HT13" s="63"/>
      <c r="HU13" s="63"/>
      <c r="HV13" s="63"/>
      <c r="HW13" s="63"/>
      <c r="HX13" s="63"/>
      <c r="HY13" s="63"/>
      <c r="HZ13" s="63"/>
      <c r="IA13" s="63"/>
      <c r="IB13" s="63"/>
      <c r="IC13" s="63"/>
      <c r="ID13" s="63"/>
      <c r="IE13" s="63"/>
      <c r="IF13" s="63"/>
      <c r="IG13" s="63"/>
      <c r="IH13" s="63"/>
      <c r="II13" s="63"/>
      <c r="IJ13" s="63"/>
      <c r="IK13" s="63"/>
      <c r="IL13" s="63"/>
      <c r="IM13" s="63"/>
      <c r="IN13" s="63"/>
      <c r="IO13" s="63"/>
      <c r="IP13" s="63"/>
      <c r="IQ13" s="63"/>
      <c r="IR13" s="63"/>
      <c r="IS13" s="63"/>
      <c r="IT13" s="63"/>
      <c r="IU13" s="63"/>
      <c r="IV13" s="63"/>
    </row>
    <row r="14" spans="2:256" ht="36" x14ac:dyDescent="0.15">
      <c r="B14" s="7" t="s">
        <v>16</v>
      </c>
      <c r="C14" s="12" t="s">
        <v>18</v>
      </c>
      <c r="D14" s="12" t="s">
        <v>19</v>
      </c>
      <c r="E14" s="12" t="s">
        <v>20</v>
      </c>
      <c r="F14" s="88" t="s">
        <v>21</v>
      </c>
      <c r="G14" s="96">
        <v>2024</v>
      </c>
      <c r="H14" s="96">
        <v>2025</v>
      </c>
      <c r="I14" s="96">
        <v>2026</v>
      </c>
      <c r="J14" s="96">
        <v>2027</v>
      </c>
    </row>
    <row r="15" spans="2:256" ht="12" x14ac:dyDescent="0.15">
      <c r="B15" s="8" t="s">
        <v>22</v>
      </c>
      <c r="C15" s="13" t="s">
        <v>23</v>
      </c>
      <c r="D15" s="13" t="s">
        <v>23</v>
      </c>
      <c r="E15" s="13" t="s">
        <v>23</v>
      </c>
      <c r="F15" s="89" t="s">
        <v>23</v>
      </c>
      <c r="G15" s="13"/>
      <c r="H15" s="13"/>
      <c r="I15" s="13"/>
      <c r="J15" s="13"/>
    </row>
    <row r="16" spans="2:256" x14ac:dyDescent="0.15">
      <c r="B16" s="9"/>
      <c r="C16" s="4"/>
      <c r="D16" s="4"/>
      <c r="E16" s="4"/>
      <c r="F16" s="90"/>
    </row>
    <row r="17" spans="2:10" x14ac:dyDescent="0.15">
      <c r="B17" s="9" t="s">
        <v>24</v>
      </c>
      <c r="C17" s="14">
        <v>87.292000000000002</v>
      </c>
      <c r="D17" s="14">
        <v>94.632000000000005</v>
      </c>
      <c r="E17" s="14">
        <v>172.63900000000001</v>
      </c>
      <c r="F17" s="91">
        <v>139.624</v>
      </c>
      <c r="G17" s="14">
        <f>_xlfn.FORECAST.LINEAR(G34,C17:F17,C34:F34)</f>
        <v>182.29750000000001</v>
      </c>
      <c r="H17" s="14">
        <f>_xlfn.FORECAST.LINEAR(H34,D17:G17,D34:G34)</f>
        <v>204.79349999999999</v>
      </c>
      <c r="I17" s="14">
        <f t="shared" ref="I17:J17" si="0">_xlfn.FORECAST.LINEAR(I34,E17:H17,E34:H34)</f>
        <v>209.62275</v>
      </c>
      <c r="J17" s="14">
        <f t="shared" si="0"/>
        <v>242.20750000000001</v>
      </c>
    </row>
    <row r="18" spans="2:10" x14ac:dyDescent="0.15">
      <c r="B18" s="10" t="s">
        <v>25</v>
      </c>
      <c r="C18" s="15">
        <v>-0.14979000000000001</v>
      </c>
      <c r="D18" s="15">
        <v>8.4084999999999993E-2</v>
      </c>
      <c r="E18" s="15">
        <v>0.82431900000000002</v>
      </c>
      <c r="F18" s="92">
        <v>-0.19123799999999999</v>
      </c>
      <c r="G18" s="15">
        <f>(G17-F17)/F17</f>
        <v>0.30563155331461656</v>
      </c>
      <c r="H18" s="15">
        <f>(H17-G17)/G17</f>
        <v>0.12340267968567852</v>
      </c>
      <c r="I18" s="15">
        <f t="shared" ref="I18:J18" si="1">(I17-H17)/H17</f>
        <v>2.358107068827869E-2</v>
      </c>
      <c r="J18" s="15">
        <f t="shared" si="1"/>
        <v>0.15544472152950964</v>
      </c>
    </row>
    <row r="19" spans="2:10" x14ac:dyDescent="0.15">
      <c r="B19" s="4"/>
      <c r="C19" s="4"/>
      <c r="D19" s="4"/>
      <c r="E19" s="4"/>
      <c r="F19" s="90"/>
    </row>
    <row r="20" spans="2:10" x14ac:dyDescent="0.15">
      <c r="B20" s="9" t="s">
        <v>26</v>
      </c>
      <c r="C20" s="14">
        <v>51.545000000000002</v>
      </c>
      <c r="D20" s="14">
        <v>54.38</v>
      </c>
      <c r="E20" s="14">
        <v>116.738</v>
      </c>
      <c r="F20" s="91">
        <v>86.688000000000002</v>
      </c>
      <c r="G20" s="14">
        <f>_xlfn.FORECAST.LINEAR(G$34,C20:F20,C$34:F$34)</f>
        <v>119.28449999999999</v>
      </c>
      <c r="H20" s="14">
        <f t="shared" ref="H20:I20" si="2">_xlfn.FORECAST.LINEAR(H34,D20:G20,D34:G34)</f>
        <v>135.43849999999998</v>
      </c>
      <c r="I20" s="14">
        <f t="shared" si="2"/>
        <v>136.71174999999997</v>
      </c>
      <c r="J20" s="14">
        <f>_xlfn.FORECAST.LINEAR(J34,F20:I20,F34:I34)</f>
        <v>161.08699999999993</v>
      </c>
    </row>
    <row r="21" spans="2:10" x14ac:dyDescent="0.15">
      <c r="B21" s="10" t="s">
        <v>27</v>
      </c>
      <c r="C21" s="15">
        <v>0.59048900000000004</v>
      </c>
      <c r="D21" s="15">
        <v>0.57464700000000002</v>
      </c>
      <c r="E21" s="15">
        <v>0.67619700000000005</v>
      </c>
      <c r="F21" s="92">
        <v>0.62086699999999995</v>
      </c>
      <c r="G21" s="15">
        <f>G20/G$17</f>
        <v>0.65433974684238672</v>
      </c>
      <c r="H21" s="15">
        <f t="shared" ref="H21:J21" si="3">H20/H$17</f>
        <v>0.66134179063300336</v>
      </c>
      <c r="I21" s="15">
        <f t="shared" si="3"/>
        <v>0.65217992798968605</v>
      </c>
      <c r="J21" s="15">
        <f t="shared" si="3"/>
        <v>0.6650784967434944</v>
      </c>
    </row>
    <row r="22" spans="2:10" x14ac:dyDescent="0.15">
      <c r="B22" s="4"/>
      <c r="C22" s="4"/>
      <c r="D22" s="4"/>
      <c r="E22" s="4"/>
      <c r="F22" s="90"/>
    </row>
    <row r="23" spans="2:10" x14ac:dyDescent="0.15">
      <c r="B23" s="9" t="s">
        <v>28</v>
      </c>
      <c r="C23" s="14">
        <v>36.597000000000001</v>
      </c>
      <c r="D23" s="14">
        <v>15.815</v>
      </c>
      <c r="E23" s="14">
        <v>95.875</v>
      </c>
      <c r="F23" s="91">
        <v>65.733000000000004</v>
      </c>
      <c r="G23" s="14">
        <f>_xlfn.FORECAST.LINEAR(G$34,C23:F23,C$34:F$34)</f>
        <v>95.372000000000014</v>
      </c>
      <c r="H23" s="14">
        <f t="shared" ref="H23:J23" si="4">_xlfn.FORECAST.LINEAR(H$34,D23:G23,D$34:G$34)</f>
        <v>120.33100000000002</v>
      </c>
      <c r="I23" s="14">
        <f t="shared" si="4"/>
        <v>120.07950000000002</v>
      </c>
      <c r="J23" s="14">
        <f t="shared" si="4"/>
        <v>147.37850000000003</v>
      </c>
    </row>
    <row r="24" spans="2:10" x14ac:dyDescent="0.15">
      <c r="B24" s="10" t="s">
        <v>27</v>
      </c>
      <c r="C24" s="15">
        <v>0.41924800000000001</v>
      </c>
      <c r="D24" s="15">
        <v>0.16712099999999999</v>
      </c>
      <c r="E24" s="15">
        <v>0.55534899999999998</v>
      </c>
      <c r="F24" s="92">
        <v>0.47078500000000001</v>
      </c>
      <c r="G24" s="68">
        <f>G23/G$17</f>
        <v>0.52316680151949424</v>
      </c>
      <c r="H24" s="68">
        <f t="shared" ref="H24" si="5">H23/H$17</f>
        <v>0.58757235947429987</v>
      </c>
      <c r="I24" s="68">
        <f t="shared" ref="I24" si="6">I23/I$17</f>
        <v>0.57283620217748321</v>
      </c>
      <c r="J24" s="68">
        <f t="shared" ref="J24" si="7">J23/J$17</f>
        <v>0.60848033194678131</v>
      </c>
    </row>
    <row r="25" spans="2:10" x14ac:dyDescent="0.15">
      <c r="B25" s="4"/>
      <c r="C25" s="4"/>
      <c r="D25" s="4"/>
      <c r="E25" s="4"/>
      <c r="F25" s="90"/>
    </row>
    <row r="26" spans="2:10" x14ac:dyDescent="0.15">
      <c r="B26" s="9" t="s">
        <v>29</v>
      </c>
      <c r="C26" s="14">
        <v>27.074999999999999</v>
      </c>
      <c r="D26" s="14">
        <v>6.2679999999999998</v>
      </c>
      <c r="E26" s="14">
        <v>85.203999999999994</v>
      </c>
      <c r="F26" s="91">
        <v>52.475000000000001</v>
      </c>
      <c r="G26" s="14">
        <f>_xlfn.FORECAST.LINEAR(G$34,C26:F26,C$34:F$34)</f>
        <v>81.539500000000004</v>
      </c>
      <c r="H26" s="14">
        <f t="shared" ref="H26:J26" si="8">_xlfn.FORECAST.LINEAR(H$34,D26:G26,D$34:G$34)</f>
        <v>104.643</v>
      </c>
      <c r="I26" s="14">
        <f t="shared" si="8"/>
        <v>102.81074999999998</v>
      </c>
      <c r="J26" s="14">
        <f t="shared" si="8"/>
        <v>128.89474999999999</v>
      </c>
    </row>
    <row r="27" spans="2:10" x14ac:dyDescent="0.15">
      <c r="B27" s="10" t="s">
        <v>27</v>
      </c>
      <c r="C27" s="15">
        <v>0.31016500000000002</v>
      </c>
      <c r="D27" s="15">
        <v>6.6235000000000002E-2</v>
      </c>
      <c r="E27" s="15">
        <v>0.49353799999999998</v>
      </c>
      <c r="F27" s="92">
        <v>0.37583</v>
      </c>
      <c r="G27" s="68">
        <f>G26/G$17</f>
        <v>0.447288086781223</v>
      </c>
      <c r="H27" s="68">
        <f t="shared" ref="H27" si="9">H26/H$17</f>
        <v>0.51096836569520032</v>
      </c>
      <c r="I27" s="68">
        <f t="shared" ref="I27" si="10">I26/I$17</f>
        <v>0.49045606929591368</v>
      </c>
      <c r="J27" s="68">
        <f t="shared" ref="J27" si="11">J26/J$17</f>
        <v>0.53216663398119379</v>
      </c>
    </row>
    <row r="28" spans="2:10" x14ac:dyDescent="0.15">
      <c r="B28" s="4"/>
      <c r="C28" s="4"/>
      <c r="D28" s="4"/>
      <c r="E28" s="4"/>
      <c r="F28" s="90"/>
    </row>
    <row r="29" spans="2:10" x14ac:dyDescent="0.15">
      <c r="B29" s="9" t="s">
        <v>30</v>
      </c>
      <c r="C29" s="14">
        <v>22.542000000000002</v>
      </c>
      <c r="D29" s="14">
        <v>10.561</v>
      </c>
      <c r="E29" s="14">
        <v>82.911000000000001</v>
      </c>
      <c r="F29" s="91">
        <v>32.823999999999998</v>
      </c>
      <c r="G29" s="14">
        <f>_xlfn.FORECAST.LINEAR(G$34,C29:F29,C$34:F$34)</f>
        <v>63.008499999999998</v>
      </c>
      <c r="H29" s="14">
        <f t="shared" ref="H29:J29" si="12">_xlfn.FORECAST.LINEAR(H$34,D29:G29,D$34:G$34)</f>
        <v>74.14</v>
      </c>
      <c r="I29" s="14">
        <f t="shared" si="12"/>
        <v>64.188749999999999</v>
      </c>
      <c r="J29" s="14">
        <f t="shared" si="12"/>
        <v>84.84675</v>
      </c>
    </row>
    <row r="30" spans="2:10" x14ac:dyDescent="0.15">
      <c r="B30" s="10" t="s">
        <v>27</v>
      </c>
      <c r="C30" s="15">
        <v>0.25823600000000002</v>
      </c>
      <c r="D30" s="15">
        <v>0.1116</v>
      </c>
      <c r="E30" s="15">
        <v>0.48025600000000002</v>
      </c>
      <c r="F30" s="92">
        <v>0.23508799999999999</v>
      </c>
      <c r="G30" s="68">
        <f>G29/G$17</f>
        <v>0.34563556823324509</v>
      </c>
      <c r="H30" s="68">
        <f t="shared" ref="H30" si="13">H29/H$17</f>
        <v>0.36202320874441818</v>
      </c>
      <c r="I30" s="68">
        <f t="shared" ref="I30" si="14">I29/I$17</f>
        <v>0.30621080011592255</v>
      </c>
      <c r="J30" s="68">
        <f t="shared" ref="J30" si="15">J29/J$17</f>
        <v>0.35030603924321085</v>
      </c>
    </row>
    <row r="31" spans="2:10" x14ac:dyDescent="0.15">
      <c r="B31" s="4"/>
      <c r="C31" s="4"/>
      <c r="D31" s="4"/>
      <c r="E31" s="4"/>
      <c r="F31" s="90"/>
    </row>
    <row r="32" spans="2:10" x14ac:dyDescent="0.15">
      <c r="B32" s="9" t="s">
        <v>31</v>
      </c>
      <c r="C32" s="14">
        <v>22.542000000000002</v>
      </c>
      <c r="D32" s="14">
        <v>10.561</v>
      </c>
      <c r="E32" s="14">
        <v>82.911000000000001</v>
      </c>
      <c r="F32" s="91">
        <v>32.823999999999998</v>
      </c>
      <c r="G32" s="14">
        <f>_xlfn.FORECAST.LINEAR(G$34,C32:F32,C$34:F$34)</f>
        <v>63.008499999999998</v>
      </c>
      <c r="H32" s="14">
        <f t="shared" ref="H32:J32" si="16">_xlfn.FORECAST.LINEAR(H$34,D32:G32,D$34:G$34)</f>
        <v>74.14</v>
      </c>
      <c r="I32" s="14">
        <f t="shared" si="16"/>
        <v>64.188749999999999</v>
      </c>
      <c r="J32" s="14">
        <f t="shared" si="16"/>
        <v>84.84675</v>
      </c>
    </row>
    <row r="33" spans="2:256" x14ac:dyDescent="0.15">
      <c r="B33" s="10" t="s">
        <v>27</v>
      </c>
      <c r="C33" s="15">
        <v>0.25823600000000002</v>
      </c>
      <c r="D33" s="15">
        <v>0.1116</v>
      </c>
      <c r="E33" s="15">
        <v>0.48025600000000002</v>
      </c>
      <c r="F33" s="92">
        <v>0.23508799999999999</v>
      </c>
      <c r="G33" s="68">
        <f>G32/G$17</f>
        <v>0.34563556823324509</v>
      </c>
      <c r="H33" s="68">
        <f t="shared" ref="H33" si="17">H32/H$17</f>
        <v>0.36202320874441818</v>
      </c>
      <c r="I33" s="68">
        <f t="shared" ref="I33" si="18">I32/I$17</f>
        <v>0.30621080011592255</v>
      </c>
      <c r="J33" s="68">
        <f t="shared" ref="J33" si="19">J32/J$17</f>
        <v>0.35030603924321085</v>
      </c>
    </row>
    <row r="34" spans="2:256" x14ac:dyDescent="0.15">
      <c r="B34" s="74"/>
      <c r="C34" s="74">
        <v>1</v>
      </c>
      <c r="D34" s="74">
        <v>2</v>
      </c>
      <c r="E34" s="74">
        <v>3</v>
      </c>
      <c r="F34" s="93">
        <v>4</v>
      </c>
      <c r="G34" s="75">
        <v>5</v>
      </c>
      <c r="H34" s="75">
        <v>6</v>
      </c>
      <c r="I34" s="75">
        <v>7</v>
      </c>
      <c r="J34" s="75">
        <v>8</v>
      </c>
    </row>
    <row r="35" spans="2:256" x14ac:dyDescent="0.15">
      <c r="B35" s="9" t="s">
        <v>511</v>
      </c>
      <c r="C35" s="73" cm="1">
        <f t="array" ref="C35:F35">'Cash Flow'!D61:G61</f>
        <v>22.49775</v>
      </c>
      <c r="D35" s="73">
        <v>7.1353749999999998</v>
      </c>
      <c r="E35" s="73">
        <v>26.2</v>
      </c>
      <c r="F35" s="94">
        <v>21.699249999999999</v>
      </c>
      <c r="G35" s="73">
        <f>_xlfn.FORECAST.LINEAR(G34,_xlfn.ANCHORARRAY(C35),C34:F34)</f>
        <v>23.550375000000003</v>
      </c>
      <c r="H35" s="73">
        <f>_xlfn.FORECAST.LINEAR(H34,$C35:$G35,$C34:G34)</f>
        <v>25.217287500000005</v>
      </c>
      <c r="I35" s="73">
        <f>_xlfn.FORECAST.LINEAR(I34,$C35:$H35,$C34:H34)</f>
        <v>26.8842</v>
      </c>
      <c r="J35" s="73">
        <f>_xlfn.FORECAST.LINEAR(J34,$C35:$I35,$C34:I34)</f>
        <v>28.551112500000002</v>
      </c>
      <c r="K35" s="71"/>
      <c r="L35" s="71"/>
    </row>
    <row r="36" spans="2:256" x14ac:dyDescent="0.15">
      <c r="B36" s="10" t="s">
        <v>512</v>
      </c>
      <c r="C36" s="72"/>
      <c r="D36" s="72"/>
      <c r="E36" s="72"/>
      <c r="F36" s="95"/>
      <c r="G36" s="71">
        <f>G35/(1+$G$49)^((1+$G$50)^D34)</f>
        <v>22.37342987710834</v>
      </c>
      <c r="H36" s="71">
        <f t="shared" ref="H36:I36" si="20">H35/(1+$G$49)^((1+$G$50)^E34)</f>
        <v>23.911023307391531</v>
      </c>
      <c r="I36" s="71">
        <f t="shared" si="20"/>
        <v>25.440793496048315</v>
      </c>
      <c r="J36" s="71">
        <f>J35/(1+$G$49)^((1+$G$50)^G34)</f>
        <v>26.96235534251813</v>
      </c>
      <c r="L36" s="71"/>
    </row>
    <row r="37" spans="2:256" x14ac:dyDescent="0.15">
      <c r="B37" s="4"/>
      <c r="C37" s="4"/>
      <c r="D37" s="4"/>
      <c r="E37" s="4"/>
      <c r="F37" s="4"/>
    </row>
    <row r="38" spans="2:256" x14ac:dyDescent="0.15">
      <c r="B38" s="11"/>
      <c r="C38" s="11"/>
      <c r="D38" s="11"/>
      <c r="E38" s="11"/>
      <c r="F38" s="11"/>
      <c r="G38" s="11"/>
      <c r="H38" s="11"/>
      <c r="I38" s="11"/>
      <c r="J38" s="11"/>
    </row>
    <row r="39" spans="2:256" x14ac:dyDescent="0.15">
      <c r="B39" t="s">
        <v>33</v>
      </c>
    </row>
    <row r="41" spans="2:256" x14ac:dyDescent="0.15">
      <c r="B41" t="s">
        <v>34</v>
      </c>
    </row>
    <row r="43" spans="2:256" x14ac:dyDescent="0.15">
      <c r="B43" s="6" t="s">
        <v>35</v>
      </c>
      <c r="C43" s="6"/>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3"/>
      <c r="BV43" s="63"/>
      <c r="BW43" s="63"/>
      <c r="BX43" s="63"/>
      <c r="BY43" s="63"/>
      <c r="BZ43" s="63"/>
      <c r="CA43" s="63"/>
      <c r="CB43" s="63"/>
      <c r="CC43" s="63"/>
      <c r="CD43" s="63"/>
      <c r="CE43" s="63"/>
      <c r="CF43" s="63"/>
      <c r="CG43" s="63"/>
      <c r="CH43" s="63"/>
      <c r="CI43" s="63"/>
      <c r="CJ43" s="63"/>
      <c r="CK43" s="63"/>
      <c r="CL43" s="63"/>
      <c r="CM43" s="63"/>
      <c r="CN43" s="63"/>
      <c r="CO43" s="63"/>
      <c r="CP43" s="63"/>
      <c r="CQ43" s="63"/>
      <c r="CR43" s="63"/>
      <c r="CS43" s="63"/>
      <c r="CT43" s="63"/>
      <c r="CU43" s="63"/>
      <c r="CV43" s="63"/>
      <c r="CW43" s="63"/>
      <c r="CX43" s="63"/>
      <c r="CY43" s="63"/>
      <c r="CZ43" s="63"/>
      <c r="DA43" s="63"/>
      <c r="DB43" s="63"/>
      <c r="DC43" s="63"/>
      <c r="DD43" s="63"/>
      <c r="DE43" s="63"/>
      <c r="DF43" s="63"/>
      <c r="DG43" s="63"/>
      <c r="DH43" s="63"/>
      <c r="DI43" s="63"/>
      <c r="DJ43" s="63"/>
      <c r="DK43" s="63"/>
      <c r="DL43" s="63"/>
      <c r="DM43" s="63"/>
      <c r="DN43" s="63"/>
      <c r="DO43" s="63"/>
      <c r="DP43" s="63"/>
      <c r="DQ43" s="63"/>
      <c r="DR43" s="63"/>
      <c r="DS43" s="63"/>
      <c r="DT43" s="63"/>
      <c r="DU43" s="63"/>
      <c r="DV43" s="63"/>
      <c r="DW43" s="63"/>
      <c r="DX43" s="63"/>
      <c r="DY43" s="63"/>
      <c r="DZ43" s="63"/>
      <c r="EA43" s="63"/>
      <c r="EB43" s="63"/>
      <c r="EC43" s="63"/>
      <c r="ED43" s="63"/>
      <c r="EE43" s="63"/>
      <c r="EF43" s="63"/>
      <c r="EG43" s="63"/>
      <c r="EH43" s="63"/>
      <c r="EI43" s="63"/>
      <c r="EJ43" s="63"/>
      <c r="EK43" s="63"/>
      <c r="EL43" s="63"/>
      <c r="EM43" s="63"/>
      <c r="EN43" s="63"/>
      <c r="EO43" s="63"/>
      <c r="EP43" s="63"/>
      <c r="EQ43" s="63"/>
      <c r="ER43" s="63"/>
      <c r="ES43" s="63"/>
      <c r="ET43" s="63"/>
      <c r="EU43" s="63"/>
      <c r="EV43" s="63"/>
      <c r="EW43" s="63"/>
      <c r="EX43" s="63"/>
      <c r="EY43" s="63"/>
      <c r="EZ43" s="63"/>
      <c r="FA43" s="63"/>
      <c r="FB43" s="63"/>
      <c r="FC43" s="63"/>
      <c r="FD43" s="63"/>
      <c r="FE43" s="63"/>
      <c r="FF43" s="63"/>
      <c r="FG43" s="63"/>
      <c r="FH43" s="63"/>
      <c r="FI43" s="63"/>
      <c r="FJ43" s="63"/>
      <c r="FK43" s="63"/>
      <c r="FL43" s="63"/>
      <c r="FM43" s="63"/>
      <c r="FN43" s="63"/>
      <c r="FO43" s="63"/>
      <c r="FP43" s="63"/>
      <c r="FQ43" s="63"/>
      <c r="FR43" s="63"/>
      <c r="FS43" s="63"/>
      <c r="FT43" s="63"/>
      <c r="FU43" s="63"/>
      <c r="FV43" s="63"/>
      <c r="FW43" s="63"/>
      <c r="FX43" s="63"/>
      <c r="FY43" s="63"/>
      <c r="FZ43" s="63"/>
      <c r="GA43" s="63"/>
      <c r="GB43" s="63"/>
      <c r="GC43" s="63"/>
      <c r="GD43" s="63"/>
      <c r="GE43" s="63"/>
      <c r="GF43" s="63"/>
      <c r="GG43" s="63"/>
      <c r="GH43" s="63"/>
      <c r="GI43" s="63"/>
      <c r="GJ43" s="63"/>
      <c r="GK43" s="63"/>
      <c r="GL43" s="63"/>
      <c r="GM43" s="63"/>
      <c r="GN43" s="63"/>
      <c r="GO43" s="63"/>
      <c r="GP43" s="63"/>
      <c r="GQ43" s="63"/>
      <c r="GR43" s="63"/>
      <c r="GS43" s="63"/>
      <c r="GT43" s="63"/>
      <c r="GU43" s="63"/>
      <c r="GV43" s="63"/>
      <c r="GW43" s="63"/>
      <c r="GX43" s="63"/>
      <c r="GY43" s="63"/>
      <c r="GZ43" s="63"/>
      <c r="HA43" s="63"/>
      <c r="HB43" s="63"/>
      <c r="HC43" s="63"/>
      <c r="HD43" s="63"/>
      <c r="HE43" s="63"/>
      <c r="HF43" s="63"/>
      <c r="HG43" s="63"/>
      <c r="HH43" s="63"/>
      <c r="HI43" s="63"/>
      <c r="HJ43" s="63"/>
      <c r="HK43" s="63"/>
      <c r="HL43" s="63"/>
      <c r="HM43" s="63"/>
      <c r="HN43" s="63"/>
      <c r="HO43" s="63"/>
      <c r="HP43" s="63"/>
      <c r="HQ43" s="63"/>
      <c r="HR43" s="63"/>
      <c r="HS43" s="63"/>
      <c r="HT43" s="63"/>
      <c r="HU43" s="63"/>
      <c r="HV43" s="63"/>
      <c r="HW43" s="63"/>
      <c r="HX43" s="63"/>
      <c r="HY43" s="63"/>
      <c r="HZ43" s="63"/>
      <c r="IA43" s="63"/>
      <c r="IB43" s="63"/>
      <c r="IC43" s="63"/>
      <c r="ID43" s="63"/>
      <c r="IE43" s="63"/>
      <c r="IF43" s="63"/>
      <c r="IG43" s="63"/>
      <c r="IH43" s="63"/>
      <c r="II43" s="63"/>
      <c r="IJ43" s="63"/>
      <c r="IK43" s="63"/>
      <c r="IL43" s="63"/>
      <c r="IM43" s="63"/>
      <c r="IN43" s="63"/>
      <c r="IO43" s="63"/>
      <c r="IP43" s="63"/>
      <c r="IQ43" s="63"/>
      <c r="IR43" s="63"/>
      <c r="IS43" s="63"/>
      <c r="IT43" s="63"/>
      <c r="IU43" s="63"/>
      <c r="IV43" s="63"/>
    </row>
    <row r="44" spans="2:256" ht="12" x14ac:dyDescent="0.15">
      <c r="B44" s="8" t="s">
        <v>22</v>
      </c>
      <c r="C44" s="13" t="s">
        <v>23</v>
      </c>
      <c r="F44" t="s">
        <v>514</v>
      </c>
      <c r="G44" s="64">
        <f>C59/C60</f>
        <v>0.47013709456789371</v>
      </c>
    </row>
    <row r="45" spans="2:256" x14ac:dyDescent="0.15">
      <c r="B45" s="4" t="s">
        <v>36</v>
      </c>
      <c r="C45" s="18">
        <v>24.6</v>
      </c>
      <c r="F45" t="s">
        <v>517</v>
      </c>
      <c r="G45" s="64">
        <f>'Cash Flow'!G59/'Key Stats'!C59</f>
        <v>4.581956666515799E-2</v>
      </c>
      <c r="I45" s="84" t="s">
        <v>518</v>
      </c>
      <c r="J45" s="85">
        <v>0.02</v>
      </c>
    </row>
    <row r="46" spans="2:256" x14ac:dyDescent="0.15">
      <c r="B46" s="4" t="s">
        <v>37</v>
      </c>
      <c r="C46" s="19">
        <v>9.9015979999999999</v>
      </c>
      <c r="F46" t="s">
        <v>519</v>
      </c>
      <c r="G46" s="64">
        <v>0.22</v>
      </c>
      <c r="I46" s="86" t="s">
        <v>515</v>
      </c>
      <c r="J46" s="87">
        <f>(G48*G49)+(G44*G45*(1-G46))</f>
        <v>4.2649595188011064E-2</v>
      </c>
    </row>
    <row r="47" spans="2:256" x14ac:dyDescent="0.15">
      <c r="B47" s="4"/>
      <c r="C47" s="4"/>
      <c r="F47" t="s">
        <v>520</v>
      </c>
      <c r="G47" s="65">
        <f>C56</f>
        <v>348.61799999999999</v>
      </c>
    </row>
    <row r="48" spans="2:256" x14ac:dyDescent="0.15">
      <c r="B48" s="9" t="s">
        <v>38</v>
      </c>
      <c r="C48" s="14">
        <v>243.57930999999999</v>
      </c>
      <c r="F48" t="s">
        <v>521</v>
      </c>
      <c r="G48" s="64">
        <f>G47/G53</f>
        <v>0.52986290543210623</v>
      </c>
    </row>
    <row r="49" spans="2:10" x14ac:dyDescent="0.15">
      <c r="B49" s="4" t="s">
        <v>39</v>
      </c>
      <c r="C49" s="19">
        <v>69.180999999999997</v>
      </c>
      <c r="F49" t="s">
        <v>522</v>
      </c>
      <c r="G49" s="64">
        <f>G50+(G51*G52)</f>
        <v>4.8780999999999998E-2</v>
      </c>
    </row>
    <row r="50" spans="2:10" x14ac:dyDescent="0.15">
      <c r="B50" s="4" t="s">
        <v>40</v>
      </c>
      <c r="C50" s="19">
        <v>309.322</v>
      </c>
      <c r="F50" t="s">
        <v>523</v>
      </c>
      <c r="G50" s="64">
        <f>J50</f>
        <v>3.7499999999999999E-2</v>
      </c>
      <c r="H50" s="70" t="s">
        <v>529</v>
      </c>
      <c r="I50" s="82" t="s">
        <v>527</v>
      </c>
      <c r="J50" s="83">
        <v>3.7499999999999999E-2</v>
      </c>
    </row>
    <row r="51" spans="2:10" ht="12" x14ac:dyDescent="0.15">
      <c r="B51" s="4" t="s">
        <v>41</v>
      </c>
      <c r="C51" s="19" t="s">
        <v>42</v>
      </c>
      <c r="F51" t="s">
        <v>524</v>
      </c>
      <c r="G51" s="66">
        <v>0.28999999999999998</v>
      </c>
      <c r="I51" s="82" t="s">
        <v>528</v>
      </c>
      <c r="J51" s="83">
        <v>0.04</v>
      </c>
    </row>
    <row r="52" spans="2:10" ht="12" x14ac:dyDescent="0.15">
      <c r="B52" s="4" t="s">
        <v>43</v>
      </c>
      <c r="C52" s="19" t="s">
        <v>42</v>
      </c>
      <c r="F52" t="s">
        <v>525</v>
      </c>
      <c r="G52" s="64">
        <f>0.0764-G50</f>
        <v>3.8899999999999997E-2</v>
      </c>
    </row>
    <row r="53" spans="2:10" ht="12" x14ac:dyDescent="0.15">
      <c r="B53" s="4" t="s">
        <v>44</v>
      </c>
      <c r="C53" s="19" t="s">
        <v>42</v>
      </c>
      <c r="F53" t="s">
        <v>526</v>
      </c>
      <c r="G53" s="65">
        <f>C60</f>
        <v>657.94</v>
      </c>
    </row>
    <row r="54" spans="2:10" x14ac:dyDescent="0.15">
      <c r="B54" s="9" t="s">
        <v>45</v>
      </c>
      <c r="C54" s="14">
        <v>483.72030999999998</v>
      </c>
    </row>
    <row r="55" spans="2:10" x14ac:dyDescent="0.15">
      <c r="B55" s="4"/>
      <c r="C55" s="4"/>
      <c r="F55" s="76" t="s">
        <v>513</v>
      </c>
      <c r="G55" s="77">
        <f>fcff*(1+tgr)/(wacc-tgr)</f>
        <v>1285.7684434649411</v>
      </c>
    </row>
    <row r="56" spans="2:10" x14ac:dyDescent="0.15">
      <c r="B56" s="4" t="s">
        <v>46</v>
      </c>
      <c r="C56" s="19">
        <v>348.61799999999999</v>
      </c>
      <c r="F56" s="78" t="s">
        <v>516</v>
      </c>
      <c r="G56" s="79">
        <f>G55/(1+$G$49)^((1+$G$50)^4.5)</f>
        <v>1215.4890824285353</v>
      </c>
    </row>
    <row r="57" spans="2:10" ht="12" x14ac:dyDescent="0.15">
      <c r="B57" s="4" t="s">
        <v>41</v>
      </c>
      <c r="C57" s="19" t="s">
        <v>42</v>
      </c>
      <c r="F57" s="78" t="s">
        <v>520</v>
      </c>
      <c r="G57" s="97">
        <f>G56+C49-C50</f>
        <v>975.34808242853535</v>
      </c>
    </row>
    <row r="58" spans="2:10" ht="12" x14ac:dyDescent="0.15">
      <c r="B58" s="4" t="s">
        <v>43</v>
      </c>
      <c r="C58" s="19" t="s">
        <v>42</v>
      </c>
      <c r="F58" s="80" t="s">
        <v>530</v>
      </c>
      <c r="G58" s="81">
        <f>G57/C46</f>
        <v>98.504108370036363</v>
      </c>
    </row>
    <row r="59" spans="2:10" x14ac:dyDescent="0.15">
      <c r="B59" s="4" t="s">
        <v>40</v>
      </c>
      <c r="C59" s="19">
        <v>309.322</v>
      </c>
    </row>
    <row r="60" spans="2:10" x14ac:dyDescent="0.15">
      <c r="B60" s="9" t="s">
        <v>47</v>
      </c>
      <c r="C60" s="14">
        <v>657.94</v>
      </c>
      <c r="F60" t="s">
        <v>531</v>
      </c>
      <c r="G60" s="15">
        <f>(G58-C45)/C45</f>
        <v>3.004232047562454</v>
      </c>
    </row>
    <row r="61" spans="2:10" x14ac:dyDescent="0.15">
      <c r="B61" s="4"/>
      <c r="C61" s="4"/>
    </row>
    <row r="62" spans="2:10" x14ac:dyDescent="0.15">
      <c r="B62" s="4"/>
      <c r="C62" s="4"/>
    </row>
    <row r="63" spans="2:10" ht="60" x14ac:dyDescent="0.15">
      <c r="B63" s="11" t="s">
        <v>48</v>
      </c>
      <c r="C63" s="11"/>
    </row>
    <row r="65" spans="2:256" ht="200" customHeight="1" x14ac:dyDescent="0.15">
      <c r="B65" s="20"/>
    </row>
    <row r="67" spans="2:256" x14ac:dyDescent="0.15">
      <c r="B67" t="s">
        <v>49</v>
      </c>
    </row>
    <row r="68" spans="2:256" x14ac:dyDescent="0.15">
      <c r="B68" t="s">
        <v>50</v>
      </c>
    </row>
    <row r="69" spans="2:256" x14ac:dyDescent="0.15">
      <c r="B69" t="s">
        <v>51</v>
      </c>
    </row>
    <row r="70" spans="2:256" x14ac:dyDescent="0.15">
      <c r="B70" t="s">
        <v>52</v>
      </c>
    </row>
    <row r="72" spans="2:256" x14ac:dyDescent="0.15">
      <c r="B72" s="6" t="s">
        <v>53</v>
      </c>
      <c r="C72" s="6"/>
      <c r="D72" s="6"/>
      <c r="E72" s="6"/>
      <c r="F72" s="6"/>
      <c r="G72" s="6"/>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c r="BQ72" s="63"/>
      <c r="BR72" s="63"/>
      <c r="BS72" s="63"/>
      <c r="BT72" s="63"/>
      <c r="BU72" s="63"/>
      <c r="BV72" s="63"/>
      <c r="BW72" s="63"/>
      <c r="BX72" s="63"/>
      <c r="BY72" s="63"/>
      <c r="BZ72" s="63"/>
      <c r="CA72" s="63"/>
      <c r="CB72" s="63"/>
      <c r="CC72" s="63"/>
      <c r="CD72" s="63"/>
      <c r="CE72" s="63"/>
      <c r="CF72" s="63"/>
      <c r="CG72" s="63"/>
      <c r="CH72" s="63"/>
      <c r="CI72" s="63"/>
      <c r="CJ72" s="63"/>
      <c r="CK72" s="63"/>
      <c r="CL72" s="63"/>
      <c r="CM72" s="63"/>
      <c r="CN72" s="63"/>
      <c r="CO72" s="63"/>
      <c r="CP72" s="63"/>
      <c r="CQ72" s="63"/>
      <c r="CR72" s="63"/>
      <c r="CS72" s="63"/>
      <c r="CT72" s="63"/>
      <c r="CU72" s="63"/>
      <c r="CV72" s="63"/>
      <c r="CW72" s="63"/>
      <c r="CX72" s="63"/>
      <c r="CY72" s="63"/>
      <c r="CZ72" s="63"/>
      <c r="DA72" s="63"/>
      <c r="DB72" s="63"/>
      <c r="DC72" s="63"/>
      <c r="DD72" s="63"/>
      <c r="DE72" s="63"/>
      <c r="DF72" s="63"/>
      <c r="DG72" s="63"/>
      <c r="DH72" s="63"/>
      <c r="DI72" s="63"/>
      <c r="DJ72" s="63"/>
      <c r="DK72" s="63"/>
      <c r="DL72" s="63"/>
      <c r="DM72" s="63"/>
      <c r="DN72" s="63"/>
      <c r="DO72" s="63"/>
      <c r="DP72" s="63"/>
      <c r="DQ72" s="63"/>
      <c r="DR72" s="63"/>
      <c r="DS72" s="63"/>
      <c r="DT72" s="63"/>
      <c r="DU72" s="63"/>
      <c r="DV72" s="63"/>
      <c r="DW72" s="63"/>
      <c r="DX72" s="63"/>
      <c r="DY72" s="63"/>
      <c r="DZ72" s="63"/>
      <c r="EA72" s="63"/>
      <c r="EB72" s="63"/>
      <c r="EC72" s="63"/>
      <c r="ED72" s="63"/>
      <c r="EE72" s="63"/>
      <c r="EF72" s="63"/>
      <c r="EG72" s="63"/>
      <c r="EH72" s="63"/>
      <c r="EI72" s="63"/>
      <c r="EJ72" s="63"/>
      <c r="EK72" s="63"/>
      <c r="EL72" s="63"/>
      <c r="EM72" s="63"/>
      <c r="EN72" s="63"/>
      <c r="EO72" s="63"/>
      <c r="EP72" s="63"/>
      <c r="EQ72" s="63"/>
      <c r="ER72" s="63"/>
      <c r="ES72" s="63"/>
      <c r="ET72" s="63"/>
      <c r="EU72" s="63"/>
      <c r="EV72" s="63"/>
      <c r="EW72" s="63"/>
      <c r="EX72" s="63"/>
      <c r="EY72" s="63"/>
      <c r="EZ72" s="63"/>
      <c r="FA72" s="63"/>
      <c r="FB72" s="63"/>
      <c r="FC72" s="63"/>
      <c r="FD72" s="63"/>
      <c r="FE72" s="63"/>
      <c r="FF72" s="63"/>
      <c r="FG72" s="63"/>
      <c r="FH72" s="63"/>
      <c r="FI72" s="63"/>
      <c r="FJ72" s="63"/>
      <c r="FK72" s="63"/>
      <c r="FL72" s="63"/>
      <c r="FM72" s="63"/>
      <c r="FN72" s="63"/>
      <c r="FO72" s="63"/>
      <c r="FP72" s="63"/>
      <c r="FQ72" s="63"/>
      <c r="FR72" s="63"/>
      <c r="FS72" s="63"/>
      <c r="FT72" s="63"/>
      <c r="FU72" s="63"/>
      <c r="FV72" s="63"/>
      <c r="FW72" s="63"/>
      <c r="FX72" s="63"/>
      <c r="FY72" s="63"/>
      <c r="FZ72" s="63"/>
      <c r="GA72" s="63"/>
      <c r="GB72" s="63"/>
      <c r="GC72" s="63"/>
      <c r="GD72" s="63"/>
      <c r="GE72" s="63"/>
      <c r="GF72" s="63"/>
      <c r="GG72" s="63"/>
      <c r="GH72" s="63"/>
      <c r="GI72" s="63"/>
      <c r="GJ72" s="63"/>
      <c r="GK72" s="63"/>
      <c r="GL72" s="63"/>
      <c r="GM72" s="63"/>
      <c r="GN72" s="63"/>
      <c r="GO72" s="63"/>
      <c r="GP72" s="63"/>
      <c r="GQ72" s="63"/>
      <c r="GR72" s="63"/>
      <c r="GS72" s="63"/>
      <c r="GT72" s="63"/>
      <c r="GU72" s="63"/>
      <c r="GV72" s="63"/>
      <c r="GW72" s="63"/>
      <c r="GX72" s="63"/>
      <c r="GY72" s="63"/>
      <c r="GZ72" s="63"/>
      <c r="HA72" s="63"/>
      <c r="HB72" s="63"/>
      <c r="HC72" s="63"/>
      <c r="HD72" s="63"/>
      <c r="HE72" s="63"/>
      <c r="HF72" s="63"/>
      <c r="HG72" s="63"/>
      <c r="HH72" s="63"/>
      <c r="HI72" s="63"/>
      <c r="HJ72" s="63"/>
      <c r="HK72" s="63"/>
      <c r="HL72" s="63"/>
      <c r="HM72" s="63"/>
      <c r="HN72" s="63"/>
      <c r="HO72" s="63"/>
      <c r="HP72" s="63"/>
      <c r="HQ72" s="63"/>
      <c r="HR72" s="63"/>
      <c r="HS72" s="63"/>
      <c r="HT72" s="63"/>
      <c r="HU72" s="63"/>
      <c r="HV72" s="63"/>
      <c r="HW72" s="63"/>
      <c r="HX72" s="63"/>
      <c r="HY72" s="63"/>
      <c r="HZ72" s="63"/>
      <c r="IA72" s="63"/>
      <c r="IB72" s="63"/>
      <c r="IC72" s="63"/>
      <c r="ID72" s="63"/>
      <c r="IE72" s="63"/>
      <c r="IF72" s="63"/>
      <c r="IG72" s="63"/>
      <c r="IH72" s="63"/>
      <c r="II72" s="63"/>
      <c r="IJ72" s="63"/>
      <c r="IK72" s="63"/>
      <c r="IL72" s="63"/>
      <c r="IM72" s="63"/>
      <c r="IN72" s="63"/>
      <c r="IO72" s="63"/>
      <c r="IP72" s="63"/>
      <c r="IQ72" s="63"/>
      <c r="IR72" s="63"/>
      <c r="IS72" s="63"/>
      <c r="IT72" s="63"/>
      <c r="IU72" s="63"/>
      <c r="IV72" s="63"/>
    </row>
    <row r="73" spans="2:256" ht="36" x14ac:dyDescent="0.15">
      <c r="B73" s="7" t="s">
        <v>16</v>
      </c>
      <c r="C73" s="12" t="s">
        <v>17</v>
      </c>
      <c r="D73" s="12" t="s">
        <v>18</v>
      </c>
      <c r="E73" s="12" t="s">
        <v>19</v>
      </c>
      <c r="F73" s="12" t="s">
        <v>20</v>
      </c>
      <c r="G73" s="12" t="s">
        <v>21</v>
      </c>
    </row>
    <row r="74" spans="2:256" ht="12" x14ac:dyDescent="0.15">
      <c r="B74" s="9" t="s">
        <v>54</v>
      </c>
      <c r="C74" s="16" t="s">
        <v>42</v>
      </c>
      <c r="D74" s="21">
        <v>5.541404</v>
      </c>
      <c r="E74" s="21">
        <v>5.1115930000000001</v>
      </c>
      <c r="F74" s="21">
        <v>2.801917</v>
      </c>
      <c r="G74" s="21">
        <v>3.4644490000000001</v>
      </c>
    </row>
    <row r="75" spans="2:256" x14ac:dyDescent="0.15">
      <c r="B75" s="4"/>
      <c r="C75" s="4"/>
      <c r="D75" s="4"/>
      <c r="E75" s="4"/>
      <c r="F75" s="4"/>
      <c r="G75" s="4"/>
    </row>
    <row r="76" spans="2:256" ht="12" x14ac:dyDescent="0.15">
      <c r="B76" s="9" t="s">
        <v>55</v>
      </c>
      <c r="C76" s="16" t="s">
        <v>42</v>
      </c>
      <c r="D76" s="21">
        <v>13.217485</v>
      </c>
      <c r="E76" s="21">
        <v>30.586171</v>
      </c>
      <c r="F76" s="21">
        <v>5.0453219999999996</v>
      </c>
      <c r="G76" s="21">
        <v>7.3588649999999998</v>
      </c>
    </row>
    <row r="77" spans="2:256" x14ac:dyDescent="0.15">
      <c r="B77" s="4"/>
      <c r="C77" s="4"/>
      <c r="D77" s="4"/>
      <c r="E77" s="4"/>
      <c r="F77" s="4"/>
      <c r="G77" s="4"/>
    </row>
    <row r="78" spans="2:256" ht="12" x14ac:dyDescent="0.15">
      <c r="B78" s="9" t="s">
        <v>56</v>
      </c>
      <c r="C78" s="16" t="s">
        <v>42</v>
      </c>
      <c r="D78" s="21">
        <v>17.865939000000001</v>
      </c>
      <c r="E78" s="21">
        <v>77.172990999999996</v>
      </c>
      <c r="F78" s="21">
        <v>5.6772010000000002</v>
      </c>
      <c r="G78" s="21">
        <v>9.2181090000000001</v>
      </c>
    </row>
    <row r="79" spans="2:256" x14ac:dyDescent="0.15">
      <c r="B79" s="4"/>
      <c r="C79" s="4"/>
      <c r="D79" s="4"/>
      <c r="E79" s="4"/>
      <c r="F79" s="4"/>
      <c r="G79" s="4"/>
    </row>
    <row r="80" spans="2:256" ht="12" x14ac:dyDescent="0.15">
      <c r="B80" s="9" t="s">
        <v>57</v>
      </c>
      <c r="C80" s="16" t="s">
        <v>42</v>
      </c>
      <c r="D80" s="21">
        <v>10.805577</v>
      </c>
      <c r="E80" s="21">
        <v>23.064049000000001</v>
      </c>
      <c r="F80" s="21">
        <v>2.938015</v>
      </c>
      <c r="G80" s="21">
        <v>7.4208160000000003</v>
      </c>
    </row>
    <row r="81" spans="2:7" x14ac:dyDescent="0.15">
      <c r="B81" s="4"/>
      <c r="C81" s="4"/>
      <c r="D81" s="4"/>
      <c r="E81" s="4"/>
      <c r="F81" s="4"/>
      <c r="G81" s="4"/>
    </row>
    <row r="82" spans="2:7" ht="12" x14ac:dyDescent="0.15">
      <c r="B82" s="9" t="s">
        <v>58</v>
      </c>
      <c r="C82" s="16" t="s">
        <v>42</v>
      </c>
      <c r="D82" s="21">
        <v>1.094101</v>
      </c>
      <c r="E82" s="21">
        <v>1.04593</v>
      </c>
      <c r="F82" s="21">
        <v>0.77132299999999998</v>
      </c>
      <c r="G82" s="21">
        <v>0.69869899999999996</v>
      </c>
    </row>
    <row r="83" spans="2:7" x14ac:dyDescent="0.15">
      <c r="B83" s="4"/>
      <c r="C83" s="4"/>
      <c r="D83" s="4"/>
      <c r="E83" s="4"/>
      <c r="F83" s="4"/>
      <c r="G83" s="4"/>
    </row>
    <row r="84" spans="2:7" ht="12" x14ac:dyDescent="0.15">
      <c r="B84" s="9" t="s">
        <v>59</v>
      </c>
      <c r="C84" s="16" t="s">
        <v>42</v>
      </c>
      <c r="D84" s="21">
        <v>1.1123069999999999</v>
      </c>
      <c r="E84" s="21">
        <v>1.0635490000000001</v>
      </c>
      <c r="F84" s="21">
        <v>0.79133699999999996</v>
      </c>
      <c r="G84" s="21">
        <v>0.71327300000000005</v>
      </c>
    </row>
    <row r="85" spans="2:7" x14ac:dyDescent="0.15">
      <c r="B85" s="4"/>
      <c r="C85" s="4"/>
      <c r="D85" s="4"/>
      <c r="E85" s="4"/>
      <c r="F85" s="4"/>
      <c r="G85" s="4"/>
    </row>
    <row r="86" spans="2:7" x14ac:dyDescent="0.15">
      <c r="B86" s="11"/>
      <c r="C86" s="11"/>
      <c r="D86" s="11"/>
      <c r="E86" s="11"/>
      <c r="F86" s="11"/>
      <c r="G86" s="11"/>
    </row>
    <row r="87" spans="2:7" x14ac:dyDescent="0.15">
      <c r="B87" s="22" t="s">
        <v>60</v>
      </c>
    </row>
  </sheetData>
  <phoneticPr fontId="0" type="noConversion"/>
  <conditionalFormatting sqref="C18:J18">
    <cfRule type="cellIs" dxfId="3" priority="3" operator="lessThan">
      <formula>0</formula>
    </cfRule>
    <cfRule type="cellIs" dxfId="2" priority="4" operator="greaterThan">
      <formula>0</formula>
    </cfRule>
  </conditionalFormatting>
  <conditionalFormatting sqref="G60">
    <cfRule type="cellIs" dxfId="1" priority="1" operator="lessThan">
      <formula>0</formula>
    </cfRule>
    <cfRule type="cellIs" dxfId="0" priority="2" operator="greaterThan">
      <formula>0</formula>
    </cfRule>
  </conditionalFormatting>
  <pageMargins left="0.2" right="0.2" top="0.5" bottom="0.5" header="0.5" footer="0.5"/>
  <pageSetup scale="67" fitToWidth="0" fitToHeight="0" orientation="landscape" horizontalDpi="0" verticalDpi="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44925-ABC8-1843-B013-C0BBF1EF1203}">
  <sheetPr>
    <outlinePr summaryBelow="0" summaryRight="0"/>
    <pageSetUpPr autoPageBreaks="0"/>
  </sheetPr>
  <dimension ref="A5:IU100"/>
  <sheetViews>
    <sheetView topLeftCell="A30" zoomScale="164" workbookViewId="0">
      <selection activeCell="A12" sqref="A12"/>
    </sheetView>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61</v>
      </c>
    </row>
    <row r="7" spans="1:255" ht="12" x14ac:dyDescent="0.15">
      <c r="A7" s="2" t="s">
        <v>62</v>
      </c>
      <c r="B7" s="3" t="s">
        <v>63</v>
      </c>
      <c r="C7" t="s">
        <v>64</v>
      </c>
      <c r="D7" s="4" t="s">
        <v>4</v>
      </c>
      <c r="E7" s="3" t="s">
        <v>65</v>
      </c>
      <c r="F7" t="s">
        <v>66</v>
      </c>
    </row>
    <row r="8" spans="1:255" x14ac:dyDescent="0.15">
      <c r="A8" s="4"/>
      <c r="B8" s="3" t="s">
        <v>67</v>
      </c>
      <c r="C8" t="s">
        <v>68</v>
      </c>
      <c r="D8" s="4" t="s">
        <v>4</v>
      </c>
      <c r="E8" s="3" t="s">
        <v>69</v>
      </c>
      <c r="F8" t="s">
        <v>8</v>
      </c>
    </row>
    <row r="9" spans="1:255" x14ac:dyDescent="0.15">
      <c r="A9" s="4"/>
      <c r="B9" s="3" t="s">
        <v>70</v>
      </c>
      <c r="C9" t="s">
        <v>71</v>
      </c>
      <c r="D9" s="4" t="s">
        <v>4</v>
      </c>
      <c r="E9" s="3" t="s">
        <v>72</v>
      </c>
      <c r="F9" t="s">
        <v>6</v>
      </c>
    </row>
    <row r="10" spans="1:255" x14ac:dyDescent="0.15">
      <c r="A10" s="4"/>
      <c r="B10" s="3" t="s">
        <v>73</v>
      </c>
      <c r="C10" t="s">
        <v>10</v>
      </c>
      <c r="D10" s="4" t="s">
        <v>4</v>
      </c>
      <c r="E10" s="3" t="s">
        <v>74</v>
      </c>
      <c r="F10" s="5" t="s">
        <v>12</v>
      </c>
    </row>
    <row r="11" spans="1:255" x14ac:dyDescent="0.15">
      <c r="A11" s="4"/>
      <c r="B11" s="3" t="s">
        <v>75</v>
      </c>
      <c r="C11" t="s">
        <v>76</v>
      </c>
      <c r="D11" s="4" t="s">
        <v>4</v>
      </c>
      <c r="E11" s="23"/>
      <c r="F11" s="23"/>
    </row>
    <row r="14" spans="1:255" x14ac:dyDescent="0.15">
      <c r="A14" s="6" t="s">
        <v>77</v>
      </c>
      <c r="B14" s="6"/>
      <c r="C14" s="6"/>
      <c r="D14" s="6"/>
      <c r="E14" s="6"/>
      <c r="F14" s="6"/>
      <c r="G14" s="6"/>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c r="CY14" s="63"/>
      <c r="CZ14" s="63"/>
      <c r="DA14" s="63"/>
      <c r="DB14" s="63"/>
      <c r="DC14" s="63"/>
      <c r="DD14" s="63"/>
      <c r="DE14" s="63"/>
      <c r="DF14" s="63"/>
      <c r="DG14" s="63"/>
      <c r="DH14" s="63"/>
      <c r="DI14" s="63"/>
      <c r="DJ14" s="63"/>
      <c r="DK14" s="63"/>
      <c r="DL14" s="63"/>
      <c r="DM14" s="63"/>
      <c r="DN14" s="63"/>
      <c r="DO14" s="63"/>
      <c r="DP14" s="63"/>
      <c r="DQ14" s="63"/>
      <c r="DR14" s="63"/>
      <c r="DS14" s="63"/>
      <c r="DT14" s="63"/>
      <c r="DU14" s="63"/>
      <c r="DV14" s="63"/>
      <c r="DW14" s="63"/>
      <c r="DX14" s="63"/>
      <c r="DY14" s="63"/>
      <c r="DZ14" s="63"/>
      <c r="EA14" s="63"/>
      <c r="EB14" s="63"/>
      <c r="EC14" s="63"/>
      <c r="ED14" s="63"/>
      <c r="EE14" s="63"/>
      <c r="EF14" s="63"/>
      <c r="EG14" s="63"/>
      <c r="EH14" s="63"/>
      <c r="EI14" s="63"/>
      <c r="EJ14" s="63"/>
      <c r="EK14" s="63"/>
      <c r="EL14" s="63"/>
      <c r="EM14" s="63"/>
      <c r="EN14" s="63"/>
      <c r="EO14" s="63"/>
      <c r="EP14" s="63"/>
      <c r="EQ14" s="63"/>
      <c r="ER14" s="63"/>
      <c r="ES14" s="63"/>
      <c r="ET14" s="63"/>
      <c r="EU14" s="63"/>
      <c r="EV14" s="63"/>
      <c r="EW14" s="63"/>
      <c r="EX14" s="63"/>
      <c r="EY14" s="63"/>
      <c r="EZ14" s="63"/>
      <c r="FA14" s="63"/>
      <c r="FB14" s="63"/>
      <c r="FC14" s="63"/>
      <c r="FD14" s="63"/>
      <c r="FE14" s="63"/>
      <c r="FF14" s="63"/>
      <c r="FG14" s="63"/>
      <c r="FH14" s="63"/>
      <c r="FI14" s="63"/>
      <c r="FJ14" s="63"/>
      <c r="FK14" s="63"/>
      <c r="FL14" s="63"/>
      <c r="FM14" s="63"/>
      <c r="FN14" s="63"/>
      <c r="FO14" s="63"/>
      <c r="FP14" s="63"/>
      <c r="FQ14" s="63"/>
      <c r="FR14" s="63"/>
      <c r="FS14" s="63"/>
      <c r="FT14" s="63"/>
      <c r="FU14" s="63"/>
      <c r="FV14" s="63"/>
      <c r="FW14" s="63"/>
      <c r="FX14" s="63"/>
      <c r="FY14" s="63"/>
      <c r="FZ14" s="63"/>
      <c r="GA14" s="63"/>
      <c r="GB14" s="63"/>
      <c r="GC14" s="63"/>
      <c r="GD14" s="63"/>
      <c r="GE14" s="63"/>
      <c r="GF14" s="63"/>
      <c r="GG14" s="63"/>
      <c r="GH14" s="63"/>
      <c r="GI14" s="63"/>
      <c r="GJ14" s="63"/>
      <c r="GK14" s="63"/>
      <c r="GL14" s="63"/>
      <c r="GM14" s="63"/>
      <c r="GN14" s="63"/>
      <c r="GO14" s="63"/>
      <c r="GP14" s="63"/>
      <c r="GQ14" s="63"/>
      <c r="GR14" s="63"/>
      <c r="GS14" s="63"/>
      <c r="GT14" s="63"/>
      <c r="GU14" s="63"/>
      <c r="GV14" s="63"/>
      <c r="GW14" s="63"/>
      <c r="GX14" s="63"/>
      <c r="GY14" s="63"/>
      <c r="GZ14" s="63"/>
      <c r="HA14" s="63"/>
      <c r="HB14" s="63"/>
      <c r="HC14" s="63"/>
      <c r="HD14" s="63"/>
      <c r="HE14" s="63"/>
      <c r="HF14" s="63"/>
      <c r="HG14" s="63"/>
      <c r="HH14" s="63"/>
      <c r="HI14" s="63"/>
      <c r="HJ14" s="63"/>
      <c r="HK14" s="63"/>
      <c r="HL14" s="63"/>
      <c r="HM14" s="63"/>
      <c r="HN14" s="63"/>
      <c r="HO14" s="63"/>
      <c r="HP14" s="63"/>
      <c r="HQ14" s="63"/>
      <c r="HR14" s="63"/>
      <c r="HS14" s="63"/>
      <c r="HT14" s="63"/>
      <c r="HU14" s="63"/>
      <c r="HV14" s="63"/>
      <c r="HW14" s="63"/>
      <c r="HX14" s="63"/>
      <c r="HY14" s="63"/>
      <c r="HZ14" s="63"/>
      <c r="IA14" s="63"/>
      <c r="IB14" s="63"/>
      <c r="IC14" s="63"/>
      <c r="ID14" s="63"/>
      <c r="IE14" s="63"/>
      <c r="IF14" s="63"/>
      <c r="IG14" s="63"/>
      <c r="IH14" s="63"/>
      <c r="II14" s="63"/>
      <c r="IJ14" s="63"/>
      <c r="IK14" s="63"/>
      <c r="IL14" s="63"/>
      <c r="IM14" s="63"/>
      <c r="IN14" s="63"/>
      <c r="IO14" s="63"/>
      <c r="IP14" s="63"/>
      <c r="IQ14" s="63"/>
      <c r="IR14" s="63"/>
      <c r="IS14" s="63"/>
      <c r="IT14" s="63"/>
      <c r="IU14" s="63"/>
    </row>
    <row r="15" spans="1:255" ht="36" x14ac:dyDescent="0.15">
      <c r="A15" s="7" t="s">
        <v>16</v>
      </c>
      <c r="B15" s="12" t="s">
        <v>78</v>
      </c>
      <c r="C15" s="12" t="s">
        <v>79</v>
      </c>
      <c r="D15" s="12" t="s">
        <v>80</v>
      </c>
      <c r="E15" s="12" t="s">
        <v>81</v>
      </c>
      <c r="F15" s="12" t="s">
        <v>82</v>
      </c>
      <c r="G15" s="12" t="s">
        <v>83</v>
      </c>
    </row>
    <row r="16" spans="1:255" ht="12" x14ac:dyDescent="0.15">
      <c r="A16" s="8" t="s">
        <v>22</v>
      </c>
      <c r="B16" s="13" t="s">
        <v>23</v>
      </c>
      <c r="C16" s="13" t="s">
        <v>23</v>
      </c>
      <c r="D16" s="13" t="s">
        <v>23</v>
      </c>
      <c r="E16" s="13" t="s">
        <v>23</v>
      </c>
      <c r="F16" s="13" t="s">
        <v>23</v>
      </c>
      <c r="G16" s="13" t="s">
        <v>23</v>
      </c>
    </row>
    <row r="17" spans="1:7" x14ac:dyDescent="0.15">
      <c r="A17" s="9" t="s">
        <v>32</v>
      </c>
      <c r="B17" s="4"/>
      <c r="C17" s="4"/>
      <c r="D17" s="4"/>
      <c r="E17" s="4"/>
      <c r="F17" s="4"/>
      <c r="G17" s="4"/>
    </row>
    <row r="18" spans="1:7" x14ac:dyDescent="0.15">
      <c r="A18" s="4" t="s">
        <v>84</v>
      </c>
      <c r="B18" s="19">
        <v>113.621</v>
      </c>
      <c r="C18" s="19">
        <v>102.67100000000001</v>
      </c>
      <c r="D18" s="19">
        <v>87.292000000000002</v>
      </c>
      <c r="E18" s="19">
        <v>94.632000000000005</v>
      </c>
      <c r="F18" s="19">
        <v>172.63900000000001</v>
      </c>
      <c r="G18" s="19">
        <v>139.624</v>
      </c>
    </row>
    <row r="19" spans="1:7" ht="12" x14ac:dyDescent="0.15">
      <c r="A19" s="4" t="s">
        <v>85</v>
      </c>
      <c r="B19" s="19" t="s">
        <v>42</v>
      </c>
      <c r="C19" s="19" t="s">
        <v>42</v>
      </c>
      <c r="D19" s="19" t="s">
        <v>42</v>
      </c>
      <c r="E19" s="19" t="s">
        <v>42</v>
      </c>
      <c r="F19" s="19" t="s">
        <v>42</v>
      </c>
      <c r="G19" s="19" t="s">
        <v>42</v>
      </c>
    </row>
    <row r="20" spans="1:7" x14ac:dyDescent="0.15">
      <c r="A20" s="9" t="s">
        <v>86</v>
      </c>
      <c r="B20" s="24">
        <v>113.621</v>
      </c>
      <c r="C20" s="24">
        <v>102.67100000000001</v>
      </c>
      <c r="D20" s="24">
        <v>87.292000000000002</v>
      </c>
      <c r="E20" s="24">
        <v>94.632000000000005</v>
      </c>
      <c r="F20" s="24">
        <v>172.63900000000001</v>
      </c>
      <c r="G20" s="24">
        <v>139.624</v>
      </c>
    </row>
    <row r="21" spans="1:7" x14ac:dyDescent="0.15">
      <c r="A21" s="4"/>
      <c r="B21" s="4"/>
      <c r="C21" s="4"/>
      <c r="D21" s="4"/>
      <c r="E21" s="4"/>
      <c r="F21" s="4"/>
      <c r="G21" s="4"/>
    </row>
    <row r="22" spans="1:7" x14ac:dyDescent="0.15">
      <c r="A22" s="4" t="s">
        <v>87</v>
      </c>
      <c r="B22" s="19">
        <v>48.286000000000001</v>
      </c>
      <c r="C22" s="19">
        <v>42.387</v>
      </c>
      <c r="D22" s="19">
        <v>35.747</v>
      </c>
      <c r="E22" s="19">
        <v>40.252000000000002</v>
      </c>
      <c r="F22" s="19">
        <v>55.901000000000003</v>
      </c>
      <c r="G22" s="19">
        <v>52.936</v>
      </c>
    </row>
    <row r="23" spans="1:7" x14ac:dyDescent="0.15">
      <c r="A23" s="9" t="s">
        <v>88</v>
      </c>
      <c r="B23" s="24">
        <v>65.334999999999994</v>
      </c>
      <c r="C23" s="24">
        <v>60.283999999999999</v>
      </c>
      <c r="D23" s="24">
        <v>51.545000000000002</v>
      </c>
      <c r="E23" s="24">
        <v>54.38</v>
      </c>
      <c r="F23" s="24">
        <v>116.738</v>
      </c>
      <c r="G23" s="24">
        <v>86.688000000000002</v>
      </c>
    </row>
    <row r="24" spans="1:7" x14ac:dyDescent="0.15">
      <c r="A24" s="4"/>
      <c r="B24" s="4"/>
      <c r="C24" s="4"/>
      <c r="D24" s="4"/>
      <c r="E24" s="4"/>
      <c r="F24" s="4"/>
      <c r="G24" s="4"/>
    </row>
    <row r="25" spans="1:7" x14ac:dyDescent="0.15">
      <c r="A25" s="4" t="s">
        <v>89</v>
      </c>
      <c r="B25" s="19">
        <v>54.073999999999998</v>
      </c>
      <c r="C25" s="19">
        <v>47.488</v>
      </c>
      <c r="D25" s="19">
        <v>42.755000000000003</v>
      </c>
      <c r="E25" s="19">
        <v>45.896000000000001</v>
      </c>
      <c r="F25" s="19">
        <v>64.481999999999999</v>
      </c>
      <c r="G25" s="19">
        <v>61.540999999999997</v>
      </c>
    </row>
    <row r="26" spans="1:7" ht="12" x14ac:dyDescent="0.15">
      <c r="A26" s="4" t="s">
        <v>90</v>
      </c>
      <c r="B26" s="19" t="s">
        <v>42</v>
      </c>
      <c r="C26" s="19" t="s">
        <v>42</v>
      </c>
      <c r="D26" s="19" t="s">
        <v>42</v>
      </c>
      <c r="E26" s="19" t="s">
        <v>42</v>
      </c>
      <c r="F26" s="19" t="s">
        <v>42</v>
      </c>
      <c r="G26" s="19" t="s">
        <v>42</v>
      </c>
    </row>
    <row r="27" spans="1:7" x14ac:dyDescent="0.15">
      <c r="A27" s="4" t="s">
        <v>91</v>
      </c>
      <c r="B27" s="19">
        <v>7.1609999999999996</v>
      </c>
      <c r="C27" s="19">
        <v>7.8639999999999999</v>
      </c>
      <c r="D27" s="19">
        <v>8.65</v>
      </c>
      <c r="E27" s="19">
        <v>8.4890000000000008</v>
      </c>
      <c r="F27" s="19">
        <v>9.9670000000000005</v>
      </c>
      <c r="G27" s="19">
        <v>10.105</v>
      </c>
    </row>
    <row r="28" spans="1:7" x14ac:dyDescent="0.15">
      <c r="A28" s="4" t="s">
        <v>92</v>
      </c>
      <c r="B28" s="19">
        <v>-23.312000000000001</v>
      </c>
      <c r="C28" s="19">
        <v>-23.521999999999998</v>
      </c>
      <c r="D28" s="19">
        <v>-26.934999999999999</v>
      </c>
      <c r="E28" s="19">
        <v>-6.2729999999999997</v>
      </c>
      <c r="F28" s="19">
        <v>-42.914999999999999</v>
      </c>
      <c r="G28" s="19">
        <v>-37.433</v>
      </c>
    </row>
    <row r="29" spans="1:7" x14ac:dyDescent="0.15">
      <c r="A29" s="4"/>
      <c r="B29" s="4"/>
      <c r="C29" s="4"/>
      <c r="D29" s="4"/>
      <c r="E29" s="4"/>
      <c r="F29" s="4"/>
      <c r="G29" s="4"/>
    </row>
    <row r="30" spans="1:7" x14ac:dyDescent="0.15">
      <c r="A30" s="9" t="s">
        <v>93</v>
      </c>
      <c r="B30" s="24">
        <v>37.923000000000002</v>
      </c>
      <c r="C30" s="24">
        <v>31.83</v>
      </c>
      <c r="D30" s="24">
        <v>24.47</v>
      </c>
      <c r="E30" s="24">
        <v>48.112000000000002</v>
      </c>
      <c r="F30" s="24">
        <v>31.533999999999999</v>
      </c>
      <c r="G30" s="24">
        <v>34.213000000000001</v>
      </c>
    </row>
    <row r="31" spans="1:7" x14ac:dyDescent="0.15">
      <c r="A31" s="4"/>
      <c r="B31" s="4"/>
      <c r="C31" s="4"/>
      <c r="D31" s="4"/>
      <c r="E31" s="4"/>
      <c r="F31" s="4"/>
      <c r="G31" s="4"/>
    </row>
    <row r="32" spans="1:7" x14ac:dyDescent="0.15">
      <c r="A32" s="9" t="s">
        <v>94</v>
      </c>
      <c r="B32" s="14">
        <v>27.411999999999999</v>
      </c>
      <c r="C32" s="14">
        <v>28.454000000000001</v>
      </c>
      <c r="D32" s="14">
        <v>27.074999999999999</v>
      </c>
      <c r="E32" s="14">
        <v>6.2679999999999998</v>
      </c>
      <c r="F32" s="14">
        <v>85.203999999999994</v>
      </c>
      <c r="G32" s="14">
        <v>52.475000000000001</v>
      </c>
    </row>
    <row r="33" spans="1:7" x14ac:dyDescent="0.15">
      <c r="A33" s="4"/>
      <c r="B33" s="4"/>
      <c r="C33" s="4"/>
      <c r="D33" s="4"/>
      <c r="E33" s="4"/>
      <c r="F33" s="4"/>
      <c r="G33" s="4"/>
    </row>
    <row r="34" spans="1:7" x14ac:dyDescent="0.15">
      <c r="A34" s="4" t="s">
        <v>95</v>
      </c>
      <c r="B34" s="19">
        <v>-11.583</v>
      </c>
      <c r="C34" s="19">
        <v>-10.146000000000001</v>
      </c>
      <c r="D34" s="19">
        <v>-8.5489999999999995</v>
      </c>
      <c r="E34" s="19">
        <v>-6.2050000000000001</v>
      </c>
      <c r="F34" s="19">
        <v>-11.875999999999999</v>
      </c>
      <c r="G34" s="19">
        <v>-13.872999999999999</v>
      </c>
    </row>
    <row r="35" spans="1:7" x14ac:dyDescent="0.15">
      <c r="A35" s="4" t="s">
        <v>96</v>
      </c>
      <c r="B35" s="19">
        <v>0.17799999999999999</v>
      </c>
      <c r="C35" s="19">
        <v>0.46600000000000003</v>
      </c>
      <c r="D35" s="19">
        <v>6.4000000000000001E-2</v>
      </c>
      <c r="E35" s="19">
        <v>0.02</v>
      </c>
      <c r="F35" s="19">
        <v>5.6000000000000001E-2</v>
      </c>
      <c r="G35" s="19">
        <v>1.8109999999999999</v>
      </c>
    </row>
    <row r="36" spans="1:7" x14ac:dyDescent="0.15">
      <c r="A36" s="9" t="s">
        <v>97</v>
      </c>
      <c r="B36" s="24">
        <v>-11.404999999999999</v>
      </c>
      <c r="C36" s="24">
        <v>-9.68</v>
      </c>
      <c r="D36" s="24">
        <v>-8.4849999999999994</v>
      </c>
      <c r="E36" s="24">
        <v>-6.1849999999999996</v>
      </c>
      <c r="F36" s="24">
        <v>-11.82</v>
      </c>
      <c r="G36" s="24">
        <v>-12.061999999999999</v>
      </c>
    </row>
    <row r="37" spans="1:7" x14ac:dyDescent="0.15">
      <c r="A37" s="4"/>
      <c r="B37" s="4"/>
      <c r="C37" s="4"/>
      <c r="D37" s="4"/>
      <c r="E37" s="4"/>
      <c r="F37" s="4"/>
      <c r="G37" s="4"/>
    </row>
    <row r="38" spans="1:7" x14ac:dyDescent="0.15">
      <c r="A38" s="4" t="s">
        <v>98</v>
      </c>
      <c r="B38" s="19">
        <v>-0.378</v>
      </c>
      <c r="C38" s="19">
        <v>-0.44400000000000001</v>
      </c>
      <c r="D38" s="19">
        <v>-0.215</v>
      </c>
      <c r="E38" s="19">
        <v>-0.23599999999999999</v>
      </c>
      <c r="F38" s="19">
        <v>-0.56799999999999995</v>
      </c>
      <c r="G38" s="19">
        <v>-0.59399999999999997</v>
      </c>
    </row>
    <row r="39" spans="1:7" x14ac:dyDescent="0.15">
      <c r="A39" s="9" t="s">
        <v>99</v>
      </c>
      <c r="B39" s="24">
        <v>15.629</v>
      </c>
      <c r="C39" s="24">
        <v>18.329999999999998</v>
      </c>
      <c r="D39" s="24">
        <v>18.375</v>
      </c>
      <c r="E39" s="24">
        <v>-0.153</v>
      </c>
      <c r="F39" s="24">
        <v>72.816000000000003</v>
      </c>
      <c r="G39" s="24">
        <v>39.819000000000003</v>
      </c>
    </row>
    <row r="40" spans="1:7" x14ac:dyDescent="0.15">
      <c r="A40" s="4"/>
      <c r="B40" s="4"/>
      <c r="C40" s="4"/>
      <c r="D40" s="4"/>
      <c r="E40" s="4"/>
      <c r="F40" s="4"/>
      <c r="G40" s="4"/>
    </row>
    <row r="41" spans="1:7" ht="12" x14ac:dyDescent="0.15">
      <c r="A41" s="4" t="s">
        <v>100</v>
      </c>
      <c r="B41" s="19" t="s">
        <v>42</v>
      </c>
      <c r="C41" s="19" t="s">
        <v>42</v>
      </c>
      <c r="D41" s="19" t="s">
        <v>42</v>
      </c>
      <c r="E41" s="19" t="s">
        <v>42</v>
      </c>
      <c r="F41" s="19" t="s">
        <v>42</v>
      </c>
      <c r="G41" s="19" t="s">
        <v>42</v>
      </c>
    </row>
    <row r="42" spans="1:7" ht="12" x14ac:dyDescent="0.15">
      <c r="A42" s="4" t="s">
        <v>101</v>
      </c>
      <c r="B42" s="19">
        <v>3.75</v>
      </c>
      <c r="C42" s="19" t="s">
        <v>42</v>
      </c>
      <c r="D42" s="19" t="s">
        <v>42</v>
      </c>
      <c r="E42" s="19" t="s">
        <v>42</v>
      </c>
      <c r="F42" s="19" t="s">
        <v>42</v>
      </c>
      <c r="G42" s="19" t="s">
        <v>42</v>
      </c>
    </row>
    <row r="43" spans="1:7" x14ac:dyDescent="0.15">
      <c r="A43" s="4" t="s">
        <v>102</v>
      </c>
      <c r="B43" s="19">
        <v>-3.3050000000000002</v>
      </c>
      <c r="C43" s="19">
        <v>-7.9989999999999997</v>
      </c>
      <c r="D43" s="19">
        <v>4.7809999999999997</v>
      </c>
      <c r="E43" s="19">
        <v>5.1130000000000004</v>
      </c>
      <c r="F43" s="19">
        <v>1.8580000000000001</v>
      </c>
      <c r="G43" s="19">
        <v>1.31</v>
      </c>
    </row>
    <row r="44" spans="1:7" ht="12" x14ac:dyDescent="0.15">
      <c r="A44" s="4" t="s">
        <v>103</v>
      </c>
      <c r="B44" s="19" t="s">
        <v>42</v>
      </c>
      <c r="C44" s="19" t="s">
        <v>42</v>
      </c>
      <c r="D44" s="19">
        <v>5.383</v>
      </c>
      <c r="E44" s="19">
        <v>8.8919999999999995</v>
      </c>
      <c r="F44" s="19">
        <v>31.719000000000001</v>
      </c>
      <c r="G44" s="19">
        <v>0.82499999999999996</v>
      </c>
    </row>
    <row r="45" spans="1:7" x14ac:dyDescent="0.15">
      <c r="A45" s="9" t="s">
        <v>104</v>
      </c>
      <c r="B45" s="24">
        <v>16.074000000000002</v>
      </c>
      <c r="C45" s="24">
        <v>10.331</v>
      </c>
      <c r="D45" s="24">
        <v>28.539000000000001</v>
      </c>
      <c r="E45" s="24">
        <v>13.852</v>
      </c>
      <c r="F45" s="24">
        <v>106.393</v>
      </c>
      <c r="G45" s="24">
        <v>41.954000000000001</v>
      </c>
    </row>
    <row r="46" spans="1:7" x14ac:dyDescent="0.15">
      <c r="A46" s="4"/>
      <c r="B46" s="4"/>
      <c r="C46" s="4"/>
      <c r="D46" s="4"/>
      <c r="E46" s="4"/>
      <c r="F46" s="4"/>
      <c r="G46" s="4"/>
    </row>
    <row r="47" spans="1:7" ht="12" x14ac:dyDescent="0.15">
      <c r="A47" s="4" t="s">
        <v>105</v>
      </c>
      <c r="B47" s="19">
        <v>3</v>
      </c>
      <c r="C47" s="19" t="s">
        <v>42</v>
      </c>
      <c r="D47" s="19">
        <v>5.9969999999999999</v>
      </c>
      <c r="E47" s="19">
        <v>3.2909999999999999</v>
      </c>
      <c r="F47" s="19">
        <v>23.481999999999999</v>
      </c>
      <c r="G47" s="19">
        <v>9.1300000000000008</v>
      </c>
    </row>
    <row r="48" spans="1:7" x14ac:dyDescent="0.15">
      <c r="A48" s="9" t="s">
        <v>106</v>
      </c>
      <c r="B48" s="24">
        <v>13.074</v>
      </c>
      <c r="C48" s="24">
        <v>10.331</v>
      </c>
      <c r="D48" s="24">
        <v>22.542000000000002</v>
      </c>
      <c r="E48" s="24">
        <v>10.561</v>
      </c>
      <c r="F48" s="24">
        <v>82.911000000000001</v>
      </c>
      <c r="G48" s="24">
        <v>32.823999999999998</v>
      </c>
    </row>
    <row r="49" spans="1:7" x14ac:dyDescent="0.15">
      <c r="A49" s="4"/>
      <c r="B49" s="4"/>
      <c r="C49" s="4"/>
      <c r="D49" s="4"/>
      <c r="E49" s="4"/>
      <c r="F49" s="4"/>
      <c r="G49" s="4"/>
    </row>
    <row r="50" spans="1:7" ht="12" x14ac:dyDescent="0.15">
      <c r="A50" s="4" t="s">
        <v>107</v>
      </c>
      <c r="B50" s="19" t="s">
        <v>42</v>
      </c>
      <c r="C50" s="19" t="s">
        <v>42</v>
      </c>
      <c r="D50" s="19" t="s">
        <v>42</v>
      </c>
      <c r="E50" s="19" t="s">
        <v>42</v>
      </c>
      <c r="F50" s="19" t="s">
        <v>42</v>
      </c>
      <c r="G50" s="19" t="s">
        <v>42</v>
      </c>
    </row>
    <row r="51" spans="1:7" ht="12" x14ac:dyDescent="0.15">
      <c r="A51" s="4" t="s">
        <v>108</v>
      </c>
      <c r="B51" s="19" t="s">
        <v>42</v>
      </c>
      <c r="C51" s="19" t="s">
        <v>42</v>
      </c>
      <c r="D51" s="19" t="s">
        <v>42</v>
      </c>
      <c r="E51" s="19" t="s">
        <v>42</v>
      </c>
      <c r="F51" s="19" t="s">
        <v>42</v>
      </c>
      <c r="G51" s="19" t="s">
        <v>42</v>
      </c>
    </row>
    <row r="52" spans="1:7" x14ac:dyDescent="0.15">
      <c r="A52" s="9" t="s">
        <v>109</v>
      </c>
      <c r="B52" s="24">
        <v>13.074</v>
      </c>
      <c r="C52" s="24">
        <v>10.331</v>
      </c>
      <c r="D52" s="24">
        <v>22.542000000000002</v>
      </c>
      <c r="E52" s="24">
        <v>10.561</v>
      </c>
      <c r="F52" s="24">
        <v>82.911000000000001</v>
      </c>
      <c r="G52" s="24">
        <v>32.823999999999998</v>
      </c>
    </row>
    <row r="53" spans="1:7" x14ac:dyDescent="0.15">
      <c r="A53" s="4"/>
      <c r="B53" s="4"/>
      <c r="C53" s="4"/>
      <c r="D53" s="4"/>
      <c r="E53" s="4"/>
      <c r="F53" s="4"/>
      <c r="G53" s="4"/>
    </row>
    <row r="54" spans="1:7" ht="12" x14ac:dyDescent="0.15">
      <c r="A54" s="4" t="s">
        <v>110</v>
      </c>
      <c r="B54" s="19" t="s">
        <v>42</v>
      </c>
      <c r="C54" s="19" t="s">
        <v>42</v>
      </c>
      <c r="D54" s="19" t="s">
        <v>42</v>
      </c>
      <c r="E54" s="19" t="s">
        <v>42</v>
      </c>
      <c r="F54" s="19" t="s">
        <v>42</v>
      </c>
      <c r="G54" s="19" t="s">
        <v>42</v>
      </c>
    </row>
    <row r="55" spans="1:7" x14ac:dyDescent="0.15">
      <c r="A55" s="9" t="s">
        <v>111</v>
      </c>
      <c r="B55" s="25">
        <v>13.074</v>
      </c>
      <c r="C55" s="25">
        <v>10.331</v>
      </c>
      <c r="D55" s="25">
        <v>22.542000000000002</v>
      </c>
      <c r="E55" s="25">
        <v>10.561</v>
      </c>
      <c r="F55" s="25">
        <v>82.911000000000001</v>
      </c>
      <c r="G55" s="25">
        <v>32.823999999999998</v>
      </c>
    </row>
    <row r="56" spans="1:7" x14ac:dyDescent="0.15">
      <c r="A56" s="4"/>
      <c r="B56" s="4"/>
      <c r="C56" s="4"/>
      <c r="D56" s="4"/>
      <c r="E56" s="4"/>
      <c r="F56" s="4"/>
      <c r="G56" s="4"/>
    </row>
    <row r="57" spans="1:7" ht="12" x14ac:dyDescent="0.15">
      <c r="A57" s="4" t="s">
        <v>112</v>
      </c>
      <c r="B57" s="19" t="s">
        <v>42</v>
      </c>
      <c r="C57" s="19" t="s">
        <v>42</v>
      </c>
      <c r="D57" s="19" t="s">
        <v>42</v>
      </c>
      <c r="E57" s="19" t="s">
        <v>42</v>
      </c>
      <c r="F57" s="19" t="s">
        <v>42</v>
      </c>
      <c r="G57" s="19" t="s">
        <v>42</v>
      </c>
    </row>
    <row r="58" spans="1:7" x14ac:dyDescent="0.15">
      <c r="A58" s="4"/>
      <c r="B58" s="4"/>
      <c r="C58" s="4"/>
      <c r="D58" s="4"/>
      <c r="E58" s="4"/>
      <c r="F58" s="4"/>
      <c r="G58" s="4"/>
    </row>
    <row r="59" spans="1:7" x14ac:dyDescent="0.15">
      <c r="A59" s="9" t="s">
        <v>113</v>
      </c>
      <c r="B59" s="14">
        <v>13.074</v>
      </c>
      <c r="C59" s="14">
        <v>10.331</v>
      </c>
      <c r="D59" s="14">
        <v>22.542000000000002</v>
      </c>
      <c r="E59" s="14">
        <v>10.561</v>
      </c>
      <c r="F59" s="14">
        <v>82.911000000000001</v>
      </c>
      <c r="G59" s="14">
        <v>32.823999999999998</v>
      </c>
    </row>
    <row r="60" spans="1:7" x14ac:dyDescent="0.15">
      <c r="A60" s="9" t="s">
        <v>114</v>
      </c>
      <c r="B60" s="14">
        <v>13.074</v>
      </c>
      <c r="C60" s="14">
        <v>10.331</v>
      </c>
      <c r="D60" s="14">
        <v>22.542000000000002</v>
      </c>
      <c r="E60" s="14">
        <v>10.561</v>
      </c>
      <c r="F60" s="14">
        <v>82.911000000000001</v>
      </c>
      <c r="G60" s="14">
        <v>32.823999999999998</v>
      </c>
    </row>
    <row r="61" spans="1:7" x14ac:dyDescent="0.15">
      <c r="A61" s="4"/>
      <c r="B61" s="4"/>
      <c r="C61" s="4"/>
      <c r="D61" s="4"/>
      <c r="E61" s="4"/>
      <c r="F61" s="4"/>
      <c r="G61" s="4"/>
    </row>
    <row r="62" spans="1:7" x14ac:dyDescent="0.15">
      <c r="A62" s="9" t="s">
        <v>115</v>
      </c>
      <c r="B62" s="4"/>
      <c r="C62" s="4"/>
      <c r="D62" s="4"/>
      <c r="E62" s="4"/>
      <c r="F62" s="4"/>
      <c r="G62" s="4"/>
    </row>
    <row r="63" spans="1:7" x14ac:dyDescent="0.15">
      <c r="A63" s="4" t="s">
        <v>116</v>
      </c>
      <c r="B63" s="18">
        <v>1.320392</v>
      </c>
      <c r="C63" s="18">
        <v>1.043366</v>
      </c>
      <c r="D63" s="18">
        <v>2.276602</v>
      </c>
      <c r="E63" s="18">
        <v>1.066595</v>
      </c>
      <c r="F63" s="18">
        <v>8.3734959999999994</v>
      </c>
      <c r="G63" s="18">
        <v>3.3150200000000001</v>
      </c>
    </row>
    <row r="64" spans="1:7" x14ac:dyDescent="0.15">
      <c r="A64" s="4" t="s">
        <v>117</v>
      </c>
      <c r="B64" s="18">
        <v>1.320392</v>
      </c>
      <c r="C64" s="18">
        <v>1.043366</v>
      </c>
      <c r="D64" s="18">
        <v>2.276602</v>
      </c>
      <c r="E64" s="18">
        <v>1.066595</v>
      </c>
      <c r="F64" s="18">
        <v>8.3734959999999994</v>
      </c>
      <c r="G64" s="18">
        <v>3.3150200000000001</v>
      </c>
    </row>
    <row r="65" spans="1:7" x14ac:dyDescent="0.15">
      <c r="A65" s="4" t="s">
        <v>118</v>
      </c>
      <c r="B65" s="19">
        <v>9.9015979999999999</v>
      </c>
      <c r="C65" s="19">
        <v>9.9015979999999999</v>
      </c>
      <c r="D65" s="19">
        <v>9.9015979999999999</v>
      </c>
      <c r="E65" s="19">
        <v>9.9015979999999999</v>
      </c>
      <c r="F65" s="19">
        <v>9.9015979999999999</v>
      </c>
      <c r="G65" s="19">
        <v>9.9015979999999999</v>
      </c>
    </row>
    <row r="66" spans="1:7" x14ac:dyDescent="0.15">
      <c r="A66" s="4"/>
      <c r="B66" s="4"/>
      <c r="C66" s="4"/>
      <c r="D66" s="4"/>
      <c r="E66" s="4"/>
      <c r="F66" s="4"/>
      <c r="G66" s="4"/>
    </row>
    <row r="67" spans="1:7" x14ac:dyDescent="0.15">
      <c r="A67" s="4" t="s">
        <v>119</v>
      </c>
      <c r="B67" s="18">
        <v>1.3199989999999999</v>
      </c>
      <c r="C67" s="18">
        <v>1.0429999999999999</v>
      </c>
      <c r="D67" s="18">
        <v>2.276602</v>
      </c>
      <c r="E67" s="18">
        <v>1.066595</v>
      </c>
      <c r="F67" s="18">
        <v>8.3729990000000001</v>
      </c>
      <c r="G67" s="18">
        <v>3.3149989999999998</v>
      </c>
    </row>
    <row r="68" spans="1:7" x14ac:dyDescent="0.15">
      <c r="A68" s="4" t="s">
        <v>120</v>
      </c>
      <c r="B68" s="18">
        <v>1.3199989999999999</v>
      </c>
      <c r="C68" s="18">
        <v>1.0429999999999999</v>
      </c>
      <c r="D68" s="18">
        <v>2.276602</v>
      </c>
      <c r="E68" s="18">
        <v>1.066595</v>
      </c>
      <c r="F68" s="18">
        <v>8.3729990000000001</v>
      </c>
      <c r="G68" s="18">
        <v>3.3149989999999998</v>
      </c>
    </row>
    <row r="69" spans="1:7" x14ac:dyDescent="0.15">
      <c r="A69" s="4" t="s">
        <v>121</v>
      </c>
      <c r="B69" s="19">
        <v>9.9015979999999999</v>
      </c>
      <c r="C69" s="19">
        <v>9.9015979999999999</v>
      </c>
      <c r="D69" s="19">
        <v>9.9015979999999999</v>
      </c>
      <c r="E69" s="19">
        <v>9.9015979999999999</v>
      </c>
      <c r="F69" s="19">
        <v>9.9015979999999999</v>
      </c>
      <c r="G69" s="19">
        <v>9.9015979999999999</v>
      </c>
    </row>
    <row r="70" spans="1:7" x14ac:dyDescent="0.15">
      <c r="A70" s="4"/>
      <c r="B70" s="4"/>
      <c r="C70" s="4"/>
      <c r="D70" s="4"/>
      <c r="E70" s="4"/>
      <c r="F70" s="4"/>
      <c r="G70" s="4"/>
    </row>
    <row r="71" spans="1:7" x14ac:dyDescent="0.15">
      <c r="A71" s="4" t="s">
        <v>122</v>
      </c>
      <c r="B71" s="18">
        <v>0.98651999999999995</v>
      </c>
      <c r="C71" s="18">
        <v>1.1570100000000001</v>
      </c>
      <c r="D71" s="18">
        <v>1.15985</v>
      </c>
      <c r="E71" s="18">
        <v>-0.01</v>
      </c>
      <c r="F71" s="18">
        <v>4.5962269999999998</v>
      </c>
      <c r="G71" s="18">
        <v>2.51342</v>
      </c>
    </row>
    <row r="72" spans="1:7" x14ac:dyDescent="0.15">
      <c r="A72" s="4" t="s">
        <v>123</v>
      </c>
      <c r="B72" s="18">
        <v>0.98651999999999995</v>
      </c>
      <c r="C72" s="18">
        <v>1.1570100000000001</v>
      </c>
      <c r="D72" s="18">
        <v>1.15985</v>
      </c>
      <c r="E72" s="18">
        <v>-0.01</v>
      </c>
      <c r="F72" s="18">
        <v>4.5962269999999998</v>
      </c>
      <c r="G72" s="18">
        <v>2.51342</v>
      </c>
    </row>
    <row r="73" spans="1:7" x14ac:dyDescent="0.15">
      <c r="A73" s="4"/>
      <c r="B73" s="4"/>
      <c r="C73" s="4"/>
      <c r="D73" s="4"/>
      <c r="E73" s="4"/>
      <c r="F73" s="4"/>
      <c r="G73" s="4"/>
    </row>
    <row r="74" spans="1:7" ht="12" x14ac:dyDescent="0.15">
      <c r="A74" s="4" t="s">
        <v>124</v>
      </c>
      <c r="B74" s="18" t="s">
        <v>125</v>
      </c>
      <c r="C74" s="18" t="s">
        <v>125</v>
      </c>
      <c r="D74" s="18" t="s">
        <v>125</v>
      </c>
      <c r="E74" s="18" t="s">
        <v>125</v>
      </c>
      <c r="F74" s="18" t="s">
        <v>125</v>
      </c>
      <c r="G74" s="18" t="s">
        <v>125</v>
      </c>
    </row>
    <row r="75" spans="1:7" x14ac:dyDescent="0.15">
      <c r="A75" s="4"/>
      <c r="B75" s="4"/>
      <c r="C75" s="4"/>
      <c r="D75" s="4"/>
      <c r="E75" s="4"/>
      <c r="F75" s="4"/>
      <c r="G75" s="4"/>
    </row>
    <row r="76" spans="1:7" x14ac:dyDescent="0.15">
      <c r="A76" s="9" t="s">
        <v>126</v>
      </c>
      <c r="B76" s="4"/>
      <c r="C76" s="4"/>
      <c r="D76" s="4"/>
      <c r="E76" s="4"/>
      <c r="F76" s="4"/>
      <c r="G76" s="4"/>
    </row>
    <row r="77" spans="1:7" x14ac:dyDescent="0.15">
      <c r="A77" s="4" t="s">
        <v>28</v>
      </c>
      <c r="B77" s="19">
        <v>35.366999999999997</v>
      </c>
      <c r="C77" s="19">
        <v>36.649000000000001</v>
      </c>
      <c r="D77" s="19">
        <v>36.597000000000001</v>
      </c>
      <c r="E77" s="19">
        <v>15.815</v>
      </c>
      <c r="F77" s="19">
        <v>95.875</v>
      </c>
      <c r="G77" s="19">
        <v>65.733000000000004</v>
      </c>
    </row>
    <row r="78" spans="1:7" x14ac:dyDescent="0.15">
      <c r="A78" s="4" t="s">
        <v>127</v>
      </c>
      <c r="B78" s="19">
        <v>28.417000000000002</v>
      </c>
      <c r="C78" s="19">
        <v>29.15</v>
      </c>
      <c r="D78" s="19">
        <v>28.111000000000001</v>
      </c>
      <c r="E78" s="19">
        <v>7.4950000000000001</v>
      </c>
      <c r="F78" s="19">
        <v>87.204999999999998</v>
      </c>
      <c r="G78" s="19">
        <v>55.271999999999998</v>
      </c>
    </row>
    <row r="79" spans="1:7" x14ac:dyDescent="0.15">
      <c r="A79" s="4" t="s">
        <v>29</v>
      </c>
      <c r="B79" s="19">
        <v>27.411999999999999</v>
      </c>
      <c r="C79" s="19">
        <v>28.454000000000001</v>
      </c>
      <c r="D79" s="19">
        <v>27.074999999999999</v>
      </c>
      <c r="E79" s="19">
        <v>6.2679999999999998</v>
      </c>
      <c r="F79" s="19">
        <v>85.203999999999994</v>
      </c>
      <c r="G79" s="19">
        <v>52.475000000000001</v>
      </c>
    </row>
    <row r="80" spans="1:7" ht="12" x14ac:dyDescent="0.15">
      <c r="A80" s="4" t="s">
        <v>128</v>
      </c>
      <c r="B80" s="19">
        <v>36.146999999999998</v>
      </c>
      <c r="C80" s="19">
        <v>37.231000000000002</v>
      </c>
      <c r="D80" s="19">
        <v>37.087000000000003</v>
      </c>
      <c r="E80" s="19" t="s">
        <v>125</v>
      </c>
      <c r="F80" s="19">
        <v>96.55</v>
      </c>
      <c r="G80" s="19">
        <v>66.697999999999993</v>
      </c>
    </row>
    <row r="81" spans="1:7" ht="12" x14ac:dyDescent="0.15">
      <c r="A81" s="4" t="s">
        <v>129</v>
      </c>
      <c r="B81" s="26">
        <v>0.186636</v>
      </c>
      <c r="C81" s="16" t="s">
        <v>125</v>
      </c>
      <c r="D81" s="26">
        <v>0.21013299999999999</v>
      </c>
      <c r="E81" s="26">
        <v>0.23758299999999999</v>
      </c>
      <c r="F81" s="26">
        <v>0.22070999999999999</v>
      </c>
      <c r="G81" s="26">
        <v>0.21761900000000001</v>
      </c>
    </row>
    <row r="82" spans="1:7" ht="12" x14ac:dyDescent="0.15">
      <c r="A82" s="4" t="s">
        <v>130</v>
      </c>
      <c r="B82" s="19" t="s">
        <v>125</v>
      </c>
      <c r="C82" s="19" t="s">
        <v>125</v>
      </c>
      <c r="D82" s="19">
        <v>0.51300000000000001</v>
      </c>
      <c r="E82" s="19" t="s">
        <v>125</v>
      </c>
      <c r="F82" s="19">
        <v>10.914999999999999</v>
      </c>
      <c r="G82" s="19">
        <v>7.1159999999999997</v>
      </c>
    </row>
    <row r="83" spans="1:7" ht="12" x14ac:dyDescent="0.15">
      <c r="A83" s="4" t="s">
        <v>131</v>
      </c>
      <c r="B83" s="19" t="s">
        <v>42</v>
      </c>
      <c r="C83" s="19" t="s">
        <v>42</v>
      </c>
      <c r="D83" s="19">
        <v>0.51300000000000001</v>
      </c>
      <c r="E83" s="19" t="s">
        <v>42</v>
      </c>
      <c r="F83" s="19">
        <v>10.914999999999999</v>
      </c>
      <c r="G83" s="19">
        <v>7.1159999999999997</v>
      </c>
    </row>
    <row r="84" spans="1:7" x14ac:dyDescent="0.15">
      <c r="A84" s="4" t="s">
        <v>132</v>
      </c>
      <c r="B84" s="19">
        <v>3.0910000000000002</v>
      </c>
      <c r="C84" s="19">
        <v>2.3220000000000001</v>
      </c>
      <c r="D84" s="19">
        <v>5.8040000000000003</v>
      </c>
      <c r="E84" s="19">
        <v>3.3980000000000001</v>
      </c>
      <c r="F84" s="19">
        <v>12.567</v>
      </c>
      <c r="G84" s="19">
        <v>2.0139999999999998</v>
      </c>
    </row>
    <row r="85" spans="1:7" x14ac:dyDescent="0.15">
      <c r="A85" s="4" t="s">
        <v>133</v>
      </c>
      <c r="B85" s="19">
        <v>3.0910000000000002</v>
      </c>
      <c r="C85" s="19">
        <v>2.3220000000000001</v>
      </c>
      <c r="D85" s="19">
        <v>5.8040000000000003</v>
      </c>
      <c r="E85" s="19">
        <v>3.3980000000000001</v>
      </c>
      <c r="F85" s="19">
        <v>12.567</v>
      </c>
      <c r="G85" s="19">
        <v>2.0139999999999998</v>
      </c>
    </row>
    <row r="86" spans="1:7" x14ac:dyDescent="0.15">
      <c r="A86" s="4"/>
      <c r="B86" s="4"/>
      <c r="C86" s="4"/>
      <c r="D86" s="4"/>
      <c r="E86" s="4"/>
      <c r="F86" s="4"/>
      <c r="G86" s="4"/>
    </row>
    <row r="87" spans="1:7" x14ac:dyDescent="0.15">
      <c r="A87" s="4" t="s">
        <v>134</v>
      </c>
      <c r="B87" s="19">
        <v>9.7681249999999995</v>
      </c>
      <c r="C87" s="19">
        <v>11.456250000000001</v>
      </c>
      <c r="D87" s="19">
        <v>11.484375</v>
      </c>
      <c r="E87" s="19">
        <v>-9.6000000000000002E-2</v>
      </c>
      <c r="F87" s="19">
        <v>45.51</v>
      </c>
      <c r="G87" s="19">
        <v>24.886875</v>
      </c>
    </row>
    <row r="88" spans="1:7" x14ac:dyDescent="0.15">
      <c r="A88" s="4" t="s">
        <v>135</v>
      </c>
      <c r="B88" s="19">
        <v>9.0579999999999998</v>
      </c>
      <c r="C88" s="19">
        <v>8.734</v>
      </c>
      <c r="D88" s="19">
        <v>7.1310000000000002</v>
      </c>
      <c r="E88" s="19">
        <v>6.4329999999999998</v>
      </c>
      <c r="F88" s="19">
        <v>11.304</v>
      </c>
      <c r="G88" s="19">
        <v>13.728</v>
      </c>
    </row>
    <row r="89" spans="1:7" x14ac:dyDescent="0.15">
      <c r="A89" s="4" t="s">
        <v>136</v>
      </c>
      <c r="B89" s="27">
        <v>43910</v>
      </c>
      <c r="C89" s="27">
        <v>44274</v>
      </c>
      <c r="D89" s="27">
        <v>44621</v>
      </c>
      <c r="E89" s="27">
        <v>45002</v>
      </c>
      <c r="F89" s="27">
        <v>45366</v>
      </c>
      <c r="G89" s="27">
        <v>45366</v>
      </c>
    </row>
    <row r="90" spans="1:7" ht="12" x14ac:dyDescent="0.15">
      <c r="A90" s="4" t="s">
        <v>137</v>
      </c>
      <c r="B90" s="16" t="s">
        <v>138</v>
      </c>
      <c r="C90" s="16" t="s">
        <v>138</v>
      </c>
      <c r="D90" s="16" t="s">
        <v>138</v>
      </c>
      <c r="E90" s="16" t="s">
        <v>139</v>
      </c>
      <c r="F90" s="16" t="s">
        <v>139</v>
      </c>
      <c r="G90" s="16" t="s">
        <v>140</v>
      </c>
    </row>
    <row r="91" spans="1:7" ht="12" x14ac:dyDescent="0.15">
      <c r="A91" s="4" t="s">
        <v>141</v>
      </c>
      <c r="B91" s="16" t="s">
        <v>142</v>
      </c>
      <c r="C91" s="16" t="s">
        <v>142</v>
      </c>
      <c r="D91" s="16" t="s">
        <v>142</v>
      </c>
      <c r="E91" s="16" t="s">
        <v>142</v>
      </c>
      <c r="F91" s="16" t="s">
        <v>142</v>
      </c>
      <c r="G91" s="16" t="s">
        <v>142</v>
      </c>
    </row>
    <row r="92" spans="1:7" x14ac:dyDescent="0.15">
      <c r="A92" s="4"/>
      <c r="B92" s="4"/>
      <c r="C92" s="4"/>
      <c r="D92" s="4"/>
      <c r="E92" s="4"/>
      <c r="F92" s="4"/>
      <c r="G92" s="4"/>
    </row>
    <row r="93" spans="1:7" x14ac:dyDescent="0.15">
      <c r="A93" s="9" t="s">
        <v>143</v>
      </c>
      <c r="B93" s="4"/>
      <c r="C93" s="4"/>
      <c r="D93" s="4"/>
      <c r="E93" s="4"/>
      <c r="F93" s="4"/>
      <c r="G93" s="4"/>
    </row>
    <row r="94" spans="1:7" ht="12" x14ac:dyDescent="0.15">
      <c r="A94" s="4" t="s">
        <v>144</v>
      </c>
      <c r="B94" s="19">
        <v>0.78</v>
      </c>
      <c r="C94" s="19">
        <v>0.58199999999999996</v>
      </c>
      <c r="D94" s="19">
        <v>0.49</v>
      </c>
      <c r="E94" s="19" t="s">
        <v>125</v>
      </c>
      <c r="F94" s="19">
        <v>0.67500000000000004</v>
      </c>
      <c r="G94" s="19">
        <v>0.96499999999999997</v>
      </c>
    </row>
    <row r="95" spans="1:7" ht="12" x14ac:dyDescent="0.15">
      <c r="A95" s="4" t="s">
        <v>145</v>
      </c>
      <c r="B95" s="19">
        <v>0.19669700000000001</v>
      </c>
      <c r="C95" s="19">
        <v>0.13247300000000001</v>
      </c>
      <c r="D95" s="19">
        <v>9.7628000000000006E-2</v>
      </c>
      <c r="E95" s="19" t="s">
        <v>42</v>
      </c>
      <c r="F95" s="19">
        <v>0.20389299999999999</v>
      </c>
      <c r="G95" s="19">
        <v>0.34462100000000001</v>
      </c>
    </row>
    <row r="96" spans="1:7" ht="12" x14ac:dyDescent="0.15">
      <c r="A96" s="4" t="s">
        <v>146</v>
      </c>
      <c r="B96" s="19">
        <v>0.58330300000000002</v>
      </c>
      <c r="C96" s="19">
        <v>0.44952700000000001</v>
      </c>
      <c r="D96" s="19">
        <v>0.392372</v>
      </c>
      <c r="E96" s="19" t="s">
        <v>42</v>
      </c>
      <c r="F96" s="19">
        <v>0.471107</v>
      </c>
      <c r="G96" s="19">
        <v>0.62037900000000001</v>
      </c>
    </row>
    <row r="97" spans="1:7" x14ac:dyDescent="0.15">
      <c r="A97" s="4"/>
      <c r="B97" s="4"/>
      <c r="C97" s="4"/>
      <c r="D97" s="4"/>
      <c r="E97" s="4"/>
      <c r="F97" s="4"/>
      <c r="G97" s="4"/>
    </row>
    <row r="98" spans="1:7" x14ac:dyDescent="0.15">
      <c r="A98" s="11"/>
      <c r="B98" s="11"/>
      <c r="C98" s="11"/>
      <c r="D98" s="11"/>
      <c r="E98" s="11"/>
      <c r="F98" s="11"/>
      <c r="G98" s="11"/>
    </row>
    <row r="99" spans="1:7" x14ac:dyDescent="0.15">
      <c r="A99" t="s">
        <v>147</v>
      </c>
    </row>
    <row r="100" spans="1:7" x14ac:dyDescent="0.15">
      <c r="A100" s="22" t="s">
        <v>60</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D1E7-04C9-1242-A95A-27A0041C16C3}">
  <sheetPr>
    <outlinePr summaryBelow="0" summaryRight="0"/>
    <pageSetUpPr autoPageBreaks="0"/>
  </sheetPr>
  <dimension ref="A5:IU90"/>
  <sheetViews>
    <sheetView zoomScale="102" workbookViewId="0">
      <selection activeCell="E97" sqref="E97"/>
    </sheetView>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148</v>
      </c>
    </row>
    <row r="7" spans="1:255" ht="12" x14ac:dyDescent="0.15">
      <c r="A7" s="2" t="s">
        <v>149</v>
      </c>
      <c r="B7" s="3" t="s">
        <v>150</v>
      </c>
      <c r="C7" t="s">
        <v>64</v>
      </c>
      <c r="D7" s="4" t="s">
        <v>4</v>
      </c>
      <c r="E7" s="3" t="s">
        <v>151</v>
      </c>
      <c r="F7" t="s">
        <v>66</v>
      </c>
    </row>
    <row r="8" spans="1:255" x14ac:dyDescent="0.15">
      <c r="A8" s="4"/>
      <c r="B8" s="3" t="s">
        <v>152</v>
      </c>
      <c r="C8" t="s">
        <v>68</v>
      </c>
      <c r="D8" s="4" t="s">
        <v>4</v>
      </c>
      <c r="E8" s="3" t="s">
        <v>153</v>
      </c>
      <c r="F8" t="s">
        <v>8</v>
      </c>
    </row>
    <row r="9" spans="1:255" x14ac:dyDescent="0.15">
      <c r="A9" s="4"/>
      <c r="B9" s="3" t="s">
        <v>154</v>
      </c>
      <c r="C9" t="s">
        <v>71</v>
      </c>
      <c r="D9" s="4" t="s">
        <v>4</v>
      </c>
      <c r="E9" s="3" t="s">
        <v>155</v>
      </c>
      <c r="F9" t="s">
        <v>6</v>
      </c>
    </row>
    <row r="10" spans="1:255" x14ac:dyDescent="0.15">
      <c r="A10" s="4"/>
      <c r="B10" s="3" t="s">
        <v>156</v>
      </c>
      <c r="C10" t="s">
        <v>10</v>
      </c>
      <c r="D10" s="4" t="s">
        <v>4</v>
      </c>
      <c r="E10" s="3" t="s">
        <v>157</v>
      </c>
      <c r="F10" s="5" t="s">
        <v>12</v>
      </c>
    </row>
    <row r="11" spans="1:255" x14ac:dyDescent="0.15">
      <c r="A11" s="4"/>
      <c r="B11" s="3" t="s">
        <v>158</v>
      </c>
      <c r="C11" t="s">
        <v>76</v>
      </c>
      <c r="D11" s="4" t="s">
        <v>4</v>
      </c>
      <c r="E11" s="23"/>
      <c r="F11" s="23"/>
    </row>
    <row r="14" spans="1:255" x14ac:dyDescent="0.15">
      <c r="A14" s="6" t="s">
        <v>159</v>
      </c>
      <c r="B14" s="6"/>
      <c r="C14" s="6"/>
      <c r="D14" s="6"/>
      <c r="E14" s="6"/>
      <c r="F14" s="6"/>
      <c r="G14" s="6"/>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c r="CY14" s="63"/>
      <c r="CZ14" s="63"/>
      <c r="DA14" s="63"/>
      <c r="DB14" s="63"/>
      <c r="DC14" s="63"/>
      <c r="DD14" s="63"/>
      <c r="DE14" s="63"/>
      <c r="DF14" s="63"/>
      <c r="DG14" s="63"/>
      <c r="DH14" s="63"/>
      <c r="DI14" s="63"/>
      <c r="DJ14" s="63"/>
      <c r="DK14" s="63"/>
      <c r="DL14" s="63"/>
      <c r="DM14" s="63"/>
      <c r="DN14" s="63"/>
      <c r="DO14" s="63"/>
      <c r="DP14" s="63"/>
      <c r="DQ14" s="63"/>
      <c r="DR14" s="63"/>
      <c r="DS14" s="63"/>
      <c r="DT14" s="63"/>
      <c r="DU14" s="63"/>
      <c r="DV14" s="63"/>
      <c r="DW14" s="63"/>
      <c r="DX14" s="63"/>
      <c r="DY14" s="63"/>
      <c r="DZ14" s="63"/>
      <c r="EA14" s="63"/>
      <c r="EB14" s="63"/>
      <c r="EC14" s="63"/>
      <c r="ED14" s="63"/>
      <c r="EE14" s="63"/>
      <c r="EF14" s="63"/>
      <c r="EG14" s="63"/>
      <c r="EH14" s="63"/>
      <c r="EI14" s="63"/>
      <c r="EJ14" s="63"/>
      <c r="EK14" s="63"/>
      <c r="EL14" s="63"/>
      <c r="EM14" s="63"/>
      <c r="EN14" s="63"/>
      <c r="EO14" s="63"/>
      <c r="EP14" s="63"/>
      <c r="EQ14" s="63"/>
      <c r="ER14" s="63"/>
      <c r="ES14" s="63"/>
      <c r="ET14" s="63"/>
      <c r="EU14" s="63"/>
      <c r="EV14" s="63"/>
      <c r="EW14" s="63"/>
      <c r="EX14" s="63"/>
      <c r="EY14" s="63"/>
      <c r="EZ14" s="63"/>
      <c r="FA14" s="63"/>
      <c r="FB14" s="63"/>
      <c r="FC14" s="63"/>
      <c r="FD14" s="63"/>
      <c r="FE14" s="63"/>
      <c r="FF14" s="63"/>
      <c r="FG14" s="63"/>
      <c r="FH14" s="63"/>
      <c r="FI14" s="63"/>
      <c r="FJ14" s="63"/>
      <c r="FK14" s="63"/>
      <c r="FL14" s="63"/>
      <c r="FM14" s="63"/>
      <c r="FN14" s="63"/>
      <c r="FO14" s="63"/>
      <c r="FP14" s="63"/>
      <c r="FQ14" s="63"/>
      <c r="FR14" s="63"/>
      <c r="FS14" s="63"/>
      <c r="FT14" s="63"/>
      <c r="FU14" s="63"/>
      <c r="FV14" s="63"/>
      <c r="FW14" s="63"/>
      <c r="FX14" s="63"/>
      <c r="FY14" s="63"/>
      <c r="FZ14" s="63"/>
      <c r="GA14" s="63"/>
      <c r="GB14" s="63"/>
      <c r="GC14" s="63"/>
      <c r="GD14" s="63"/>
      <c r="GE14" s="63"/>
      <c r="GF14" s="63"/>
      <c r="GG14" s="63"/>
      <c r="GH14" s="63"/>
      <c r="GI14" s="63"/>
      <c r="GJ14" s="63"/>
      <c r="GK14" s="63"/>
      <c r="GL14" s="63"/>
      <c r="GM14" s="63"/>
      <c r="GN14" s="63"/>
      <c r="GO14" s="63"/>
      <c r="GP14" s="63"/>
      <c r="GQ14" s="63"/>
      <c r="GR14" s="63"/>
      <c r="GS14" s="63"/>
      <c r="GT14" s="63"/>
      <c r="GU14" s="63"/>
      <c r="GV14" s="63"/>
      <c r="GW14" s="63"/>
      <c r="GX14" s="63"/>
      <c r="GY14" s="63"/>
      <c r="GZ14" s="63"/>
      <c r="HA14" s="63"/>
      <c r="HB14" s="63"/>
      <c r="HC14" s="63"/>
      <c r="HD14" s="63"/>
      <c r="HE14" s="63"/>
      <c r="HF14" s="63"/>
      <c r="HG14" s="63"/>
      <c r="HH14" s="63"/>
      <c r="HI14" s="63"/>
      <c r="HJ14" s="63"/>
      <c r="HK14" s="63"/>
      <c r="HL14" s="63"/>
      <c r="HM14" s="63"/>
      <c r="HN14" s="63"/>
      <c r="HO14" s="63"/>
      <c r="HP14" s="63"/>
      <c r="HQ14" s="63"/>
      <c r="HR14" s="63"/>
      <c r="HS14" s="63"/>
      <c r="HT14" s="63"/>
      <c r="HU14" s="63"/>
      <c r="HV14" s="63"/>
      <c r="HW14" s="63"/>
      <c r="HX14" s="63"/>
      <c r="HY14" s="63"/>
      <c r="HZ14" s="63"/>
      <c r="IA14" s="63"/>
      <c r="IB14" s="63"/>
      <c r="IC14" s="63"/>
      <c r="ID14" s="63"/>
      <c r="IE14" s="63"/>
      <c r="IF14" s="63"/>
      <c r="IG14" s="63"/>
      <c r="IH14" s="63"/>
      <c r="II14" s="63"/>
      <c r="IJ14" s="63"/>
      <c r="IK14" s="63"/>
      <c r="IL14" s="63"/>
      <c r="IM14" s="63"/>
      <c r="IN14" s="63"/>
      <c r="IO14" s="63"/>
      <c r="IP14" s="63"/>
      <c r="IQ14" s="63"/>
      <c r="IR14" s="63"/>
      <c r="IS14" s="63"/>
      <c r="IT14" s="63"/>
      <c r="IU14" s="63"/>
    </row>
    <row r="15" spans="1:255" ht="24" x14ac:dyDescent="0.15">
      <c r="A15" s="7" t="s">
        <v>160</v>
      </c>
      <c r="B15" s="28">
        <v>43465</v>
      </c>
      <c r="C15" s="28">
        <v>43830</v>
      </c>
      <c r="D15" s="28">
        <v>44196</v>
      </c>
      <c r="E15" s="28">
        <v>44561</v>
      </c>
      <c r="F15" s="28">
        <v>44926</v>
      </c>
      <c r="G15" s="28">
        <v>45291</v>
      </c>
    </row>
    <row r="16" spans="1:255" ht="12" x14ac:dyDescent="0.15">
      <c r="A16" s="8" t="s">
        <v>22</v>
      </c>
      <c r="B16" s="13" t="s">
        <v>23</v>
      </c>
      <c r="C16" s="13" t="s">
        <v>23</v>
      </c>
      <c r="D16" s="13" t="s">
        <v>23</v>
      </c>
      <c r="E16" s="13" t="s">
        <v>23</v>
      </c>
      <c r="F16" s="13" t="s">
        <v>23</v>
      </c>
      <c r="G16" s="13" t="s">
        <v>23</v>
      </c>
    </row>
    <row r="17" spans="1:7" x14ac:dyDescent="0.15">
      <c r="A17" s="9" t="s">
        <v>161</v>
      </c>
      <c r="B17" s="4"/>
      <c r="C17" s="4"/>
      <c r="D17" s="4"/>
      <c r="E17" s="4"/>
      <c r="F17" s="4"/>
      <c r="G17" s="4"/>
    </row>
    <row r="18" spans="1:7" x14ac:dyDescent="0.15">
      <c r="A18" s="4" t="s">
        <v>162</v>
      </c>
      <c r="B18" s="19">
        <v>6.1870000000000003</v>
      </c>
      <c r="C18" s="19">
        <v>1.4750000000000001</v>
      </c>
      <c r="D18" s="19">
        <v>2.8679999999999999</v>
      </c>
      <c r="E18" s="19">
        <v>2.8029999999999999</v>
      </c>
      <c r="F18" s="19">
        <v>50.795000000000002</v>
      </c>
      <c r="G18" s="19">
        <v>69.138999999999996</v>
      </c>
    </row>
    <row r="19" spans="1:7" ht="12" x14ac:dyDescent="0.15">
      <c r="A19" s="4" t="s">
        <v>163</v>
      </c>
      <c r="B19" s="19" t="s">
        <v>42</v>
      </c>
      <c r="C19" s="19">
        <v>3.5999999999999997E-2</v>
      </c>
      <c r="D19" s="19" t="s">
        <v>42</v>
      </c>
      <c r="E19" s="19">
        <v>4.2000000000000003E-2</v>
      </c>
      <c r="F19" s="19">
        <v>4.2000000000000003E-2</v>
      </c>
      <c r="G19" s="19">
        <v>4.2000000000000003E-2</v>
      </c>
    </row>
    <row r="20" spans="1:7" x14ac:dyDescent="0.15">
      <c r="A20" s="9" t="s">
        <v>164</v>
      </c>
      <c r="B20" s="24">
        <v>6.1870000000000003</v>
      </c>
      <c r="C20" s="24">
        <v>1.5109999999999999</v>
      </c>
      <c r="D20" s="24">
        <v>2.8679999999999999</v>
      </c>
      <c r="E20" s="24">
        <v>2.8450000000000002</v>
      </c>
      <c r="F20" s="24">
        <v>50.837000000000003</v>
      </c>
      <c r="G20" s="24">
        <v>69.180999999999997</v>
      </c>
    </row>
    <row r="21" spans="1:7" x14ac:dyDescent="0.15">
      <c r="A21" s="4"/>
      <c r="B21" s="4"/>
      <c r="C21" s="4"/>
      <c r="D21" s="4"/>
      <c r="E21" s="4"/>
      <c r="F21" s="4"/>
      <c r="G21" s="4"/>
    </row>
    <row r="22" spans="1:7" x14ac:dyDescent="0.15">
      <c r="A22" s="4" t="s">
        <v>165</v>
      </c>
      <c r="B22" s="19">
        <v>5.758</v>
      </c>
      <c r="C22" s="19">
        <v>16.734999999999999</v>
      </c>
      <c r="D22" s="19">
        <v>19.428000000000001</v>
      </c>
      <c r="E22" s="19">
        <v>8.1620000000000008</v>
      </c>
      <c r="F22" s="19">
        <v>32.912999999999997</v>
      </c>
      <c r="G22" s="19">
        <v>35.448</v>
      </c>
    </row>
    <row r="23" spans="1:7" x14ac:dyDescent="0.15">
      <c r="A23" s="4" t="s">
        <v>166</v>
      </c>
      <c r="B23" s="19">
        <v>2.7250000000000001</v>
      </c>
      <c r="C23" s="19">
        <v>3.1779999999999999</v>
      </c>
      <c r="D23" s="19">
        <v>4.6159999999999997</v>
      </c>
      <c r="E23" s="19">
        <v>6.6470000000000002</v>
      </c>
      <c r="F23" s="19">
        <v>4.0549999999999997</v>
      </c>
      <c r="G23" s="19">
        <v>3.47</v>
      </c>
    </row>
    <row r="24" spans="1:7" x14ac:dyDescent="0.15">
      <c r="A24" s="9" t="s">
        <v>167</v>
      </c>
      <c r="B24" s="24">
        <v>8.4830000000000005</v>
      </c>
      <c r="C24" s="24">
        <v>19.913</v>
      </c>
      <c r="D24" s="24">
        <v>24.044</v>
      </c>
      <c r="E24" s="24">
        <v>14.808999999999999</v>
      </c>
      <c r="F24" s="24">
        <v>36.968000000000004</v>
      </c>
      <c r="G24" s="24">
        <v>38.917999999999999</v>
      </c>
    </row>
    <row r="25" spans="1:7" x14ac:dyDescent="0.15">
      <c r="A25" s="4"/>
      <c r="B25" s="4"/>
      <c r="C25" s="4"/>
      <c r="D25" s="4"/>
      <c r="E25" s="4"/>
      <c r="F25" s="4"/>
      <c r="G25" s="4"/>
    </row>
    <row r="26" spans="1:7" x14ac:dyDescent="0.15">
      <c r="A26" s="4" t="s">
        <v>168</v>
      </c>
      <c r="B26" s="19">
        <v>0.49299999999999999</v>
      </c>
      <c r="C26" s="19">
        <v>0.46300000000000002</v>
      </c>
      <c r="D26" s="19">
        <v>0.373</v>
      </c>
      <c r="E26" s="19">
        <v>0.27100000000000002</v>
      </c>
      <c r="F26" s="19">
        <v>0.318</v>
      </c>
      <c r="G26" s="19">
        <v>0.38100000000000001</v>
      </c>
    </row>
    <row r="27" spans="1:7" ht="12" x14ac:dyDescent="0.15">
      <c r="A27" s="4" t="s">
        <v>169</v>
      </c>
      <c r="B27" s="19" t="s">
        <v>42</v>
      </c>
      <c r="C27" s="19" t="s">
        <v>42</v>
      </c>
      <c r="D27" s="19" t="s">
        <v>42</v>
      </c>
      <c r="E27" s="19" t="s">
        <v>42</v>
      </c>
      <c r="F27" s="19" t="s">
        <v>42</v>
      </c>
      <c r="G27" s="19" t="s">
        <v>42</v>
      </c>
    </row>
    <row r="28" spans="1:7" x14ac:dyDescent="0.15">
      <c r="A28" s="9" t="s">
        <v>170</v>
      </c>
      <c r="B28" s="24">
        <v>15.163</v>
      </c>
      <c r="C28" s="24">
        <v>21.887</v>
      </c>
      <c r="D28" s="24">
        <v>27.285</v>
      </c>
      <c r="E28" s="24">
        <v>17.925000000000001</v>
      </c>
      <c r="F28" s="24">
        <v>88.123000000000005</v>
      </c>
      <c r="G28" s="24">
        <v>108.48</v>
      </c>
    </row>
    <row r="29" spans="1:7" x14ac:dyDescent="0.15">
      <c r="A29" s="4"/>
      <c r="B29" s="4"/>
      <c r="C29" s="4"/>
      <c r="D29" s="4"/>
      <c r="E29" s="4"/>
      <c r="F29" s="4"/>
      <c r="G29" s="4"/>
    </row>
    <row r="30" spans="1:7" x14ac:dyDescent="0.15">
      <c r="A30" s="4" t="s">
        <v>171</v>
      </c>
      <c r="B30" s="19">
        <v>601.14599999999996</v>
      </c>
      <c r="C30" s="19">
        <v>605.75900000000001</v>
      </c>
      <c r="D30" s="19">
        <v>613.18399999999997</v>
      </c>
      <c r="E30" s="19">
        <v>620.70399999999995</v>
      </c>
      <c r="F30" s="19">
        <v>647.39099999999996</v>
      </c>
      <c r="G30" s="19">
        <v>662.12300000000005</v>
      </c>
    </row>
    <row r="31" spans="1:7" x14ac:dyDescent="0.15">
      <c r="A31" s="4" t="s">
        <v>172</v>
      </c>
      <c r="B31" s="19">
        <v>-11.023999999999999</v>
      </c>
      <c r="C31" s="19">
        <v>-16.93</v>
      </c>
      <c r="D31" s="19">
        <v>-24.85</v>
      </c>
      <c r="E31" s="19">
        <v>-30.234999999999999</v>
      </c>
      <c r="F31" s="19">
        <v>-37.723999999999997</v>
      </c>
      <c r="G31" s="19">
        <v>-46.305999999999997</v>
      </c>
    </row>
    <row r="32" spans="1:7" x14ac:dyDescent="0.15">
      <c r="A32" s="9" t="s">
        <v>173</v>
      </c>
      <c r="B32" s="24">
        <v>590.12199999999996</v>
      </c>
      <c r="C32" s="24">
        <v>588.82899999999995</v>
      </c>
      <c r="D32" s="24">
        <v>588.33399999999995</v>
      </c>
      <c r="E32" s="24">
        <v>590.46900000000005</v>
      </c>
      <c r="F32" s="24">
        <v>609.66700000000003</v>
      </c>
      <c r="G32" s="24">
        <v>615.81700000000001</v>
      </c>
    </row>
    <row r="33" spans="1:7" x14ac:dyDescent="0.15">
      <c r="A33" s="4"/>
      <c r="B33" s="4"/>
      <c r="C33" s="4"/>
      <c r="D33" s="4"/>
      <c r="E33" s="4"/>
      <c r="F33" s="4"/>
      <c r="G33" s="4"/>
    </row>
    <row r="34" spans="1:7" x14ac:dyDescent="0.15">
      <c r="A34" s="4" t="s">
        <v>174</v>
      </c>
      <c r="B34" s="19">
        <v>1.3440000000000001</v>
      </c>
      <c r="C34" s="19">
        <v>1.359</v>
      </c>
      <c r="D34" s="19">
        <v>3.633</v>
      </c>
      <c r="E34" s="19">
        <v>3.8580000000000001</v>
      </c>
      <c r="F34" s="19">
        <v>7.9870000000000001</v>
      </c>
      <c r="G34" s="19">
        <v>7.1230000000000002</v>
      </c>
    </row>
    <row r="35" spans="1:7" x14ac:dyDescent="0.15">
      <c r="A35" s="4" t="s">
        <v>175</v>
      </c>
      <c r="B35" s="19">
        <v>8.0000000000000002E-3</v>
      </c>
      <c r="C35" s="19">
        <v>4.3999999999999997E-2</v>
      </c>
      <c r="D35" s="19">
        <v>4.3999999999999997E-2</v>
      </c>
      <c r="E35" s="19">
        <v>4.3999999999999997E-2</v>
      </c>
      <c r="F35" s="19">
        <v>8.0000000000000002E-3</v>
      </c>
      <c r="G35" s="19">
        <v>8.0000000000000002E-3</v>
      </c>
    </row>
    <row r="36" spans="1:7" x14ac:dyDescent="0.15">
      <c r="A36" s="9" t="s">
        <v>176</v>
      </c>
      <c r="B36" s="25">
        <v>606.63699999999994</v>
      </c>
      <c r="C36" s="25">
        <v>612.11900000000003</v>
      </c>
      <c r="D36" s="25">
        <v>619.29600000000005</v>
      </c>
      <c r="E36" s="25">
        <v>612.29600000000005</v>
      </c>
      <c r="F36" s="25">
        <v>705.78499999999997</v>
      </c>
      <c r="G36" s="25">
        <v>731.428</v>
      </c>
    </row>
    <row r="37" spans="1:7" x14ac:dyDescent="0.15">
      <c r="A37" s="4"/>
      <c r="B37" s="4"/>
      <c r="C37" s="4"/>
      <c r="D37" s="4"/>
      <c r="E37" s="4"/>
      <c r="F37" s="4"/>
      <c r="G37" s="4"/>
    </row>
    <row r="38" spans="1:7" x14ac:dyDescent="0.15">
      <c r="A38" s="9" t="s">
        <v>177</v>
      </c>
      <c r="B38" s="4"/>
      <c r="C38" s="4"/>
      <c r="D38" s="4"/>
      <c r="E38" s="4"/>
      <c r="F38" s="4"/>
      <c r="G38" s="4"/>
    </row>
    <row r="39" spans="1:7" x14ac:dyDescent="0.15">
      <c r="A39" s="4" t="s">
        <v>178</v>
      </c>
      <c r="B39" s="19">
        <v>7.7240000000000002</v>
      </c>
      <c r="C39" s="19">
        <v>2.5249999999999999</v>
      </c>
      <c r="D39" s="19">
        <v>4.2949999999999999</v>
      </c>
      <c r="E39" s="19">
        <v>3.0390000000000001</v>
      </c>
      <c r="F39" s="19">
        <v>7.9180000000000001</v>
      </c>
      <c r="G39" s="19">
        <v>5.51</v>
      </c>
    </row>
    <row r="40" spans="1:7" x14ac:dyDescent="0.15">
      <c r="A40" s="4" t="s">
        <v>179</v>
      </c>
      <c r="B40" s="19">
        <v>6.37</v>
      </c>
      <c r="C40" s="19">
        <v>7.7080000000000002</v>
      </c>
      <c r="D40" s="19">
        <v>14.702999999999999</v>
      </c>
      <c r="E40" s="19">
        <v>9.8550000000000004</v>
      </c>
      <c r="F40" s="19">
        <v>11.487</v>
      </c>
      <c r="G40" s="19">
        <v>11.853</v>
      </c>
    </row>
    <row r="41" spans="1:7" ht="12" x14ac:dyDescent="0.15">
      <c r="A41" s="4" t="s">
        <v>180</v>
      </c>
      <c r="B41" s="19">
        <v>52.1</v>
      </c>
      <c r="C41" s="19">
        <v>57.527999999999999</v>
      </c>
      <c r="D41" s="19">
        <v>33.186999999999998</v>
      </c>
      <c r="E41" s="19">
        <v>29.81</v>
      </c>
      <c r="F41" s="19" t="s">
        <v>42</v>
      </c>
      <c r="G41" s="19">
        <v>0.45300000000000001</v>
      </c>
    </row>
    <row r="42" spans="1:7" x14ac:dyDescent="0.15">
      <c r="A42" s="4" t="s">
        <v>181</v>
      </c>
      <c r="B42" s="19">
        <v>3.5630000000000002</v>
      </c>
      <c r="C42" s="19">
        <v>3.5880000000000001</v>
      </c>
      <c r="D42" s="19">
        <v>3.48</v>
      </c>
      <c r="E42" s="19">
        <v>3.4129999999999998</v>
      </c>
      <c r="F42" s="19">
        <v>4.3970000000000002</v>
      </c>
      <c r="G42" s="19">
        <v>3.2890000000000001</v>
      </c>
    </row>
    <row r="43" spans="1:7" x14ac:dyDescent="0.15">
      <c r="A43" s="4" t="s">
        <v>182</v>
      </c>
      <c r="B43" s="19">
        <v>2.048</v>
      </c>
      <c r="C43" s="19">
        <v>2.2850000000000001</v>
      </c>
      <c r="D43" s="19">
        <v>3.0089999999999999</v>
      </c>
      <c r="E43" s="19">
        <v>0.77300000000000002</v>
      </c>
      <c r="F43" s="19">
        <v>0.155</v>
      </c>
      <c r="G43" s="19">
        <v>0.158</v>
      </c>
    </row>
    <row r="44" spans="1:7" ht="12" x14ac:dyDescent="0.15">
      <c r="A44" s="4" t="s">
        <v>183</v>
      </c>
      <c r="B44" s="19" t="s">
        <v>42</v>
      </c>
      <c r="C44" s="19" t="s">
        <v>42</v>
      </c>
      <c r="D44" s="19">
        <v>0.51300000000000001</v>
      </c>
      <c r="E44" s="19" t="s">
        <v>42</v>
      </c>
      <c r="F44" s="19">
        <v>1.415</v>
      </c>
      <c r="G44" s="19">
        <v>0.317</v>
      </c>
    </row>
    <row r="45" spans="1:7" x14ac:dyDescent="0.15">
      <c r="A45" s="4" t="s">
        <v>184</v>
      </c>
      <c r="B45" s="19">
        <v>5.4249999999999998</v>
      </c>
      <c r="C45" s="19">
        <v>5.899</v>
      </c>
      <c r="D45" s="19">
        <v>7.3029999999999999</v>
      </c>
      <c r="E45" s="19">
        <v>5.9480000000000004</v>
      </c>
      <c r="F45" s="19">
        <v>6.0590000000000002</v>
      </c>
      <c r="G45" s="19">
        <v>5.7850000000000001</v>
      </c>
    </row>
    <row r="46" spans="1:7" ht="12" x14ac:dyDescent="0.15">
      <c r="A46" s="4" t="s">
        <v>185</v>
      </c>
      <c r="B46" s="19">
        <v>2.468</v>
      </c>
      <c r="C46" s="19" t="s">
        <v>42</v>
      </c>
      <c r="D46" s="19" t="s">
        <v>42</v>
      </c>
      <c r="E46" s="19" t="s">
        <v>42</v>
      </c>
      <c r="F46" s="19" t="s">
        <v>42</v>
      </c>
      <c r="G46" s="19" t="s">
        <v>42</v>
      </c>
    </row>
    <row r="47" spans="1:7" x14ac:dyDescent="0.15">
      <c r="A47" s="9" t="s">
        <v>186</v>
      </c>
      <c r="B47" s="24">
        <v>79.697999999999993</v>
      </c>
      <c r="C47" s="24">
        <v>79.533000000000001</v>
      </c>
      <c r="D47" s="24">
        <v>66.489999999999995</v>
      </c>
      <c r="E47" s="24">
        <v>52.838000000000001</v>
      </c>
      <c r="F47" s="24">
        <v>31.431000000000001</v>
      </c>
      <c r="G47" s="24">
        <v>27.364999999999998</v>
      </c>
    </row>
    <row r="48" spans="1:7" x14ac:dyDescent="0.15">
      <c r="A48" s="4"/>
      <c r="B48" s="4"/>
      <c r="C48" s="4"/>
      <c r="D48" s="4"/>
      <c r="E48" s="4"/>
      <c r="F48" s="4"/>
      <c r="G48" s="4"/>
    </row>
    <row r="49" spans="1:7" x14ac:dyDescent="0.15">
      <c r="A49" s="4" t="s">
        <v>187</v>
      </c>
      <c r="B49" s="19">
        <v>289.471</v>
      </c>
      <c r="C49" s="19">
        <v>284.79199999999997</v>
      </c>
      <c r="D49" s="19">
        <v>281.20800000000003</v>
      </c>
      <c r="E49" s="19">
        <v>277.86399999999998</v>
      </c>
      <c r="F49" s="19">
        <v>303.25599999999997</v>
      </c>
      <c r="G49" s="19">
        <v>301.17</v>
      </c>
    </row>
    <row r="50" spans="1:7" x14ac:dyDescent="0.15">
      <c r="A50" s="4" t="s">
        <v>188</v>
      </c>
      <c r="B50" s="19">
        <v>7.6020000000000003</v>
      </c>
      <c r="C50" s="19">
        <v>10.220000000000001</v>
      </c>
      <c r="D50" s="19">
        <v>7.2080000000000002</v>
      </c>
      <c r="E50" s="19">
        <v>4.976</v>
      </c>
      <c r="F50" s="19">
        <v>4.41</v>
      </c>
      <c r="G50" s="19">
        <v>4.2519999999999998</v>
      </c>
    </row>
    <row r="51" spans="1:7" x14ac:dyDescent="0.15">
      <c r="A51" s="4" t="s">
        <v>189</v>
      </c>
      <c r="B51" s="19">
        <v>39.838999999999999</v>
      </c>
      <c r="C51" s="19">
        <v>36.598999999999997</v>
      </c>
      <c r="D51" s="19">
        <v>33.329000000000001</v>
      </c>
      <c r="E51" s="19">
        <v>30.309000000000001</v>
      </c>
      <c r="F51" s="19">
        <v>26.891999999999999</v>
      </c>
      <c r="G51" s="19">
        <v>23.722000000000001</v>
      </c>
    </row>
    <row r="52" spans="1:7" ht="12" x14ac:dyDescent="0.15">
      <c r="A52" s="4" t="s">
        <v>190</v>
      </c>
      <c r="B52" s="19" t="s">
        <v>42</v>
      </c>
      <c r="C52" s="19" t="s">
        <v>42</v>
      </c>
      <c r="D52" s="19">
        <v>5.484</v>
      </c>
      <c r="E52" s="19">
        <v>8.8740000000000006</v>
      </c>
      <c r="F52" s="19">
        <v>21.442</v>
      </c>
      <c r="G52" s="19">
        <v>23.456</v>
      </c>
    </row>
    <row r="53" spans="1:7" x14ac:dyDescent="0.15">
      <c r="A53" s="4" t="s">
        <v>191</v>
      </c>
      <c r="B53" s="19">
        <v>0.877</v>
      </c>
      <c r="C53" s="19">
        <v>1.5469999999999999</v>
      </c>
      <c r="D53" s="19">
        <v>3.6070000000000002</v>
      </c>
      <c r="E53" s="19">
        <v>4.5519999999999996</v>
      </c>
      <c r="F53" s="19">
        <v>2.56</v>
      </c>
      <c r="G53" s="19">
        <v>2.8450000000000002</v>
      </c>
    </row>
    <row r="54" spans="1:7" x14ac:dyDescent="0.15">
      <c r="A54" s="9" t="s">
        <v>192</v>
      </c>
      <c r="B54" s="24">
        <v>417.48700000000002</v>
      </c>
      <c r="C54" s="24">
        <v>412.69099999999997</v>
      </c>
      <c r="D54" s="24">
        <v>397.32600000000002</v>
      </c>
      <c r="E54" s="24">
        <v>379.41300000000001</v>
      </c>
      <c r="F54" s="24">
        <v>389.99099999999999</v>
      </c>
      <c r="G54" s="24">
        <v>382.81</v>
      </c>
    </row>
    <row r="55" spans="1:7" x14ac:dyDescent="0.15">
      <c r="A55" s="4"/>
      <c r="B55" s="4"/>
      <c r="C55" s="4"/>
      <c r="D55" s="4"/>
      <c r="E55" s="4"/>
      <c r="F55" s="4"/>
      <c r="G55" s="4"/>
    </row>
    <row r="56" spans="1:7" x14ac:dyDescent="0.15">
      <c r="A56" s="4" t="s">
        <v>193</v>
      </c>
      <c r="B56" s="19">
        <v>99.016000000000005</v>
      </c>
      <c r="C56" s="19">
        <v>99.016000000000005</v>
      </c>
      <c r="D56" s="19">
        <v>99.016000000000005</v>
      </c>
      <c r="E56" s="19">
        <v>99.016000000000005</v>
      </c>
      <c r="F56" s="19">
        <v>99.016000000000005</v>
      </c>
      <c r="G56" s="19">
        <v>99.016000000000005</v>
      </c>
    </row>
    <row r="57" spans="1:7" x14ac:dyDescent="0.15">
      <c r="A57" s="4" t="s">
        <v>194</v>
      </c>
      <c r="B57" s="19">
        <v>77.018000000000001</v>
      </c>
      <c r="C57" s="19">
        <v>77.018000000000001</v>
      </c>
      <c r="D57" s="19">
        <v>77.018000000000001</v>
      </c>
      <c r="E57" s="19">
        <v>77.018000000000001</v>
      </c>
      <c r="F57" s="19">
        <v>77.018000000000001</v>
      </c>
      <c r="G57" s="19">
        <v>77.018000000000001</v>
      </c>
    </row>
    <row r="58" spans="1:7" x14ac:dyDescent="0.15">
      <c r="A58" s="4" t="s">
        <v>195</v>
      </c>
      <c r="B58" s="19">
        <v>13.332000000000001</v>
      </c>
      <c r="C58" s="19">
        <v>23.61</v>
      </c>
      <c r="D58" s="19">
        <v>46.152000000000001</v>
      </c>
      <c r="E58" s="19">
        <v>56.848999999999997</v>
      </c>
      <c r="F58" s="19">
        <v>139.76</v>
      </c>
      <c r="G58" s="19">
        <v>172.584</v>
      </c>
    </row>
    <row r="59" spans="1:7" ht="12" x14ac:dyDescent="0.15">
      <c r="A59" s="4" t="s">
        <v>196</v>
      </c>
      <c r="B59" s="19">
        <v>-0.216</v>
      </c>
      <c r="C59" s="19">
        <v>-0.216</v>
      </c>
      <c r="D59" s="19">
        <v>-0.216</v>
      </c>
      <c r="E59" s="19" t="s">
        <v>42</v>
      </c>
      <c r="F59" s="19" t="s">
        <v>42</v>
      </c>
      <c r="G59" s="19" t="s">
        <v>42</v>
      </c>
    </row>
    <row r="60" spans="1:7" ht="12" x14ac:dyDescent="0.15">
      <c r="A60" s="4" t="s">
        <v>197</v>
      </c>
      <c r="B60" s="19" t="s">
        <v>42</v>
      </c>
      <c r="C60" s="19" t="s">
        <v>42</v>
      </c>
      <c r="D60" s="19" t="s">
        <v>42</v>
      </c>
      <c r="E60" s="19" t="s">
        <v>42</v>
      </c>
      <c r="F60" s="19" t="s">
        <v>42</v>
      </c>
      <c r="G60" s="19" t="s">
        <v>42</v>
      </c>
    </row>
    <row r="61" spans="1:7" x14ac:dyDescent="0.15">
      <c r="A61" s="9" t="s">
        <v>198</v>
      </c>
      <c r="B61" s="24">
        <v>189.15</v>
      </c>
      <c r="C61" s="24">
        <v>199.428</v>
      </c>
      <c r="D61" s="24">
        <v>221.97</v>
      </c>
      <c r="E61" s="24">
        <v>232.88300000000001</v>
      </c>
      <c r="F61" s="24">
        <v>315.79399999999998</v>
      </c>
      <c r="G61" s="24">
        <v>348.61799999999999</v>
      </c>
    </row>
    <row r="62" spans="1:7" x14ac:dyDescent="0.15">
      <c r="A62" s="4"/>
      <c r="B62" s="4"/>
      <c r="C62" s="4"/>
      <c r="D62" s="4"/>
      <c r="E62" s="4"/>
      <c r="F62" s="4"/>
      <c r="G62" s="4"/>
    </row>
    <row r="63" spans="1:7" x14ac:dyDescent="0.15">
      <c r="A63" s="9" t="s">
        <v>199</v>
      </c>
      <c r="B63" s="29">
        <v>189.15</v>
      </c>
      <c r="C63" s="29">
        <v>199.428</v>
      </c>
      <c r="D63" s="29">
        <v>221.97</v>
      </c>
      <c r="E63" s="29">
        <v>232.88300000000001</v>
      </c>
      <c r="F63" s="29">
        <v>315.79399999999998</v>
      </c>
      <c r="G63" s="29">
        <v>348.61799999999999</v>
      </c>
    </row>
    <row r="64" spans="1:7" x14ac:dyDescent="0.15">
      <c r="A64" s="4"/>
      <c r="B64" s="4"/>
      <c r="C64" s="4"/>
      <c r="D64" s="4"/>
      <c r="E64" s="4"/>
      <c r="F64" s="4"/>
      <c r="G64" s="4"/>
    </row>
    <row r="65" spans="1:7" x14ac:dyDescent="0.15">
      <c r="A65" s="9" t="s">
        <v>200</v>
      </c>
      <c r="B65" s="30">
        <v>606.63699999999994</v>
      </c>
      <c r="C65" s="30">
        <v>612.11900000000003</v>
      </c>
      <c r="D65" s="30">
        <v>619.29600000000005</v>
      </c>
      <c r="E65" s="30">
        <v>612.29600000000005</v>
      </c>
      <c r="F65" s="30">
        <v>705.78499999999997</v>
      </c>
      <c r="G65" s="30">
        <v>731.428</v>
      </c>
    </row>
    <row r="66" spans="1:7" x14ac:dyDescent="0.15">
      <c r="A66" s="4"/>
      <c r="B66" s="4"/>
      <c r="C66" s="4"/>
      <c r="D66" s="4"/>
      <c r="E66" s="4"/>
      <c r="F66" s="4"/>
      <c r="G66" s="4"/>
    </row>
    <row r="67" spans="1:7" x14ac:dyDescent="0.15">
      <c r="A67" s="9" t="s">
        <v>126</v>
      </c>
      <c r="B67" s="4"/>
      <c r="C67" s="4"/>
      <c r="D67" s="4"/>
      <c r="E67" s="4"/>
      <c r="F67" s="4"/>
      <c r="G67" s="4"/>
    </row>
    <row r="68" spans="1:7" x14ac:dyDescent="0.15">
      <c r="A68" s="4" t="s">
        <v>201</v>
      </c>
      <c r="B68" s="19">
        <v>9.872268</v>
      </c>
      <c r="C68" s="19">
        <v>9.872268</v>
      </c>
      <c r="D68" s="19">
        <v>9.872268</v>
      </c>
      <c r="E68" s="19">
        <v>9.9015979999999999</v>
      </c>
      <c r="F68" s="19">
        <v>9.9015979999999999</v>
      </c>
      <c r="G68" s="19">
        <v>9.9015979999999999</v>
      </c>
    </row>
    <row r="69" spans="1:7" x14ac:dyDescent="0.15">
      <c r="A69" s="4" t="s">
        <v>202</v>
      </c>
      <c r="B69" s="19">
        <v>9.872268</v>
      </c>
      <c r="C69" s="19">
        <v>9.872268</v>
      </c>
      <c r="D69" s="19">
        <v>9.872268</v>
      </c>
      <c r="E69" s="19">
        <v>9.9015979999999999</v>
      </c>
      <c r="F69" s="19">
        <v>9.9015979999999999</v>
      </c>
      <c r="G69" s="19">
        <v>9.9015979999999999</v>
      </c>
    </row>
    <row r="70" spans="1:7" x14ac:dyDescent="0.15">
      <c r="A70" s="4" t="s">
        <v>203</v>
      </c>
      <c r="B70" s="18">
        <v>19.159731000000001</v>
      </c>
      <c r="C70" s="18">
        <v>20.200828999999999</v>
      </c>
      <c r="D70" s="18">
        <v>22.484195</v>
      </c>
      <c r="E70" s="18">
        <v>23.519738</v>
      </c>
      <c r="F70" s="18">
        <v>31.893235000000001</v>
      </c>
      <c r="G70" s="18">
        <v>35.208255999999999</v>
      </c>
    </row>
    <row r="71" spans="1:7" x14ac:dyDescent="0.15">
      <c r="A71" s="4" t="s">
        <v>204</v>
      </c>
      <c r="B71" s="19">
        <v>187.80600000000001</v>
      </c>
      <c r="C71" s="19">
        <v>198.06899999999999</v>
      </c>
      <c r="D71" s="19">
        <v>218.33699999999999</v>
      </c>
      <c r="E71" s="19">
        <v>229.02500000000001</v>
      </c>
      <c r="F71" s="19">
        <v>307.80700000000002</v>
      </c>
      <c r="G71" s="19">
        <v>341.495</v>
      </c>
    </row>
    <row r="72" spans="1:7" x14ac:dyDescent="0.15">
      <c r="A72" s="4" t="s">
        <v>205</v>
      </c>
      <c r="B72" s="18">
        <v>19.023592000000001</v>
      </c>
      <c r="C72" s="18">
        <v>20.06317</v>
      </c>
      <c r="D72" s="18">
        <v>22.116194</v>
      </c>
      <c r="E72" s="18">
        <v>23.130103999999999</v>
      </c>
      <c r="F72" s="18">
        <v>31.086597999999999</v>
      </c>
      <c r="G72" s="18">
        <v>34.488877000000002</v>
      </c>
    </row>
    <row r="73" spans="1:7" x14ac:dyDescent="0.15">
      <c r="A73" s="4" t="s">
        <v>206</v>
      </c>
      <c r="B73" s="19">
        <v>354.78399999999999</v>
      </c>
      <c r="C73" s="19">
        <v>358.41300000000001</v>
      </c>
      <c r="D73" s="19">
        <v>328.09199999999998</v>
      </c>
      <c r="E73" s="19">
        <v>316.83600000000001</v>
      </c>
      <c r="F73" s="19">
        <v>312.21800000000002</v>
      </c>
      <c r="G73" s="19">
        <v>309.322</v>
      </c>
    </row>
    <row r="74" spans="1:7" x14ac:dyDescent="0.15">
      <c r="A74" s="4" t="s">
        <v>207</v>
      </c>
      <c r="B74" s="19">
        <v>348.59699999999998</v>
      </c>
      <c r="C74" s="19">
        <v>356.90199999999999</v>
      </c>
      <c r="D74" s="19">
        <v>325.22399999999999</v>
      </c>
      <c r="E74" s="19">
        <v>313.99099999999999</v>
      </c>
      <c r="F74" s="19">
        <v>261.38099999999997</v>
      </c>
      <c r="G74" s="19">
        <v>240.14099999999999</v>
      </c>
    </row>
    <row r="75" spans="1:7" ht="12" x14ac:dyDescent="0.15">
      <c r="A75" s="4" t="s">
        <v>208</v>
      </c>
      <c r="B75" s="19">
        <v>6.24</v>
      </c>
      <c r="C75" s="19">
        <v>4.6559999999999997</v>
      </c>
      <c r="D75" s="19">
        <v>3.92</v>
      </c>
      <c r="E75" s="19" t="s">
        <v>125</v>
      </c>
      <c r="F75" s="19">
        <v>5.4</v>
      </c>
      <c r="G75" s="19">
        <v>7.72</v>
      </c>
    </row>
    <row r="76" spans="1:7" ht="12" x14ac:dyDescent="0.15">
      <c r="A76" s="4" t="s">
        <v>209</v>
      </c>
      <c r="B76" s="16" t="s">
        <v>210</v>
      </c>
      <c r="C76" s="16" t="s">
        <v>210</v>
      </c>
      <c r="D76" s="16" t="s">
        <v>210</v>
      </c>
      <c r="E76" s="16" t="s">
        <v>210</v>
      </c>
      <c r="F76" s="16" t="s">
        <v>210</v>
      </c>
      <c r="G76" s="16" t="s">
        <v>210</v>
      </c>
    </row>
    <row r="77" spans="1:7" x14ac:dyDescent="0.15">
      <c r="A77" s="4" t="s">
        <v>211</v>
      </c>
      <c r="B77" s="19">
        <v>0.32700000000000001</v>
      </c>
      <c r="C77" s="19">
        <v>0.27600000000000002</v>
      </c>
      <c r="D77" s="19">
        <v>0.187</v>
      </c>
      <c r="E77" s="19">
        <v>0.27100000000000002</v>
      </c>
      <c r="F77" s="19">
        <v>0.318</v>
      </c>
      <c r="G77" s="19">
        <v>0.38100000000000001</v>
      </c>
    </row>
    <row r="78" spans="1:7" ht="12" x14ac:dyDescent="0.15">
      <c r="A78" s="4" t="s">
        <v>212</v>
      </c>
      <c r="B78" s="19">
        <v>0.16600000000000001</v>
      </c>
      <c r="C78" s="19">
        <v>0.187</v>
      </c>
      <c r="D78" s="19">
        <v>0.186</v>
      </c>
      <c r="E78" s="19" t="s">
        <v>125</v>
      </c>
      <c r="F78" s="19" t="s">
        <v>125</v>
      </c>
      <c r="G78" s="19" t="s">
        <v>125</v>
      </c>
    </row>
    <row r="79" spans="1:7" x14ac:dyDescent="0.15">
      <c r="A79" s="4" t="s">
        <v>213</v>
      </c>
      <c r="B79" s="19">
        <v>76.97</v>
      </c>
      <c r="C79" s="19">
        <v>76.97</v>
      </c>
      <c r="D79" s="19">
        <v>76.97</v>
      </c>
      <c r="E79" s="19">
        <v>76.97</v>
      </c>
      <c r="F79" s="19">
        <v>76.97</v>
      </c>
      <c r="G79" s="19">
        <v>79.512</v>
      </c>
    </row>
    <row r="80" spans="1:7" x14ac:dyDescent="0.15">
      <c r="A80" s="4" t="s">
        <v>214</v>
      </c>
      <c r="B80" s="19">
        <v>27.215</v>
      </c>
      <c r="C80" s="19">
        <v>27.044</v>
      </c>
      <c r="D80" s="19">
        <v>27.007999999999999</v>
      </c>
      <c r="E80" s="19">
        <v>25.489000000000001</v>
      </c>
      <c r="F80" s="19">
        <v>30.042999999999999</v>
      </c>
      <c r="G80" s="19">
        <v>29.45</v>
      </c>
    </row>
    <row r="81" spans="1:7" x14ac:dyDescent="0.15">
      <c r="A81" s="4" t="s">
        <v>215</v>
      </c>
      <c r="B81" s="19">
        <v>79.742000000000004</v>
      </c>
      <c r="C81" s="19">
        <v>86.004999999999995</v>
      </c>
      <c r="D81" s="19">
        <v>86.254999999999995</v>
      </c>
      <c r="E81" s="19">
        <v>86.05</v>
      </c>
      <c r="F81" s="19">
        <v>89.009</v>
      </c>
      <c r="G81" s="19">
        <v>89.805000000000007</v>
      </c>
    </row>
    <row r="82" spans="1:7" x14ac:dyDescent="0.15">
      <c r="A82" s="4" t="s">
        <v>216</v>
      </c>
      <c r="B82" s="31">
        <v>69</v>
      </c>
      <c r="C82" s="31">
        <v>65</v>
      </c>
      <c r="D82" s="31">
        <v>53</v>
      </c>
      <c r="E82" s="31">
        <v>54</v>
      </c>
      <c r="F82" s="31">
        <v>62</v>
      </c>
      <c r="G82" s="31">
        <v>68</v>
      </c>
    </row>
    <row r="83" spans="1:7" x14ac:dyDescent="0.15">
      <c r="A83" s="4" t="s">
        <v>217</v>
      </c>
      <c r="B83" s="19">
        <v>0.1</v>
      </c>
      <c r="C83" s="19">
        <v>0.111</v>
      </c>
      <c r="D83" s="19">
        <v>0.12</v>
      </c>
      <c r="E83" s="19">
        <v>0.13800000000000001</v>
      </c>
      <c r="F83" s="19">
        <v>0.159</v>
      </c>
      <c r="G83" s="19">
        <v>0.215</v>
      </c>
    </row>
    <row r="84" spans="1:7" x14ac:dyDescent="0.15">
      <c r="A84" s="4" t="s">
        <v>136</v>
      </c>
      <c r="B84" s="27">
        <v>43910</v>
      </c>
      <c r="C84" s="27">
        <v>44274</v>
      </c>
      <c r="D84" s="27">
        <v>44621</v>
      </c>
      <c r="E84" s="27">
        <v>45002</v>
      </c>
      <c r="F84" s="27">
        <v>45366</v>
      </c>
      <c r="G84" s="27">
        <v>45366</v>
      </c>
    </row>
    <row r="85" spans="1:7" ht="12" x14ac:dyDescent="0.15">
      <c r="A85" s="4" t="s">
        <v>137</v>
      </c>
      <c r="B85" s="16" t="s">
        <v>138</v>
      </c>
      <c r="C85" s="16" t="s">
        <v>138</v>
      </c>
      <c r="D85" s="16" t="s">
        <v>138</v>
      </c>
      <c r="E85" s="16" t="s">
        <v>138</v>
      </c>
      <c r="F85" s="16" t="s">
        <v>138</v>
      </c>
      <c r="G85" s="16" t="s">
        <v>140</v>
      </c>
    </row>
    <row r="86" spans="1:7" ht="12" x14ac:dyDescent="0.15">
      <c r="A86" s="4" t="s">
        <v>141</v>
      </c>
      <c r="B86" s="16" t="s">
        <v>142</v>
      </c>
      <c r="C86" s="16" t="s">
        <v>142</v>
      </c>
      <c r="D86" s="16" t="s">
        <v>142</v>
      </c>
      <c r="E86" s="16" t="s">
        <v>142</v>
      </c>
      <c r="F86" s="16" t="s">
        <v>142</v>
      </c>
      <c r="G86" s="16" t="s">
        <v>142</v>
      </c>
    </row>
    <row r="87" spans="1:7" x14ac:dyDescent="0.15">
      <c r="A87" s="4"/>
      <c r="B87" s="4"/>
      <c r="C87" s="4"/>
      <c r="D87" s="4"/>
      <c r="E87" s="4"/>
      <c r="F87" s="4"/>
      <c r="G87" s="4"/>
    </row>
    <row r="88" spans="1:7" x14ac:dyDescent="0.15">
      <c r="A88" s="11"/>
      <c r="B88" s="11"/>
      <c r="C88" s="11"/>
      <c r="D88" s="11"/>
      <c r="E88" s="11"/>
      <c r="F88" s="11"/>
      <c r="G88" s="11"/>
    </row>
    <row r="89" spans="1:7" x14ac:dyDescent="0.15">
      <c r="A89" t="s">
        <v>218</v>
      </c>
    </row>
    <row r="90" spans="1:7" x14ac:dyDescent="0.15">
      <c r="A90" s="22" t="s">
        <v>60</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57C9-FA97-9B46-8C1A-B5125B2B4B79}">
  <sheetPr>
    <outlinePr summaryBelow="0" summaryRight="0"/>
    <pageSetUpPr autoPageBreaks="0"/>
  </sheetPr>
  <dimension ref="A5:IU69"/>
  <sheetViews>
    <sheetView topLeftCell="A40" zoomScale="150" workbookViewId="0">
      <selection activeCell="A62" sqref="A62"/>
    </sheetView>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219</v>
      </c>
    </row>
    <row r="7" spans="1:255" ht="12" x14ac:dyDescent="0.15">
      <c r="A7" s="2" t="s">
        <v>220</v>
      </c>
      <c r="B7" s="3" t="s">
        <v>221</v>
      </c>
      <c r="C7" t="s">
        <v>64</v>
      </c>
      <c r="D7" s="4" t="s">
        <v>4</v>
      </c>
      <c r="E7" s="3" t="s">
        <v>222</v>
      </c>
      <c r="F7" t="s">
        <v>66</v>
      </c>
    </row>
    <row r="8" spans="1:255" x14ac:dyDescent="0.15">
      <c r="A8" s="4"/>
      <c r="B8" s="3" t="s">
        <v>223</v>
      </c>
      <c r="C8" t="s">
        <v>68</v>
      </c>
      <c r="D8" s="4" t="s">
        <v>4</v>
      </c>
      <c r="E8" s="3" t="s">
        <v>224</v>
      </c>
      <c r="F8" t="s">
        <v>8</v>
      </c>
    </row>
    <row r="9" spans="1:255" x14ac:dyDescent="0.15">
      <c r="A9" s="4"/>
      <c r="B9" s="3" t="s">
        <v>225</v>
      </c>
      <c r="C9" t="s">
        <v>71</v>
      </c>
      <c r="D9" s="4" t="s">
        <v>4</v>
      </c>
      <c r="E9" s="3" t="s">
        <v>226</v>
      </c>
      <c r="F9" t="s">
        <v>6</v>
      </c>
    </row>
    <row r="10" spans="1:255" x14ac:dyDescent="0.15">
      <c r="A10" s="4"/>
      <c r="B10" s="3" t="s">
        <v>227</v>
      </c>
      <c r="C10" t="s">
        <v>10</v>
      </c>
      <c r="D10" s="4" t="s">
        <v>4</v>
      </c>
      <c r="E10" s="3" t="s">
        <v>228</v>
      </c>
      <c r="F10" s="5" t="s">
        <v>12</v>
      </c>
    </row>
    <row r="11" spans="1:255" x14ac:dyDescent="0.15">
      <c r="A11" s="4"/>
      <c r="B11" s="3" t="s">
        <v>229</v>
      </c>
      <c r="C11" t="s">
        <v>76</v>
      </c>
      <c r="D11" s="4" t="s">
        <v>4</v>
      </c>
      <c r="E11" s="23"/>
      <c r="F11" s="23"/>
    </row>
    <row r="14" spans="1:255" x14ac:dyDescent="0.15">
      <c r="A14" s="6" t="s">
        <v>230</v>
      </c>
      <c r="B14" s="6"/>
      <c r="C14" s="6"/>
      <c r="D14" s="6"/>
      <c r="E14" s="6"/>
      <c r="F14" s="6"/>
      <c r="G14" s="6"/>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c r="CY14" s="63"/>
      <c r="CZ14" s="63"/>
      <c r="DA14" s="63"/>
      <c r="DB14" s="63"/>
      <c r="DC14" s="63"/>
      <c r="DD14" s="63"/>
      <c r="DE14" s="63"/>
      <c r="DF14" s="63"/>
      <c r="DG14" s="63"/>
      <c r="DH14" s="63"/>
      <c r="DI14" s="63"/>
      <c r="DJ14" s="63"/>
      <c r="DK14" s="63"/>
      <c r="DL14" s="63"/>
      <c r="DM14" s="63"/>
      <c r="DN14" s="63"/>
      <c r="DO14" s="63"/>
      <c r="DP14" s="63"/>
      <c r="DQ14" s="63"/>
      <c r="DR14" s="63"/>
      <c r="DS14" s="63"/>
      <c r="DT14" s="63"/>
      <c r="DU14" s="63"/>
      <c r="DV14" s="63"/>
      <c r="DW14" s="63"/>
      <c r="DX14" s="63"/>
      <c r="DY14" s="63"/>
      <c r="DZ14" s="63"/>
      <c r="EA14" s="63"/>
      <c r="EB14" s="63"/>
      <c r="EC14" s="63"/>
      <c r="ED14" s="63"/>
      <c r="EE14" s="63"/>
      <c r="EF14" s="63"/>
      <c r="EG14" s="63"/>
      <c r="EH14" s="63"/>
      <c r="EI14" s="63"/>
      <c r="EJ14" s="63"/>
      <c r="EK14" s="63"/>
      <c r="EL14" s="63"/>
      <c r="EM14" s="63"/>
      <c r="EN14" s="63"/>
      <c r="EO14" s="63"/>
      <c r="EP14" s="63"/>
      <c r="EQ14" s="63"/>
      <c r="ER14" s="63"/>
      <c r="ES14" s="63"/>
      <c r="ET14" s="63"/>
      <c r="EU14" s="63"/>
      <c r="EV14" s="63"/>
      <c r="EW14" s="63"/>
      <c r="EX14" s="63"/>
      <c r="EY14" s="63"/>
      <c r="EZ14" s="63"/>
      <c r="FA14" s="63"/>
      <c r="FB14" s="63"/>
      <c r="FC14" s="63"/>
      <c r="FD14" s="63"/>
      <c r="FE14" s="63"/>
      <c r="FF14" s="63"/>
      <c r="FG14" s="63"/>
      <c r="FH14" s="63"/>
      <c r="FI14" s="63"/>
      <c r="FJ14" s="63"/>
      <c r="FK14" s="63"/>
      <c r="FL14" s="63"/>
      <c r="FM14" s="63"/>
      <c r="FN14" s="63"/>
      <c r="FO14" s="63"/>
      <c r="FP14" s="63"/>
      <c r="FQ14" s="63"/>
      <c r="FR14" s="63"/>
      <c r="FS14" s="63"/>
      <c r="FT14" s="63"/>
      <c r="FU14" s="63"/>
      <c r="FV14" s="63"/>
      <c r="FW14" s="63"/>
      <c r="FX14" s="63"/>
      <c r="FY14" s="63"/>
      <c r="FZ14" s="63"/>
      <c r="GA14" s="63"/>
      <c r="GB14" s="63"/>
      <c r="GC14" s="63"/>
      <c r="GD14" s="63"/>
      <c r="GE14" s="63"/>
      <c r="GF14" s="63"/>
      <c r="GG14" s="63"/>
      <c r="GH14" s="63"/>
      <c r="GI14" s="63"/>
      <c r="GJ14" s="63"/>
      <c r="GK14" s="63"/>
      <c r="GL14" s="63"/>
      <c r="GM14" s="63"/>
      <c r="GN14" s="63"/>
      <c r="GO14" s="63"/>
      <c r="GP14" s="63"/>
      <c r="GQ14" s="63"/>
      <c r="GR14" s="63"/>
      <c r="GS14" s="63"/>
      <c r="GT14" s="63"/>
      <c r="GU14" s="63"/>
      <c r="GV14" s="63"/>
      <c r="GW14" s="63"/>
      <c r="GX14" s="63"/>
      <c r="GY14" s="63"/>
      <c r="GZ14" s="63"/>
      <c r="HA14" s="63"/>
      <c r="HB14" s="63"/>
      <c r="HC14" s="63"/>
      <c r="HD14" s="63"/>
      <c r="HE14" s="63"/>
      <c r="HF14" s="63"/>
      <c r="HG14" s="63"/>
      <c r="HH14" s="63"/>
      <c r="HI14" s="63"/>
      <c r="HJ14" s="63"/>
      <c r="HK14" s="63"/>
      <c r="HL14" s="63"/>
      <c r="HM14" s="63"/>
      <c r="HN14" s="63"/>
      <c r="HO14" s="63"/>
      <c r="HP14" s="63"/>
      <c r="HQ14" s="63"/>
      <c r="HR14" s="63"/>
      <c r="HS14" s="63"/>
      <c r="HT14" s="63"/>
      <c r="HU14" s="63"/>
      <c r="HV14" s="63"/>
      <c r="HW14" s="63"/>
      <c r="HX14" s="63"/>
      <c r="HY14" s="63"/>
      <c r="HZ14" s="63"/>
      <c r="IA14" s="63"/>
      <c r="IB14" s="63"/>
      <c r="IC14" s="63"/>
      <c r="ID14" s="63"/>
      <c r="IE14" s="63"/>
      <c r="IF14" s="63"/>
      <c r="IG14" s="63"/>
      <c r="IH14" s="63"/>
      <c r="II14" s="63"/>
      <c r="IJ14" s="63"/>
      <c r="IK14" s="63"/>
      <c r="IL14" s="63"/>
      <c r="IM14" s="63"/>
      <c r="IN14" s="63"/>
      <c r="IO14" s="63"/>
      <c r="IP14" s="63"/>
      <c r="IQ14" s="63"/>
      <c r="IR14" s="63"/>
      <c r="IS14" s="63"/>
      <c r="IT14" s="63"/>
      <c r="IU14" s="63"/>
    </row>
    <row r="15" spans="1:255" ht="36" x14ac:dyDescent="0.15">
      <c r="A15" s="7" t="s">
        <v>16</v>
      </c>
      <c r="B15" s="12" t="s">
        <v>78</v>
      </c>
      <c r="C15" s="12" t="s">
        <v>231</v>
      </c>
      <c r="D15" s="12" t="s">
        <v>80</v>
      </c>
      <c r="E15" s="12" t="s">
        <v>232</v>
      </c>
      <c r="F15" s="12" t="s">
        <v>233</v>
      </c>
      <c r="G15" s="12" t="s">
        <v>83</v>
      </c>
    </row>
    <row r="16" spans="1:255" ht="12" x14ac:dyDescent="0.15">
      <c r="A16" s="8" t="s">
        <v>22</v>
      </c>
      <c r="B16" s="13" t="s">
        <v>23</v>
      </c>
      <c r="C16" s="13" t="s">
        <v>23</v>
      </c>
      <c r="D16" s="13" t="s">
        <v>23</v>
      </c>
      <c r="E16" s="13" t="s">
        <v>23</v>
      </c>
      <c r="F16" s="13" t="s">
        <v>23</v>
      </c>
      <c r="G16" s="13" t="s">
        <v>23</v>
      </c>
    </row>
    <row r="17" spans="1:7" x14ac:dyDescent="0.15">
      <c r="A17" s="9" t="s">
        <v>32</v>
      </c>
      <c r="B17" s="4"/>
      <c r="C17" s="4"/>
      <c r="D17" s="4"/>
      <c r="E17" s="4"/>
      <c r="F17" s="4"/>
      <c r="G17" s="4"/>
    </row>
    <row r="18" spans="1:7" x14ac:dyDescent="0.15">
      <c r="A18" s="9" t="s">
        <v>31</v>
      </c>
      <c r="B18" s="14">
        <v>13.074</v>
      </c>
      <c r="C18" s="14">
        <v>10.331</v>
      </c>
      <c r="D18" s="14">
        <v>22.542000000000002</v>
      </c>
      <c r="E18" s="14">
        <v>10.561</v>
      </c>
      <c r="F18" s="14">
        <v>82.911000000000001</v>
      </c>
      <c r="G18" s="14">
        <v>32.823999999999998</v>
      </c>
    </row>
    <row r="19" spans="1:7" x14ac:dyDescent="0.15">
      <c r="A19" s="4" t="s">
        <v>91</v>
      </c>
      <c r="B19" s="19">
        <v>6.95</v>
      </c>
      <c r="C19" s="19">
        <v>7.4989999999999997</v>
      </c>
      <c r="D19" s="19">
        <v>8.4860000000000007</v>
      </c>
      <c r="E19" s="19">
        <v>8.32</v>
      </c>
      <c r="F19" s="19">
        <v>8.67</v>
      </c>
      <c r="G19" s="19">
        <v>10.461</v>
      </c>
    </row>
    <row r="20" spans="1:7" x14ac:dyDescent="0.15">
      <c r="A20" s="4" t="s">
        <v>234</v>
      </c>
      <c r="B20" s="19">
        <v>1.0049999999999999</v>
      </c>
      <c r="C20" s="19">
        <v>0.69599999999999995</v>
      </c>
      <c r="D20" s="19">
        <v>1.036</v>
      </c>
      <c r="E20" s="19">
        <v>1.2270000000000001</v>
      </c>
      <c r="F20" s="19">
        <v>2.0009999999999999</v>
      </c>
      <c r="G20" s="19">
        <v>2.7970000000000002</v>
      </c>
    </row>
    <row r="21" spans="1:7" x14ac:dyDescent="0.15">
      <c r="A21" s="9" t="s">
        <v>235</v>
      </c>
      <c r="B21" s="24">
        <v>7.9550000000000001</v>
      </c>
      <c r="C21" s="24">
        <v>8.1950000000000003</v>
      </c>
      <c r="D21" s="24">
        <v>9.5220000000000002</v>
      </c>
      <c r="E21" s="24">
        <v>9.5470000000000006</v>
      </c>
      <c r="F21" s="24">
        <v>10.670999999999999</v>
      </c>
      <c r="G21" s="24">
        <v>13.257999999999999</v>
      </c>
    </row>
    <row r="22" spans="1:7" x14ac:dyDescent="0.15">
      <c r="A22" s="4"/>
      <c r="B22" s="4"/>
      <c r="C22" s="4"/>
      <c r="D22" s="4"/>
      <c r="E22" s="4"/>
      <c r="F22" s="4"/>
      <c r="G22" s="4"/>
    </row>
    <row r="23" spans="1:7" ht="12" x14ac:dyDescent="0.15">
      <c r="A23" s="4" t="s">
        <v>236</v>
      </c>
      <c r="B23" s="19">
        <v>0.21199999999999999</v>
      </c>
      <c r="C23" s="19">
        <v>0.38800000000000001</v>
      </c>
      <c r="D23" s="19">
        <v>0.20100000000000001</v>
      </c>
      <c r="E23" s="19">
        <v>0.35399999999999998</v>
      </c>
      <c r="F23" s="19">
        <v>0.11700000000000001</v>
      </c>
      <c r="G23" s="19" t="s">
        <v>42</v>
      </c>
    </row>
    <row r="24" spans="1:7" x14ac:dyDescent="0.15">
      <c r="A24" s="4" t="s">
        <v>237</v>
      </c>
      <c r="B24" s="19">
        <v>-16.344000000000001</v>
      </c>
      <c r="C24" s="19">
        <v>-15.375999999999999</v>
      </c>
      <c r="D24" s="19">
        <v>-25.533000000000001</v>
      </c>
      <c r="E24" s="19">
        <v>-9.6709999999999994</v>
      </c>
      <c r="F24" s="19">
        <v>-55.075000000000003</v>
      </c>
      <c r="G24" s="19">
        <v>-39.383000000000003</v>
      </c>
    </row>
    <row r="25" spans="1:7" x14ac:dyDescent="0.15">
      <c r="A25" s="4" t="s">
        <v>238</v>
      </c>
      <c r="B25" s="19">
        <v>-3.0510000000000002</v>
      </c>
      <c r="C25" s="19">
        <v>-11.43</v>
      </c>
      <c r="D25" s="19">
        <v>-4.1310000000000002</v>
      </c>
      <c r="E25" s="19">
        <v>9.2349999999999994</v>
      </c>
      <c r="F25" s="19">
        <v>-22.158999999999999</v>
      </c>
      <c r="G25" s="19">
        <v>-1.95</v>
      </c>
    </row>
    <row r="26" spans="1:7" x14ac:dyDescent="0.15">
      <c r="A26" s="4" t="s">
        <v>239</v>
      </c>
      <c r="B26" s="19">
        <v>0.153</v>
      </c>
      <c r="C26" s="19">
        <v>0.03</v>
      </c>
      <c r="D26" s="19">
        <v>0.09</v>
      </c>
      <c r="E26" s="19">
        <v>0.10199999999999999</v>
      </c>
      <c r="F26" s="19">
        <v>-4.7E-2</v>
      </c>
      <c r="G26" s="19">
        <v>-6.3E-2</v>
      </c>
    </row>
    <row r="27" spans="1:7" x14ac:dyDescent="0.15">
      <c r="A27" s="4" t="s">
        <v>240</v>
      </c>
      <c r="B27" s="19">
        <v>-11.894</v>
      </c>
      <c r="C27" s="19">
        <v>-8.4239999999999995</v>
      </c>
      <c r="D27" s="19">
        <v>8.19</v>
      </c>
      <c r="E27" s="19">
        <v>-9.5589999999999993</v>
      </c>
      <c r="F27" s="19">
        <v>1.216</v>
      </c>
      <c r="G27" s="19">
        <v>-5.2009999999999996</v>
      </c>
    </row>
    <row r="28" spans="1:7" x14ac:dyDescent="0.15">
      <c r="A28" s="9" t="s">
        <v>241</v>
      </c>
      <c r="B28" s="24">
        <v>-9.8949999999999996</v>
      </c>
      <c r="C28" s="24">
        <v>-16.286000000000001</v>
      </c>
      <c r="D28" s="24">
        <v>10.881</v>
      </c>
      <c r="E28" s="24">
        <v>10.569000000000001</v>
      </c>
      <c r="F28" s="24">
        <v>17.634</v>
      </c>
      <c r="G28" s="24">
        <v>-0.51500000000000001</v>
      </c>
    </row>
    <row r="29" spans="1:7" x14ac:dyDescent="0.15">
      <c r="A29" s="4"/>
      <c r="B29" s="4"/>
      <c r="C29" s="4"/>
      <c r="D29" s="4"/>
      <c r="E29" s="4"/>
      <c r="F29" s="4"/>
      <c r="G29" s="4"/>
    </row>
    <row r="30" spans="1:7" x14ac:dyDescent="0.15">
      <c r="A30" s="4" t="s">
        <v>242</v>
      </c>
      <c r="B30" s="19">
        <v>-4.2389999999999999</v>
      </c>
      <c r="C30" s="19">
        <v>-2.585</v>
      </c>
      <c r="D30" s="19">
        <v>-1.2829999999999999</v>
      </c>
      <c r="E30" s="19">
        <v>-1.518</v>
      </c>
      <c r="F30" s="19">
        <v>-9.8740000000000006</v>
      </c>
      <c r="G30" s="19">
        <v>-5.5730000000000004</v>
      </c>
    </row>
    <row r="31" spans="1:7" ht="12" x14ac:dyDescent="0.15">
      <c r="A31" s="4" t="s">
        <v>243</v>
      </c>
      <c r="B31" s="19">
        <v>47.094999999999999</v>
      </c>
      <c r="C31" s="19">
        <v>4.25</v>
      </c>
      <c r="D31" s="19">
        <v>0.91600000000000004</v>
      </c>
      <c r="E31" s="19">
        <v>0.185</v>
      </c>
      <c r="F31" s="19" t="s">
        <v>42</v>
      </c>
      <c r="G31" s="19">
        <v>1.3049999999999999</v>
      </c>
    </row>
    <row r="32" spans="1:7" ht="12" x14ac:dyDescent="0.15">
      <c r="A32" s="4" t="s">
        <v>244</v>
      </c>
      <c r="B32" s="19" t="s">
        <v>42</v>
      </c>
      <c r="C32" s="19" t="s">
        <v>42</v>
      </c>
      <c r="D32" s="19" t="s">
        <v>42</v>
      </c>
      <c r="E32" s="19" t="s">
        <v>42</v>
      </c>
      <c r="F32" s="19" t="s">
        <v>42</v>
      </c>
      <c r="G32" s="19" t="s">
        <v>42</v>
      </c>
    </row>
    <row r="33" spans="1:7" ht="12" x14ac:dyDescent="0.15">
      <c r="A33" s="4" t="s">
        <v>245</v>
      </c>
      <c r="B33" s="19" t="s">
        <v>42</v>
      </c>
      <c r="C33" s="19" t="s">
        <v>42</v>
      </c>
      <c r="D33" s="19" t="s">
        <v>42</v>
      </c>
      <c r="E33" s="19" t="s">
        <v>42</v>
      </c>
      <c r="F33" s="19" t="s">
        <v>42</v>
      </c>
      <c r="G33" s="19" t="s">
        <v>42</v>
      </c>
    </row>
    <row r="34" spans="1:7" x14ac:dyDescent="0.15">
      <c r="A34" s="4" t="s">
        <v>246</v>
      </c>
      <c r="B34" s="19">
        <v>-26.603999999999999</v>
      </c>
      <c r="C34" s="19">
        <v>-10.77</v>
      </c>
      <c r="D34" s="19">
        <v>-2.1549999999999998</v>
      </c>
      <c r="E34" s="19">
        <v>-4.1319999999999997</v>
      </c>
      <c r="F34" s="19">
        <v>-17.315999999999999</v>
      </c>
      <c r="G34" s="19">
        <v>-10.677</v>
      </c>
    </row>
    <row r="35" spans="1:7" x14ac:dyDescent="0.15">
      <c r="A35" s="4" t="s">
        <v>247</v>
      </c>
      <c r="B35" s="19">
        <v>-3.1339999999999999</v>
      </c>
      <c r="C35" s="19">
        <v>-1.099</v>
      </c>
      <c r="D35" s="19">
        <v>-4.1619999999999999</v>
      </c>
      <c r="E35" s="19">
        <v>-2.6520000000000001</v>
      </c>
      <c r="F35" s="19">
        <v>-6.375</v>
      </c>
      <c r="G35" s="19">
        <v>-4.6849999999999996</v>
      </c>
    </row>
    <row r="36" spans="1:7" ht="12" x14ac:dyDescent="0.15">
      <c r="A36" s="4" t="s">
        <v>248</v>
      </c>
      <c r="B36" s="19">
        <v>3.5999999999999997E-2</v>
      </c>
      <c r="C36" s="19">
        <v>-3.5999999999999997E-2</v>
      </c>
      <c r="D36" s="19">
        <v>3.5999999999999997E-2</v>
      </c>
      <c r="E36" s="19">
        <v>4.2000000000000003E-2</v>
      </c>
      <c r="F36" s="19" t="s">
        <v>42</v>
      </c>
      <c r="G36" s="19" t="s">
        <v>42</v>
      </c>
    </row>
    <row r="37" spans="1:7" ht="12" x14ac:dyDescent="0.15">
      <c r="A37" s="4" t="s">
        <v>249</v>
      </c>
      <c r="B37" s="19" t="s">
        <v>42</v>
      </c>
      <c r="C37" s="19" t="s">
        <v>42</v>
      </c>
      <c r="D37" s="19" t="s">
        <v>42</v>
      </c>
      <c r="E37" s="19" t="s">
        <v>42</v>
      </c>
      <c r="F37" s="19" t="s">
        <v>42</v>
      </c>
      <c r="G37" s="19" t="s">
        <v>42</v>
      </c>
    </row>
    <row r="38" spans="1:7" x14ac:dyDescent="0.15">
      <c r="A38" s="4" t="s">
        <v>250</v>
      </c>
      <c r="B38" s="19">
        <v>24.991</v>
      </c>
      <c r="C38" s="19">
        <v>23.6</v>
      </c>
      <c r="D38" s="19">
        <v>27.481000000000002</v>
      </c>
      <c r="E38" s="19">
        <v>8.3460000000000001</v>
      </c>
      <c r="F38" s="19">
        <v>44.094000000000001</v>
      </c>
      <c r="G38" s="19">
        <v>41.679000000000002</v>
      </c>
    </row>
    <row r="39" spans="1:7" x14ac:dyDescent="0.15">
      <c r="A39" s="9" t="s">
        <v>251</v>
      </c>
      <c r="B39" s="24">
        <v>38.145000000000003</v>
      </c>
      <c r="C39" s="24">
        <v>13.36</v>
      </c>
      <c r="D39" s="24">
        <v>20.832999999999998</v>
      </c>
      <c r="E39" s="24">
        <v>0.27100000000000002</v>
      </c>
      <c r="F39" s="24">
        <v>10.529</v>
      </c>
      <c r="G39" s="24">
        <v>22.048999999999999</v>
      </c>
    </row>
    <row r="40" spans="1:7" x14ac:dyDescent="0.15">
      <c r="A40" s="4"/>
      <c r="B40" s="4"/>
      <c r="C40" s="4"/>
      <c r="D40" s="4"/>
      <c r="E40" s="4"/>
      <c r="F40" s="4"/>
      <c r="G40" s="4"/>
    </row>
    <row r="41" spans="1:7" ht="12" x14ac:dyDescent="0.15">
      <c r="A41" s="4" t="s">
        <v>252</v>
      </c>
      <c r="B41" s="19">
        <v>1</v>
      </c>
      <c r="C41" s="19" t="s">
        <v>42</v>
      </c>
      <c r="D41" s="19" t="s">
        <v>42</v>
      </c>
      <c r="E41" s="19" t="s">
        <v>42</v>
      </c>
      <c r="F41" s="19" t="s">
        <v>42</v>
      </c>
      <c r="G41" s="19" t="s">
        <v>42</v>
      </c>
    </row>
    <row r="42" spans="1:7" ht="12" x14ac:dyDescent="0.15">
      <c r="A42" s="4" t="s">
        <v>253</v>
      </c>
      <c r="B42" s="19">
        <v>11.334</v>
      </c>
      <c r="C42" s="19">
        <v>200.14400000000001</v>
      </c>
      <c r="D42" s="19" t="s">
        <v>42</v>
      </c>
      <c r="E42" s="19" t="s">
        <v>42</v>
      </c>
      <c r="F42" s="19">
        <v>144.29499999999999</v>
      </c>
      <c r="G42" s="19">
        <v>0.45300000000000001</v>
      </c>
    </row>
    <row r="43" spans="1:7" ht="12" x14ac:dyDescent="0.15">
      <c r="A43" s="9" t="s">
        <v>254</v>
      </c>
      <c r="B43" s="24">
        <v>12.334</v>
      </c>
      <c r="C43" s="24">
        <v>200.14400000000001</v>
      </c>
      <c r="D43" s="24" t="s">
        <v>42</v>
      </c>
      <c r="E43" s="24" t="s">
        <v>42</v>
      </c>
      <c r="F43" s="24">
        <v>144.29499999999999</v>
      </c>
      <c r="G43" s="24">
        <v>0.45300000000000001</v>
      </c>
    </row>
    <row r="44" spans="1:7" ht="12" x14ac:dyDescent="0.15">
      <c r="A44" s="4" t="s">
        <v>255</v>
      </c>
      <c r="B44" s="19">
        <v>-10.5</v>
      </c>
      <c r="C44" s="19">
        <v>-2</v>
      </c>
      <c r="D44" s="19" t="s">
        <v>42</v>
      </c>
      <c r="E44" s="19" t="s">
        <v>42</v>
      </c>
      <c r="F44" s="19" t="s">
        <v>42</v>
      </c>
      <c r="G44" s="19" t="s">
        <v>42</v>
      </c>
    </row>
    <row r="45" spans="1:7" x14ac:dyDescent="0.15">
      <c r="A45" s="4" t="s">
        <v>256</v>
      </c>
      <c r="B45" s="19">
        <v>-6.6909999999999998</v>
      </c>
      <c r="C45" s="19">
        <v>-199.93</v>
      </c>
      <c r="D45" s="19">
        <v>-30.321000000000002</v>
      </c>
      <c r="E45" s="19">
        <v>-11.257</v>
      </c>
      <c r="F45" s="19">
        <v>-124.46599999999999</v>
      </c>
      <c r="G45" s="19">
        <v>-3.6429999999999998</v>
      </c>
    </row>
    <row r="46" spans="1:7" x14ac:dyDescent="0.15">
      <c r="A46" s="9" t="s">
        <v>257</v>
      </c>
      <c r="B46" s="24">
        <v>-17.190999999999999</v>
      </c>
      <c r="C46" s="24">
        <v>-201.93</v>
      </c>
      <c r="D46" s="24">
        <v>-30.321000000000002</v>
      </c>
      <c r="E46" s="24">
        <v>-11.257</v>
      </c>
      <c r="F46" s="24">
        <v>-124.46599999999999</v>
      </c>
      <c r="G46" s="24">
        <v>-3.6429999999999998</v>
      </c>
    </row>
    <row r="47" spans="1:7" x14ac:dyDescent="0.15">
      <c r="A47" s="4"/>
      <c r="B47" s="4"/>
      <c r="C47" s="4"/>
      <c r="D47" s="4"/>
      <c r="E47" s="4"/>
      <c r="F47" s="4"/>
      <c r="G47" s="4"/>
    </row>
    <row r="48" spans="1:7" ht="12" x14ac:dyDescent="0.15">
      <c r="A48" s="4" t="s">
        <v>258</v>
      </c>
      <c r="B48" s="19" t="s">
        <v>42</v>
      </c>
      <c r="C48" s="19" t="s">
        <v>42</v>
      </c>
      <c r="D48" s="19" t="s">
        <v>42</v>
      </c>
      <c r="E48" s="19">
        <v>0.35199999999999998</v>
      </c>
      <c r="F48" s="19" t="s">
        <v>42</v>
      </c>
      <c r="G48" s="19" t="s">
        <v>42</v>
      </c>
    </row>
    <row r="49" spans="1:8" x14ac:dyDescent="0.15">
      <c r="A49" s="4"/>
      <c r="B49" s="4"/>
      <c r="C49" s="4"/>
      <c r="D49" s="4"/>
      <c r="E49" s="4"/>
      <c r="F49" s="4"/>
      <c r="G49" s="4"/>
    </row>
    <row r="50" spans="1:8" ht="12" x14ac:dyDescent="0.15">
      <c r="A50" s="9" t="s">
        <v>259</v>
      </c>
      <c r="B50" s="24" t="s">
        <v>42</v>
      </c>
      <c r="C50" s="24" t="s">
        <v>42</v>
      </c>
      <c r="D50" s="24" t="s">
        <v>42</v>
      </c>
      <c r="E50" s="24" t="s">
        <v>42</v>
      </c>
      <c r="F50" s="24" t="s">
        <v>42</v>
      </c>
      <c r="G50" s="24" t="s">
        <v>42</v>
      </c>
    </row>
    <row r="51" spans="1:8" x14ac:dyDescent="0.15">
      <c r="A51" s="4"/>
      <c r="B51" s="4"/>
      <c r="C51" s="4"/>
      <c r="D51" s="4"/>
      <c r="E51" s="4"/>
      <c r="F51" s="4"/>
      <c r="G51" s="4"/>
    </row>
    <row r="52" spans="1:8" ht="12" x14ac:dyDescent="0.15">
      <c r="A52" s="4" t="s">
        <v>260</v>
      </c>
      <c r="B52" s="19" t="s">
        <v>42</v>
      </c>
      <c r="C52" s="19" t="s">
        <v>42</v>
      </c>
      <c r="D52" s="19" t="s">
        <v>42</v>
      </c>
      <c r="E52" s="19" t="s">
        <v>42</v>
      </c>
      <c r="F52" s="19" t="s">
        <v>42</v>
      </c>
      <c r="G52" s="19" t="s">
        <v>42</v>
      </c>
    </row>
    <row r="53" spans="1:8" ht="12" x14ac:dyDescent="0.15">
      <c r="A53" s="4" t="s">
        <v>261</v>
      </c>
      <c r="B53" s="19" t="s">
        <v>42</v>
      </c>
      <c r="C53" s="19" t="s">
        <v>42</v>
      </c>
      <c r="D53" s="19" t="s">
        <v>42</v>
      </c>
      <c r="E53" s="19" t="s">
        <v>42</v>
      </c>
      <c r="F53" s="19" t="s">
        <v>42</v>
      </c>
      <c r="G53" s="19" t="s">
        <v>42</v>
      </c>
    </row>
    <row r="54" spans="1:8" x14ac:dyDescent="0.15">
      <c r="A54" s="9" t="s">
        <v>262</v>
      </c>
      <c r="B54" s="24">
        <v>-4.8570000000000002</v>
      </c>
      <c r="C54" s="24">
        <v>-1.786</v>
      </c>
      <c r="D54" s="24">
        <v>-30.321000000000002</v>
      </c>
      <c r="E54" s="24">
        <v>-10.904999999999999</v>
      </c>
      <c r="F54" s="24">
        <v>19.829000000000001</v>
      </c>
      <c r="G54" s="24">
        <v>-3.19</v>
      </c>
    </row>
    <row r="55" spans="1:8" x14ac:dyDescent="0.15">
      <c r="A55" s="4"/>
      <c r="B55" s="4"/>
      <c r="C55" s="4"/>
      <c r="D55" s="4"/>
      <c r="E55" s="4"/>
      <c r="F55" s="4"/>
      <c r="G55" s="4"/>
    </row>
    <row r="56" spans="1:8" x14ac:dyDescent="0.15">
      <c r="A56" s="9" t="s">
        <v>263</v>
      </c>
      <c r="B56" s="25">
        <v>23.393000000000001</v>
      </c>
      <c r="C56" s="25">
        <v>-4.7119999999999997</v>
      </c>
      <c r="D56" s="25">
        <v>1.393</v>
      </c>
      <c r="E56" s="25">
        <v>-6.5000000000000002E-2</v>
      </c>
      <c r="F56" s="25">
        <v>47.991999999999997</v>
      </c>
      <c r="G56" s="25">
        <v>18.344000000000001</v>
      </c>
    </row>
    <row r="57" spans="1:8" x14ac:dyDescent="0.15">
      <c r="A57" s="4"/>
      <c r="B57" s="4"/>
      <c r="C57" s="4"/>
      <c r="D57" s="4"/>
      <c r="E57" s="4"/>
      <c r="F57" s="4"/>
      <c r="G57" s="4"/>
    </row>
    <row r="58" spans="1:8" x14ac:dyDescent="0.15">
      <c r="A58" s="9" t="s">
        <v>126</v>
      </c>
      <c r="B58" s="4"/>
      <c r="C58" s="4"/>
      <c r="D58" s="4"/>
      <c r="E58" s="4"/>
      <c r="F58" s="4"/>
      <c r="G58" s="4"/>
    </row>
    <row r="59" spans="1:8" x14ac:dyDescent="0.15">
      <c r="A59" s="4" t="s">
        <v>264</v>
      </c>
      <c r="B59" s="19">
        <v>11.034000000000001</v>
      </c>
      <c r="C59" s="19">
        <v>9.9550000000000001</v>
      </c>
      <c r="D59" s="19">
        <v>8.5489999999999995</v>
      </c>
      <c r="E59" s="19">
        <v>6.1909999999999998</v>
      </c>
      <c r="F59" s="19">
        <v>8.7739999999999991</v>
      </c>
      <c r="G59" s="19">
        <v>14.173</v>
      </c>
      <c r="H59" s="67"/>
    </row>
    <row r="60" spans="1:8" ht="12" x14ac:dyDescent="0.15">
      <c r="A60" s="4" t="s">
        <v>265</v>
      </c>
      <c r="B60" s="19" t="s">
        <v>125</v>
      </c>
      <c r="C60" s="19" t="s">
        <v>125</v>
      </c>
      <c r="D60" s="19" t="s">
        <v>125</v>
      </c>
      <c r="E60" s="19">
        <v>0.41399999999999998</v>
      </c>
      <c r="F60" s="19">
        <v>9.5</v>
      </c>
      <c r="G60" s="19">
        <v>8.2140000000000004</v>
      </c>
      <c r="H60" s="69"/>
    </row>
    <row r="61" spans="1:8" x14ac:dyDescent="0.15">
      <c r="A61" s="4" t="s">
        <v>266</v>
      </c>
      <c r="B61" s="19">
        <v>-0.97099999999999997</v>
      </c>
      <c r="C61" s="19">
        <v>-0.91400000000000003</v>
      </c>
      <c r="D61" s="19">
        <v>22.49775</v>
      </c>
      <c r="E61" s="19">
        <v>7.1353749999999998</v>
      </c>
      <c r="F61" s="19">
        <v>26.2</v>
      </c>
      <c r="G61" s="19">
        <v>21.699249999999999</v>
      </c>
    </row>
    <row r="62" spans="1:8" x14ac:dyDescent="0.15">
      <c r="A62" s="4" t="s">
        <v>267</v>
      </c>
      <c r="B62" s="19">
        <v>6.2685000000000004</v>
      </c>
      <c r="C62" s="19">
        <v>5.4277499999999996</v>
      </c>
      <c r="D62" s="19">
        <v>27.840875</v>
      </c>
      <c r="E62" s="19">
        <v>11.013500000000001</v>
      </c>
      <c r="F62" s="19">
        <v>33.622500000000002</v>
      </c>
      <c r="G62" s="19">
        <v>30.369875</v>
      </c>
    </row>
    <row r="63" spans="1:8" x14ac:dyDescent="0.15">
      <c r="A63" s="4" t="s">
        <v>268</v>
      </c>
      <c r="B63" s="19">
        <v>11.657999999999999</v>
      </c>
      <c r="C63" s="19">
        <v>17.254999999999999</v>
      </c>
      <c r="D63" s="19">
        <v>-6.641</v>
      </c>
      <c r="E63" s="19">
        <v>-1.365</v>
      </c>
      <c r="F63" s="19">
        <v>14.169</v>
      </c>
      <c r="G63" s="19">
        <v>5.4269999999999996</v>
      </c>
    </row>
    <row r="64" spans="1:8" x14ac:dyDescent="0.15">
      <c r="A64" s="4" t="s">
        <v>269</v>
      </c>
      <c r="B64" s="19">
        <v>-4.8570000000000002</v>
      </c>
      <c r="C64" s="19">
        <v>-1.786</v>
      </c>
      <c r="D64" s="19">
        <v>-30.321000000000002</v>
      </c>
      <c r="E64" s="19">
        <v>-11.257</v>
      </c>
      <c r="F64" s="19">
        <v>19.829000000000001</v>
      </c>
      <c r="G64" s="19">
        <v>-3.19</v>
      </c>
    </row>
    <row r="65" spans="1:7" x14ac:dyDescent="0.15">
      <c r="A65" s="4" t="s">
        <v>136</v>
      </c>
      <c r="B65" s="27">
        <v>43910</v>
      </c>
      <c r="C65" s="27">
        <v>44274</v>
      </c>
      <c r="D65" s="27">
        <v>44621</v>
      </c>
      <c r="E65" s="27">
        <v>45002</v>
      </c>
      <c r="F65" s="27">
        <v>45366</v>
      </c>
      <c r="G65" s="27">
        <v>45366</v>
      </c>
    </row>
    <row r="66" spans="1:7" ht="12" x14ac:dyDescent="0.15">
      <c r="A66" s="4" t="s">
        <v>137</v>
      </c>
      <c r="B66" s="16" t="s">
        <v>138</v>
      </c>
      <c r="C66" s="16" t="s">
        <v>270</v>
      </c>
      <c r="D66" s="16" t="s">
        <v>138</v>
      </c>
      <c r="E66" s="16" t="s">
        <v>138</v>
      </c>
      <c r="F66" s="16" t="s">
        <v>138</v>
      </c>
      <c r="G66" s="16" t="s">
        <v>140</v>
      </c>
    </row>
    <row r="67" spans="1:7" ht="12" x14ac:dyDescent="0.15">
      <c r="A67" s="4" t="s">
        <v>141</v>
      </c>
      <c r="B67" s="16" t="s">
        <v>142</v>
      </c>
      <c r="C67" s="16" t="s">
        <v>142</v>
      </c>
      <c r="D67" s="16" t="s">
        <v>142</v>
      </c>
      <c r="E67" s="16" t="s">
        <v>142</v>
      </c>
      <c r="F67" s="16" t="s">
        <v>142</v>
      </c>
      <c r="G67" s="16" t="s">
        <v>142</v>
      </c>
    </row>
    <row r="68" spans="1:7" x14ac:dyDescent="0.15">
      <c r="A68" s="4"/>
      <c r="B68" s="4"/>
      <c r="C68" s="4"/>
      <c r="D68" s="4"/>
      <c r="E68" s="4"/>
      <c r="F68" s="4"/>
      <c r="G68" s="4"/>
    </row>
    <row r="69" spans="1:7" ht="72" x14ac:dyDescent="0.15">
      <c r="A69" s="32" t="s">
        <v>60</v>
      </c>
      <c r="B69" s="11"/>
      <c r="C69" s="11"/>
      <c r="D69" s="11"/>
      <c r="E69" s="11"/>
      <c r="F69" s="11"/>
      <c r="G69"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3B36D-E7FD-C249-8FBD-B7E773D87EDB}">
  <sheetPr>
    <outlinePr summaryBelow="0" summaryRight="0"/>
    <pageSetUpPr autoPageBreaks="0"/>
  </sheetPr>
  <dimension ref="A5:IU66"/>
  <sheetViews>
    <sheetView topLeftCell="A16" zoomScale="107" workbookViewId="0"/>
  </sheetViews>
  <sheetFormatPr baseColWidth="10" defaultRowHeight="11" x14ac:dyDescent="0.15"/>
  <cols>
    <col min="1" max="1" width="45.83203125" customWidth="1"/>
    <col min="2" max="10" width="14.83203125" customWidth="1"/>
    <col min="11" max="256" width="8.83203125" customWidth="1"/>
  </cols>
  <sheetData>
    <row r="5" spans="1:255" ht="17" x14ac:dyDescent="0.2">
      <c r="A5" s="1" t="s">
        <v>271</v>
      </c>
    </row>
    <row r="7" spans="1:255" x14ac:dyDescent="0.15">
      <c r="A7" s="4"/>
      <c r="B7" s="3" t="s">
        <v>272</v>
      </c>
      <c r="C7" t="s">
        <v>273</v>
      </c>
      <c r="D7" s="4" t="s">
        <v>4</v>
      </c>
      <c r="E7" s="3" t="s">
        <v>274</v>
      </c>
      <c r="F7" t="s">
        <v>275</v>
      </c>
    </row>
    <row r="8" spans="1:255" x14ac:dyDescent="0.15">
      <c r="A8" s="4"/>
      <c r="B8" s="3" t="s">
        <v>276</v>
      </c>
      <c r="C8" t="s">
        <v>8</v>
      </c>
      <c r="D8" s="4" t="s">
        <v>4</v>
      </c>
      <c r="E8" s="3" t="s">
        <v>277</v>
      </c>
      <c r="F8" s="5" t="s">
        <v>12</v>
      </c>
    </row>
    <row r="9" spans="1:255" x14ac:dyDescent="0.15">
      <c r="A9" s="4"/>
      <c r="B9" s="3" t="s">
        <v>278</v>
      </c>
      <c r="C9" t="s">
        <v>14</v>
      </c>
      <c r="D9" s="4" t="s">
        <v>4</v>
      </c>
      <c r="E9" s="23"/>
      <c r="F9" s="23"/>
    </row>
    <row r="12" spans="1:255" x14ac:dyDescent="0.15">
      <c r="A12" s="6" t="s">
        <v>279</v>
      </c>
      <c r="B12" s="6"/>
      <c r="C12" s="6"/>
      <c r="D12" s="6"/>
      <c r="E12" s="6"/>
      <c r="F12" s="6"/>
      <c r="G12" s="6"/>
      <c r="H12" s="6"/>
      <c r="I12" s="6"/>
      <c r="J12" s="6"/>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c r="EQ12" s="63"/>
      <c r="ER12" s="63"/>
      <c r="ES12" s="63"/>
      <c r="ET12" s="63"/>
      <c r="EU12" s="63"/>
      <c r="EV12" s="63"/>
      <c r="EW12" s="63"/>
      <c r="EX12" s="63"/>
      <c r="EY12" s="63"/>
      <c r="EZ12" s="63"/>
      <c r="FA12" s="63"/>
      <c r="FB12" s="63"/>
      <c r="FC12" s="63"/>
      <c r="FD12" s="63"/>
      <c r="FE12" s="63"/>
      <c r="FF12" s="63"/>
      <c r="FG12" s="63"/>
      <c r="FH12" s="63"/>
      <c r="FI12" s="63"/>
      <c r="FJ12" s="63"/>
      <c r="FK12" s="63"/>
      <c r="FL12" s="63"/>
      <c r="FM12" s="63"/>
      <c r="FN12" s="63"/>
      <c r="FO12" s="63"/>
      <c r="FP12" s="63"/>
      <c r="FQ12" s="63"/>
      <c r="FR12" s="63"/>
      <c r="FS12" s="63"/>
      <c r="FT12" s="63"/>
      <c r="FU12" s="63"/>
      <c r="FV12" s="63"/>
      <c r="FW12" s="63"/>
      <c r="FX12" s="63"/>
      <c r="FY12" s="63"/>
      <c r="FZ12" s="63"/>
      <c r="GA12" s="63"/>
      <c r="GB12" s="63"/>
      <c r="GC12" s="63"/>
      <c r="GD12" s="63"/>
      <c r="GE12" s="63"/>
      <c r="GF12" s="63"/>
      <c r="GG12" s="63"/>
      <c r="GH12" s="63"/>
      <c r="GI12" s="63"/>
      <c r="GJ12" s="63"/>
      <c r="GK12" s="63"/>
      <c r="GL12" s="63"/>
      <c r="GM12" s="63"/>
      <c r="GN12" s="63"/>
      <c r="GO12" s="63"/>
      <c r="GP12" s="63"/>
      <c r="GQ12" s="63"/>
      <c r="GR12" s="63"/>
      <c r="GS12" s="63"/>
      <c r="GT12" s="63"/>
      <c r="GU12" s="63"/>
      <c r="GV12" s="63"/>
      <c r="GW12" s="63"/>
      <c r="GX12" s="63"/>
      <c r="GY12" s="63"/>
      <c r="GZ12" s="63"/>
      <c r="HA12" s="63"/>
      <c r="HB12" s="63"/>
      <c r="HC12" s="63"/>
      <c r="HD12" s="63"/>
      <c r="HE12" s="63"/>
      <c r="HF12" s="63"/>
      <c r="HG12" s="63"/>
      <c r="HH12" s="63"/>
      <c r="HI12" s="63"/>
      <c r="HJ12" s="63"/>
      <c r="HK12" s="63"/>
      <c r="HL12" s="63"/>
      <c r="HM12" s="63"/>
      <c r="HN12" s="63"/>
      <c r="HO12" s="63"/>
      <c r="HP12" s="63"/>
      <c r="HQ12" s="63"/>
      <c r="HR12" s="63"/>
      <c r="HS12" s="63"/>
      <c r="HT12" s="63"/>
      <c r="HU12" s="63"/>
      <c r="HV12" s="63"/>
      <c r="HW12" s="63"/>
      <c r="HX12" s="63"/>
      <c r="HY12" s="63"/>
      <c r="HZ12" s="63"/>
      <c r="IA12" s="63"/>
      <c r="IB12" s="63"/>
      <c r="IC12" s="63"/>
      <c r="ID12" s="63"/>
      <c r="IE12" s="63"/>
      <c r="IF12" s="63"/>
      <c r="IG12" s="63"/>
      <c r="IH12" s="63"/>
      <c r="II12" s="63"/>
      <c r="IJ12" s="63"/>
      <c r="IK12" s="63"/>
      <c r="IL12" s="63"/>
      <c r="IM12" s="63"/>
      <c r="IN12" s="63"/>
      <c r="IO12" s="63"/>
      <c r="IP12" s="63"/>
      <c r="IQ12" s="63"/>
      <c r="IR12" s="63"/>
      <c r="IS12" s="63"/>
      <c r="IT12" s="63"/>
      <c r="IU12" s="63"/>
    </row>
    <row r="13" spans="1:255" ht="14" x14ac:dyDescent="0.3">
      <c r="A13" s="33"/>
      <c r="B13" s="34"/>
      <c r="C13" s="34"/>
      <c r="D13" s="34"/>
      <c r="E13" s="34"/>
      <c r="F13" s="34"/>
      <c r="G13" s="34"/>
      <c r="H13" s="34"/>
      <c r="I13" s="34"/>
      <c r="J13" s="34"/>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63"/>
      <c r="EV13" s="63"/>
      <c r="EW13" s="63"/>
      <c r="EX13" s="63"/>
      <c r="EY13" s="63"/>
      <c r="EZ13" s="63"/>
      <c r="FA13" s="63"/>
      <c r="FB13" s="63"/>
      <c r="FC13" s="63"/>
      <c r="FD13" s="63"/>
      <c r="FE13" s="63"/>
      <c r="FF13" s="63"/>
      <c r="FG13" s="63"/>
      <c r="FH13" s="63"/>
      <c r="FI13" s="63"/>
      <c r="FJ13" s="63"/>
      <c r="FK13" s="63"/>
      <c r="FL13" s="63"/>
      <c r="FM13" s="63"/>
      <c r="FN13" s="63"/>
      <c r="FO13" s="63"/>
      <c r="FP13" s="63"/>
      <c r="FQ13" s="63"/>
      <c r="FR13" s="63"/>
      <c r="FS13" s="63"/>
      <c r="FT13" s="63"/>
      <c r="FU13" s="63"/>
      <c r="FV13" s="63"/>
      <c r="FW13" s="63"/>
      <c r="FX13" s="63"/>
      <c r="FY13" s="63"/>
      <c r="FZ13" s="63"/>
      <c r="GA13" s="63"/>
      <c r="GB13" s="63"/>
      <c r="GC13" s="63"/>
      <c r="GD13" s="63"/>
      <c r="GE13" s="63"/>
      <c r="GF13" s="63"/>
      <c r="GG13" s="63"/>
      <c r="GH13" s="63"/>
      <c r="GI13" s="63"/>
      <c r="GJ13" s="63"/>
      <c r="GK13" s="63"/>
      <c r="GL13" s="63"/>
      <c r="GM13" s="63"/>
      <c r="GN13" s="63"/>
      <c r="GO13" s="63"/>
      <c r="GP13" s="63"/>
      <c r="GQ13" s="63"/>
      <c r="GR13" s="63"/>
      <c r="GS13" s="63"/>
      <c r="GT13" s="63"/>
      <c r="GU13" s="63"/>
      <c r="GV13" s="63"/>
      <c r="GW13" s="63"/>
      <c r="GX13" s="63"/>
      <c r="GY13" s="63"/>
      <c r="GZ13" s="63"/>
      <c r="HA13" s="63"/>
      <c r="HB13" s="63"/>
      <c r="HC13" s="63"/>
      <c r="HD13" s="63"/>
      <c r="HE13" s="63"/>
      <c r="HF13" s="63"/>
      <c r="HG13" s="63"/>
      <c r="HH13" s="63"/>
      <c r="HI13" s="63"/>
      <c r="HJ13" s="63"/>
      <c r="HK13" s="63"/>
      <c r="HL13" s="63"/>
      <c r="HM13" s="63"/>
      <c r="HN13" s="63"/>
      <c r="HO13" s="63"/>
      <c r="HP13" s="63"/>
      <c r="HQ13" s="63"/>
      <c r="HR13" s="63"/>
      <c r="HS13" s="63"/>
      <c r="HT13" s="63"/>
      <c r="HU13" s="63"/>
      <c r="HV13" s="63"/>
      <c r="HW13" s="63"/>
      <c r="HX13" s="63"/>
      <c r="HY13" s="63"/>
      <c r="HZ13" s="63"/>
      <c r="IA13" s="63"/>
      <c r="IB13" s="63"/>
      <c r="IC13" s="63"/>
      <c r="ID13" s="63"/>
      <c r="IE13" s="63"/>
      <c r="IF13" s="63"/>
      <c r="IG13" s="63"/>
      <c r="IH13" s="63"/>
      <c r="II13" s="63"/>
      <c r="IJ13" s="63"/>
      <c r="IK13" s="63"/>
      <c r="IL13" s="63"/>
      <c r="IM13" s="63"/>
      <c r="IN13" s="63"/>
      <c r="IO13" s="63"/>
      <c r="IP13" s="63"/>
      <c r="IQ13" s="63"/>
      <c r="IR13" s="63"/>
      <c r="IS13" s="63"/>
      <c r="IT13" s="63"/>
      <c r="IU13" s="63"/>
    </row>
    <row r="14" spans="1:255" x14ac:dyDescent="0.15">
      <c r="A14" s="35" t="s">
        <v>280</v>
      </c>
      <c r="B14" s="36"/>
      <c r="C14" s="37">
        <v>44925</v>
      </c>
      <c r="D14" s="37">
        <v>45016</v>
      </c>
      <c r="E14" s="37">
        <v>45107</v>
      </c>
      <c r="F14" s="37">
        <v>45198</v>
      </c>
      <c r="G14" s="37">
        <v>45289</v>
      </c>
      <c r="H14" s="37">
        <v>45378</v>
      </c>
      <c r="I14" s="37">
        <v>45471</v>
      </c>
      <c r="J14" s="37">
        <v>45506</v>
      </c>
    </row>
    <row r="15" spans="1:255" x14ac:dyDescent="0.15">
      <c r="A15" s="35" t="s">
        <v>281</v>
      </c>
      <c r="B15" s="38" t="s">
        <v>282</v>
      </c>
      <c r="C15" s="39">
        <v>4.0781452372881359</v>
      </c>
      <c r="D15" s="39">
        <v>3.7717598103448275</v>
      </c>
      <c r="E15" s="39">
        <v>2.6012901960784314</v>
      </c>
      <c r="F15" s="39">
        <v>2.6711534237288137</v>
      </c>
      <c r="G15" s="39">
        <v>2.8097601578947367</v>
      </c>
      <c r="H15" s="39">
        <v>2.8860508387096773</v>
      </c>
      <c r="I15" s="39">
        <v>3.488969220338983</v>
      </c>
      <c r="J15" s="39">
        <v>3.5506831600000002</v>
      </c>
    </row>
    <row r="16" spans="1:255" x14ac:dyDescent="0.15">
      <c r="A16" s="38"/>
      <c r="B16" s="38" t="s">
        <v>283</v>
      </c>
      <c r="C16" s="40">
        <v>4.2039720000000003</v>
      </c>
      <c r="D16" s="40">
        <v>4.0989570000000004</v>
      </c>
      <c r="E16" s="40">
        <v>2.649648</v>
      </c>
      <c r="F16" s="40">
        <v>2.8067519999999999</v>
      </c>
      <c r="G16" s="40">
        <v>2.8753440000000001</v>
      </c>
      <c r="H16" s="40">
        <v>3.3226170000000002</v>
      </c>
      <c r="I16" s="40">
        <v>3.6346479999999999</v>
      </c>
      <c r="J16" s="40">
        <v>3.6204649999999998</v>
      </c>
    </row>
    <row r="17" spans="1:10" x14ac:dyDescent="0.15">
      <c r="A17" s="38"/>
      <c r="B17" s="38" t="s">
        <v>284</v>
      </c>
      <c r="C17" s="40">
        <v>3.888925</v>
      </c>
      <c r="D17" s="40">
        <v>2.5521449999999999</v>
      </c>
      <c r="E17" s="40">
        <v>2.5464099999999998</v>
      </c>
      <c r="F17" s="40">
        <v>2.5750869999999999</v>
      </c>
      <c r="G17" s="40">
        <v>2.7267269999999999</v>
      </c>
      <c r="H17" s="40">
        <v>2.738159</v>
      </c>
      <c r="I17" s="40">
        <v>3.2800669999999998</v>
      </c>
      <c r="J17" s="40">
        <v>3.4644490000000001</v>
      </c>
    </row>
    <row r="18" spans="1:10" x14ac:dyDescent="0.15">
      <c r="A18" s="38"/>
      <c r="B18" s="38" t="s">
        <v>285</v>
      </c>
      <c r="C18" s="40">
        <v>4.0020189999999998</v>
      </c>
      <c r="D18" s="40">
        <v>2.6095000000000002</v>
      </c>
      <c r="E18" s="40">
        <v>2.5980289999999999</v>
      </c>
      <c r="F18" s="40">
        <v>2.783887</v>
      </c>
      <c r="G18" s="40">
        <v>2.7724549999999999</v>
      </c>
      <c r="H18" s="40">
        <v>3.2800669999999998</v>
      </c>
      <c r="I18" s="40">
        <v>3.6204649999999998</v>
      </c>
      <c r="J18" s="40">
        <v>3.4644490000000001</v>
      </c>
    </row>
    <row r="19" spans="1:10" x14ac:dyDescent="0.15">
      <c r="A19" s="35"/>
      <c r="B19" s="38"/>
      <c r="C19" s="38"/>
      <c r="D19" s="38"/>
      <c r="E19" s="38"/>
      <c r="F19" s="38"/>
      <c r="G19" s="38"/>
      <c r="H19" s="38"/>
      <c r="I19" s="38"/>
      <c r="J19" s="38"/>
    </row>
    <row r="20" spans="1:10" x14ac:dyDescent="0.15">
      <c r="A20" s="35" t="s">
        <v>286</v>
      </c>
      <c r="B20" s="38" t="s">
        <v>282</v>
      </c>
      <c r="C20" s="39">
        <v>19.517044355932203</v>
      </c>
      <c r="D20" s="39">
        <v>16.702798689655172</v>
      </c>
      <c r="E20" s="39">
        <v>4.652179450980392</v>
      </c>
      <c r="F20" s="39">
        <v>4.6202422203389828</v>
      </c>
      <c r="G20" s="39">
        <v>4.6598170526315785</v>
      </c>
      <c r="H20" s="39">
        <v>5.0087026451612902</v>
      </c>
      <c r="I20" s="39">
        <v>7.4109485423728811</v>
      </c>
      <c r="J20" s="39">
        <v>7.5420356000000002</v>
      </c>
    </row>
    <row r="21" spans="1:10" x14ac:dyDescent="0.15">
      <c r="A21" s="38"/>
      <c r="B21" s="38" t="s">
        <v>283</v>
      </c>
      <c r="C21" s="40">
        <v>20.119223000000002</v>
      </c>
      <c r="D21" s="40">
        <v>19.616643</v>
      </c>
      <c r="E21" s="40">
        <v>4.7386629999999998</v>
      </c>
      <c r="F21" s="40">
        <v>4.7796919999999998</v>
      </c>
      <c r="G21" s="40">
        <v>4.7685849999999999</v>
      </c>
      <c r="H21" s="40">
        <v>7.0575979999999996</v>
      </c>
      <c r="I21" s="40">
        <v>7.7203860000000004</v>
      </c>
      <c r="J21" s="40">
        <v>7.6902590000000002</v>
      </c>
    </row>
    <row r="22" spans="1:10" x14ac:dyDescent="0.15">
      <c r="A22" s="38"/>
      <c r="B22" s="38" t="s">
        <v>284</v>
      </c>
      <c r="C22" s="40">
        <v>18.611483</v>
      </c>
      <c r="D22" s="40">
        <v>4.5642880000000003</v>
      </c>
      <c r="E22" s="40">
        <v>4.5540310000000002</v>
      </c>
      <c r="F22" s="40">
        <v>4.4652329999999996</v>
      </c>
      <c r="G22" s="40">
        <v>4.5221119999999999</v>
      </c>
      <c r="H22" s="40">
        <v>4.5410709999999996</v>
      </c>
      <c r="I22" s="40">
        <v>6.9672179999999999</v>
      </c>
      <c r="J22" s="40">
        <v>7.3588649999999998</v>
      </c>
    </row>
    <row r="23" spans="1:10" x14ac:dyDescent="0.15">
      <c r="A23" s="38"/>
      <c r="B23" s="38" t="s">
        <v>285</v>
      </c>
      <c r="C23" s="40">
        <v>19.152723000000002</v>
      </c>
      <c r="D23" s="40">
        <v>4.6668609999999999</v>
      </c>
      <c r="E23" s="40">
        <v>4.6463469999999996</v>
      </c>
      <c r="F23" s="40">
        <v>4.6169089999999997</v>
      </c>
      <c r="G23" s="40">
        <v>4.5979489999999998</v>
      </c>
      <c r="H23" s="40">
        <v>6.9672179999999999</v>
      </c>
      <c r="I23" s="40">
        <v>7.6902590000000002</v>
      </c>
      <c r="J23" s="40">
        <v>7.3588649999999998</v>
      </c>
    </row>
    <row r="24" spans="1:10" x14ac:dyDescent="0.15">
      <c r="A24" s="35"/>
      <c r="B24" s="38"/>
      <c r="C24" s="38"/>
      <c r="D24" s="38"/>
      <c r="E24" s="38"/>
      <c r="F24" s="38"/>
      <c r="G24" s="38"/>
      <c r="H24" s="38"/>
      <c r="I24" s="38"/>
      <c r="J24" s="38"/>
    </row>
    <row r="25" spans="1:10" x14ac:dyDescent="0.15">
      <c r="A25" s="35" t="s">
        <v>287</v>
      </c>
      <c r="B25" s="38" t="s">
        <v>282</v>
      </c>
      <c r="C25" s="39">
        <v>33.756790457627119</v>
      </c>
      <c r="D25" s="39">
        <v>28.402407155172412</v>
      </c>
      <c r="E25" s="39">
        <v>5.2303629607843138</v>
      </c>
      <c r="F25" s="39">
        <v>5.140863406779661</v>
      </c>
      <c r="G25" s="39">
        <v>5.1141948421052632</v>
      </c>
      <c r="H25" s="39">
        <v>5.6544603548387098</v>
      </c>
      <c r="I25" s="39">
        <v>9.2833519152542365</v>
      </c>
      <c r="J25" s="39">
        <v>9.4475584399999999</v>
      </c>
    </row>
    <row r="26" spans="1:10" x14ac:dyDescent="0.15">
      <c r="A26" s="38"/>
      <c r="B26" s="38" t="s">
        <v>283</v>
      </c>
      <c r="C26" s="40">
        <v>34.798321999999999</v>
      </c>
      <c r="D26" s="40">
        <v>33.929057</v>
      </c>
      <c r="E26" s="40">
        <v>5.3275949999999996</v>
      </c>
      <c r="F26" s="40">
        <v>5.373723</v>
      </c>
      <c r="G26" s="40">
        <v>5.233568</v>
      </c>
      <c r="H26" s="40">
        <v>8.8407260000000001</v>
      </c>
      <c r="I26" s="40">
        <v>9.6709689999999995</v>
      </c>
      <c r="J26" s="40">
        <v>9.6332310000000003</v>
      </c>
    </row>
    <row r="27" spans="1:10" x14ac:dyDescent="0.15">
      <c r="A27" s="38"/>
      <c r="B27" s="38" t="s">
        <v>284</v>
      </c>
      <c r="C27" s="40">
        <v>32.190527000000003</v>
      </c>
      <c r="D27" s="40">
        <v>5.1315480000000004</v>
      </c>
      <c r="E27" s="40">
        <v>5.1200159999999997</v>
      </c>
      <c r="F27" s="40">
        <v>4.9006369999999997</v>
      </c>
      <c r="G27" s="40">
        <v>4.9630609999999997</v>
      </c>
      <c r="H27" s="40">
        <v>4.9838699999999996</v>
      </c>
      <c r="I27" s="40">
        <v>8.7275109999999998</v>
      </c>
      <c r="J27" s="40">
        <v>9.2181090000000001</v>
      </c>
    </row>
    <row r="28" spans="1:10" x14ac:dyDescent="0.15">
      <c r="A28" s="38"/>
      <c r="B28" s="38" t="s">
        <v>285</v>
      </c>
      <c r="C28" s="40">
        <v>33.126657999999999</v>
      </c>
      <c r="D28" s="40">
        <v>5.2468700000000004</v>
      </c>
      <c r="E28" s="40">
        <v>5.2238049999999996</v>
      </c>
      <c r="F28" s="40">
        <v>5.0671030000000004</v>
      </c>
      <c r="G28" s="40">
        <v>5.0462939999999996</v>
      </c>
      <c r="H28" s="40">
        <v>8.7275109999999998</v>
      </c>
      <c r="I28" s="40">
        <v>9.6332310000000003</v>
      </c>
      <c r="J28" s="40">
        <v>9.2181090000000001</v>
      </c>
    </row>
    <row r="29" spans="1:10" x14ac:dyDescent="0.15">
      <c r="A29" s="35"/>
      <c r="B29" s="38"/>
      <c r="C29" s="38"/>
      <c r="D29" s="38"/>
      <c r="E29" s="38"/>
      <c r="F29" s="38"/>
      <c r="G29" s="38"/>
      <c r="H29" s="38"/>
      <c r="I29" s="38"/>
      <c r="J29" s="38"/>
    </row>
    <row r="30" spans="1:10" x14ac:dyDescent="0.15">
      <c r="A30" s="35" t="s">
        <v>288</v>
      </c>
      <c r="B30" s="38" t="s">
        <v>282</v>
      </c>
      <c r="C30" s="39">
        <v>10.532967016949152</v>
      </c>
      <c r="D30" s="39">
        <v>8.7545681379310345</v>
      </c>
      <c r="E30" s="39">
        <v>2.2640463725490196</v>
      </c>
      <c r="F30" s="39">
        <v>2.317609338983051</v>
      </c>
      <c r="G30" s="39">
        <v>2.4828809298245615</v>
      </c>
      <c r="H30" s="39">
        <v>3.1048784838709675</v>
      </c>
      <c r="I30" s="39">
        <v>7.5251186779661019</v>
      </c>
      <c r="J30" s="39">
        <v>7.7876337199999996</v>
      </c>
    </row>
    <row r="31" spans="1:10" x14ac:dyDescent="0.15">
      <c r="A31" s="38"/>
      <c r="B31" s="38" t="s">
        <v>283</v>
      </c>
      <c r="C31" s="40">
        <v>11.376816</v>
      </c>
      <c r="D31" s="40">
        <v>10.672537</v>
      </c>
      <c r="E31" s="40">
        <v>2.364744</v>
      </c>
      <c r="F31" s="40">
        <v>2.4769009999999998</v>
      </c>
      <c r="G31" s="40">
        <v>2.6132439999999999</v>
      </c>
      <c r="H31" s="40">
        <v>6.8174979999999996</v>
      </c>
      <c r="I31" s="40">
        <v>8.1447979999999998</v>
      </c>
      <c r="J31" s="40">
        <v>8.0844660000000008</v>
      </c>
    </row>
    <row r="32" spans="1:10" x14ac:dyDescent="0.15">
      <c r="A32" s="38"/>
      <c r="B32" s="38" t="s">
        <v>284</v>
      </c>
      <c r="C32" s="40">
        <v>9.2639790000000009</v>
      </c>
      <c r="D32" s="40">
        <v>2.1617099999999998</v>
      </c>
      <c r="E32" s="40">
        <v>2.1497670000000002</v>
      </c>
      <c r="F32" s="40">
        <v>2.2094830000000001</v>
      </c>
      <c r="G32" s="40">
        <v>2.3178339999999999</v>
      </c>
      <c r="H32" s="40">
        <v>2.3405580000000001</v>
      </c>
      <c r="I32" s="40">
        <v>6.6365020000000001</v>
      </c>
      <c r="J32" s="40">
        <v>7.4208160000000003</v>
      </c>
    </row>
    <row r="33" spans="1:10" x14ac:dyDescent="0.15">
      <c r="A33" s="38"/>
      <c r="B33" s="38" t="s">
        <v>285</v>
      </c>
      <c r="C33" s="40">
        <v>10.022432999999999</v>
      </c>
      <c r="D33" s="40">
        <v>2.281142</v>
      </c>
      <c r="E33" s="40">
        <v>2.2572549999999998</v>
      </c>
      <c r="F33" s="40">
        <v>2.4314529999999999</v>
      </c>
      <c r="G33" s="40">
        <v>2.4087290000000001</v>
      </c>
      <c r="H33" s="40">
        <v>6.6365020000000001</v>
      </c>
      <c r="I33" s="40">
        <v>8.0844660000000008</v>
      </c>
      <c r="J33" s="40">
        <v>7.4208160000000003</v>
      </c>
    </row>
    <row r="34" spans="1:10" x14ac:dyDescent="0.15">
      <c r="A34" s="35"/>
      <c r="B34" s="38"/>
      <c r="C34" s="38"/>
      <c r="D34" s="38"/>
      <c r="E34" s="38"/>
      <c r="F34" s="38"/>
      <c r="G34" s="38"/>
      <c r="H34" s="38"/>
      <c r="I34" s="38"/>
      <c r="J34" s="38"/>
    </row>
    <row r="35" spans="1:10" x14ac:dyDescent="0.15">
      <c r="A35" s="35" t="s">
        <v>289</v>
      </c>
      <c r="B35" s="38" t="s">
        <v>282</v>
      </c>
      <c r="C35" s="39">
        <v>37.407594152542373</v>
      </c>
      <c r="D35" s="39">
        <v>30.405646172413793</v>
      </c>
      <c r="E35" s="39">
        <v>4.087558235294118</v>
      </c>
      <c r="F35" s="39">
        <v>4.1010531694915251</v>
      </c>
      <c r="G35" s="39">
        <v>4.2824949473684208</v>
      </c>
      <c r="H35" s="39">
        <v>4.9619330483870971</v>
      </c>
      <c r="I35" s="39">
        <v>9.9250270169491532</v>
      </c>
      <c r="J35" s="39">
        <v>10.271263279999999</v>
      </c>
    </row>
    <row r="36" spans="1:10" x14ac:dyDescent="0.15">
      <c r="A36" s="38"/>
      <c r="B36" s="38" t="s">
        <v>283</v>
      </c>
      <c r="C36" s="40">
        <v>40.404505999999998</v>
      </c>
      <c r="D36" s="40">
        <v>37.903275000000001</v>
      </c>
      <c r="E36" s="40">
        <v>4.2693589999999997</v>
      </c>
      <c r="F36" s="40">
        <v>4.3556090000000003</v>
      </c>
      <c r="G36" s="40">
        <v>4.5073460000000001</v>
      </c>
      <c r="H36" s="40">
        <v>8.9917320000000007</v>
      </c>
      <c r="I36" s="40">
        <v>10.742335000000001</v>
      </c>
      <c r="J36" s="40">
        <v>10.662762000000001</v>
      </c>
    </row>
    <row r="37" spans="1:10" x14ac:dyDescent="0.15">
      <c r="A37" s="38"/>
      <c r="B37" s="38" t="s">
        <v>284</v>
      </c>
      <c r="C37" s="40">
        <v>32.900812000000002</v>
      </c>
      <c r="D37" s="40">
        <v>3.9027980000000002</v>
      </c>
      <c r="E37" s="40">
        <v>3.8812350000000002</v>
      </c>
      <c r="F37" s="40">
        <v>3.8802370000000002</v>
      </c>
      <c r="G37" s="40">
        <v>3.9978199999999999</v>
      </c>
      <c r="H37" s="40">
        <v>4.0370150000000002</v>
      </c>
      <c r="I37" s="40">
        <v>8.7530129999999993</v>
      </c>
      <c r="J37" s="40">
        <v>9.7874599999999994</v>
      </c>
    </row>
    <row r="38" spans="1:10" x14ac:dyDescent="0.15">
      <c r="A38" s="38"/>
      <c r="B38" s="38" t="s">
        <v>285</v>
      </c>
      <c r="C38" s="40">
        <v>35.594445999999998</v>
      </c>
      <c r="D38" s="40">
        <v>4.1184219999999998</v>
      </c>
      <c r="E38" s="40">
        <v>4.0752969999999999</v>
      </c>
      <c r="F38" s="40">
        <v>4.1937920000000002</v>
      </c>
      <c r="G38" s="40">
        <v>4.154598</v>
      </c>
      <c r="H38" s="40">
        <v>8.7530129999999993</v>
      </c>
      <c r="I38" s="40">
        <v>10.662762000000001</v>
      </c>
      <c r="J38" s="40">
        <v>9.7874599999999994</v>
      </c>
    </row>
    <row r="39" spans="1:10" x14ac:dyDescent="0.15">
      <c r="A39" s="35"/>
      <c r="B39" s="38"/>
      <c r="C39" s="38"/>
      <c r="D39" s="38"/>
      <c r="E39" s="38"/>
      <c r="F39" s="38"/>
      <c r="G39" s="38"/>
      <c r="H39" s="38"/>
      <c r="I39" s="38"/>
      <c r="J39" s="38"/>
    </row>
    <row r="40" spans="1:10" x14ac:dyDescent="0.15">
      <c r="A40" s="35" t="s">
        <v>58</v>
      </c>
      <c r="B40" s="38" t="s">
        <v>282</v>
      </c>
      <c r="C40" s="39">
        <v>0.80413654237288135</v>
      </c>
      <c r="D40" s="39">
        <v>0.74151598275862063</v>
      </c>
      <c r="E40" s="39">
        <v>0.59438460784313729</v>
      </c>
      <c r="F40" s="39">
        <v>0.61282022033898309</v>
      </c>
      <c r="G40" s="39">
        <v>0.66235626315789475</v>
      </c>
      <c r="H40" s="39">
        <v>0.660986935483871</v>
      </c>
      <c r="I40" s="39">
        <v>0.70851977966101698</v>
      </c>
      <c r="J40" s="39">
        <v>0.73323676000000004</v>
      </c>
    </row>
    <row r="41" spans="1:10" x14ac:dyDescent="0.15">
      <c r="A41" s="38"/>
      <c r="B41" s="38" t="s">
        <v>283</v>
      </c>
      <c r="C41" s="40">
        <v>0.86856</v>
      </c>
      <c r="D41" s="40">
        <v>0.81479199999999996</v>
      </c>
      <c r="E41" s="40">
        <v>0.62082099999999996</v>
      </c>
      <c r="F41" s="40">
        <v>0.66076100000000004</v>
      </c>
      <c r="G41" s="40">
        <v>0.697133</v>
      </c>
      <c r="H41" s="40">
        <v>0.68500899999999998</v>
      </c>
      <c r="I41" s="40">
        <v>0.76686500000000002</v>
      </c>
      <c r="J41" s="40">
        <v>0.761185</v>
      </c>
    </row>
    <row r="42" spans="1:10" x14ac:dyDescent="0.15">
      <c r="A42" s="38"/>
      <c r="B42" s="38" t="s">
        <v>284</v>
      </c>
      <c r="C42" s="40">
        <v>0.707256</v>
      </c>
      <c r="D42" s="40">
        <v>0.56751799999999997</v>
      </c>
      <c r="E42" s="40">
        <v>0.56438299999999997</v>
      </c>
      <c r="F42" s="40">
        <v>0.58006000000000002</v>
      </c>
      <c r="G42" s="40">
        <v>0.61832699999999996</v>
      </c>
      <c r="H42" s="40">
        <v>0.61917199999999994</v>
      </c>
      <c r="I42" s="40">
        <v>0.62485299999999999</v>
      </c>
      <c r="J42" s="40">
        <v>0.69869899999999996</v>
      </c>
    </row>
    <row r="43" spans="1:10" x14ac:dyDescent="0.15">
      <c r="A43" s="38"/>
      <c r="B43" s="38" t="s">
        <v>285</v>
      </c>
      <c r="C43" s="40">
        <v>0.76515999999999995</v>
      </c>
      <c r="D43" s="40">
        <v>0.59887299999999999</v>
      </c>
      <c r="E43" s="40">
        <v>0.59260199999999996</v>
      </c>
      <c r="F43" s="40">
        <v>0.64863700000000002</v>
      </c>
      <c r="G43" s="40">
        <v>0.64257500000000001</v>
      </c>
      <c r="H43" s="40">
        <v>0.62485299999999999</v>
      </c>
      <c r="I43" s="40">
        <v>0.761185</v>
      </c>
      <c r="J43" s="40">
        <v>0.69869899999999996</v>
      </c>
    </row>
    <row r="44" spans="1:10" x14ac:dyDescent="0.15">
      <c r="A44" s="35"/>
      <c r="B44" s="38"/>
      <c r="C44" s="38"/>
      <c r="D44" s="38"/>
      <c r="E44" s="38"/>
      <c r="F44" s="38"/>
      <c r="G44" s="38"/>
      <c r="H44" s="38"/>
      <c r="I44" s="38"/>
      <c r="J44" s="38"/>
    </row>
    <row r="45" spans="1:10" x14ac:dyDescent="0.15">
      <c r="A45" s="35" t="s">
        <v>290</v>
      </c>
      <c r="B45" s="38" t="s">
        <v>282</v>
      </c>
      <c r="C45" s="39">
        <v>0.82348325423728808</v>
      </c>
      <c r="D45" s="39">
        <v>0.75955081034482763</v>
      </c>
      <c r="E45" s="39">
        <v>0.60980764705882351</v>
      </c>
      <c r="F45" s="39">
        <v>0.62957040677966103</v>
      </c>
      <c r="G45" s="39">
        <v>0.68158457894736846</v>
      </c>
      <c r="H45" s="39">
        <v>0.67942979032258066</v>
      </c>
      <c r="I45" s="39">
        <v>0.72329838983050843</v>
      </c>
      <c r="J45" s="39">
        <v>0.74853091999999999</v>
      </c>
    </row>
    <row r="46" spans="1:10" x14ac:dyDescent="0.15">
      <c r="A46" s="38"/>
      <c r="B46" s="38" t="s">
        <v>283</v>
      </c>
      <c r="C46" s="40">
        <v>0.88945700000000005</v>
      </c>
      <c r="D46" s="40">
        <v>0.834395</v>
      </c>
      <c r="E46" s="40">
        <v>0.63693</v>
      </c>
      <c r="F46" s="40">
        <v>0.67994299999999996</v>
      </c>
      <c r="G46" s="40">
        <v>0.71737099999999998</v>
      </c>
      <c r="H46" s="40">
        <v>0.70489500000000005</v>
      </c>
      <c r="I46" s="40">
        <v>0.78286100000000003</v>
      </c>
      <c r="J46" s="40">
        <v>0.77706200000000003</v>
      </c>
    </row>
    <row r="47" spans="1:10" x14ac:dyDescent="0.15">
      <c r="A47" s="38"/>
      <c r="B47" s="38" t="s">
        <v>284</v>
      </c>
      <c r="C47" s="40">
        <v>0.72427200000000003</v>
      </c>
      <c r="D47" s="40">
        <v>0.58224399999999998</v>
      </c>
      <c r="E47" s="40">
        <v>0.57902699999999996</v>
      </c>
      <c r="F47" s="40">
        <v>0.59511099999999995</v>
      </c>
      <c r="G47" s="40">
        <v>0.63627699999999998</v>
      </c>
      <c r="H47" s="40">
        <v>0.63208699999999995</v>
      </c>
      <c r="I47" s="40">
        <v>0.63788599999999995</v>
      </c>
      <c r="J47" s="40">
        <v>0.71327300000000005</v>
      </c>
    </row>
    <row r="48" spans="1:10" x14ac:dyDescent="0.15">
      <c r="A48" s="38"/>
      <c r="B48" s="38" t="s">
        <v>285</v>
      </c>
      <c r="C48" s="40">
        <v>0.78356899999999996</v>
      </c>
      <c r="D48" s="40">
        <v>0.61441199999999996</v>
      </c>
      <c r="E48" s="40">
        <v>0.60797900000000005</v>
      </c>
      <c r="F48" s="40">
        <v>0.66746700000000003</v>
      </c>
      <c r="G48" s="40">
        <v>0.66122899999999996</v>
      </c>
      <c r="H48" s="40">
        <v>0.63788599999999995</v>
      </c>
      <c r="I48" s="40">
        <v>0.77706200000000003</v>
      </c>
      <c r="J48" s="40">
        <v>0.71327300000000005</v>
      </c>
    </row>
    <row r="49" spans="1:10" x14ac:dyDescent="0.15">
      <c r="A49" s="35"/>
      <c r="B49" s="38"/>
      <c r="C49" s="38"/>
      <c r="D49" s="38"/>
      <c r="E49" s="38"/>
      <c r="F49" s="38"/>
      <c r="G49" s="38"/>
      <c r="H49" s="38"/>
      <c r="I49" s="38"/>
      <c r="J49" s="38"/>
    </row>
    <row r="50" spans="1:10" x14ac:dyDescent="0.15">
      <c r="A50" s="35" t="s">
        <v>291</v>
      </c>
      <c r="B50" s="38" t="s">
        <v>282</v>
      </c>
      <c r="C50" s="39">
        <v>19.379334220338983</v>
      </c>
      <c r="D50" s="39">
        <v>18.067606672413792</v>
      </c>
      <c r="E50" s="39">
        <v>13.195503647058823</v>
      </c>
      <c r="F50" s="39">
        <v>17.397190949152542</v>
      </c>
      <c r="G50" s="39">
        <v>23.208819859649122</v>
      </c>
      <c r="H50" s="39">
        <v>22.090043145161289</v>
      </c>
      <c r="I50" s="39">
        <v>16.040365542372882</v>
      </c>
      <c r="J50" s="39">
        <v>16.32409204</v>
      </c>
    </row>
    <row r="51" spans="1:10" x14ac:dyDescent="0.15">
      <c r="A51" s="38"/>
      <c r="B51" s="38" t="s">
        <v>283</v>
      </c>
      <c r="C51" s="40">
        <v>19.977264000000002</v>
      </c>
      <c r="D51" s="40">
        <v>19.47823</v>
      </c>
      <c r="E51" s="40">
        <v>13.440806</v>
      </c>
      <c r="F51" s="40">
        <v>23.183969999999999</v>
      </c>
      <c r="G51" s="40">
        <v>23.750551000000002</v>
      </c>
      <c r="H51" s="40">
        <v>23.561691</v>
      </c>
      <c r="I51" s="40">
        <v>16.710115999999999</v>
      </c>
      <c r="J51" s="40">
        <v>16.644908999999998</v>
      </c>
    </row>
    <row r="52" spans="1:10" x14ac:dyDescent="0.15">
      <c r="A52" s="38"/>
      <c r="B52" s="38" t="s">
        <v>284</v>
      </c>
      <c r="C52" s="40">
        <v>18.480163000000001</v>
      </c>
      <c r="D52" s="40">
        <v>12.946208</v>
      </c>
      <c r="E52" s="40">
        <v>12.917114</v>
      </c>
      <c r="F52" s="40">
        <v>13.062583999999999</v>
      </c>
      <c r="G52" s="40">
        <v>22.522957999999999</v>
      </c>
      <c r="H52" s="40">
        <v>15.014741000000001</v>
      </c>
      <c r="I52" s="40">
        <v>15.079948</v>
      </c>
      <c r="J52" s="40">
        <v>15.927635</v>
      </c>
    </row>
    <row r="53" spans="1:10" x14ac:dyDescent="0.15">
      <c r="A53" s="38"/>
      <c r="B53" s="38" t="s">
        <v>285</v>
      </c>
      <c r="C53" s="40">
        <v>19.017583999999999</v>
      </c>
      <c r="D53" s="40">
        <v>13.237147999999999</v>
      </c>
      <c r="E53" s="40">
        <v>13.17896</v>
      </c>
      <c r="F53" s="40">
        <v>22.995108999999999</v>
      </c>
      <c r="G53" s="40">
        <v>22.900679</v>
      </c>
      <c r="H53" s="40">
        <v>15.079948</v>
      </c>
      <c r="I53" s="40">
        <v>16.644908999999998</v>
      </c>
      <c r="J53" s="40">
        <v>15.927635</v>
      </c>
    </row>
    <row r="54" spans="1:10" x14ac:dyDescent="0.15">
      <c r="A54" s="35"/>
      <c r="B54" s="38"/>
      <c r="C54" s="38"/>
      <c r="D54" s="38"/>
      <c r="E54" s="38"/>
      <c r="F54" s="38"/>
      <c r="G54" s="38"/>
      <c r="H54" s="38"/>
      <c r="I54" s="38"/>
      <c r="J54" s="38"/>
    </row>
    <row r="55" spans="1:10" x14ac:dyDescent="0.15">
      <c r="A55" s="35" t="s">
        <v>292</v>
      </c>
      <c r="B55" s="38" t="s">
        <v>282</v>
      </c>
      <c r="C55" s="39">
        <v>8.8228165423728822</v>
      </c>
      <c r="D55" s="39">
        <v>8.2281171724137927</v>
      </c>
      <c r="E55" s="39">
        <v>7.0536946274509802</v>
      </c>
      <c r="F55" s="39">
        <v>11.592928644067797</v>
      </c>
      <c r="G55" s="39">
        <v>18.252836421052631</v>
      </c>
      <c r="H55" s="39">
        <v>17.16645391935484</v>
      </c>
      <c r="I55" s="39">
        <v>11.383015694915255</v>
      </c>
      <c r="J55" s="39">
        <v>11.780114080000001</v>
      </c>
    </row>
    <row r="56" spans="1:10" x14ac:dyDescent="0.15">
      <c r="A56" s="38"/>
      <c r="B56" s="38" t="s">
        <v>283</v>
      </c>
      <c r="C56" s="40">
        <v>9.5296570000000003</v>
      </c>
      <c r="D56" s="40">
        <v>8.9397260000000003</v>
      </c>
      <c r="E56" s="40">
        <v>7.3674189999999999</v>
      </c>
      <c r="F56" s="40">
        <v>18.208874999999999</v>
      </c>
      <c r="G56" s="40">
        <v>19.211198</v>
      </c>
      <c r="H56" s="40">
        <v>18.877089999999999</v>
      </c>
      <c r="I56" s="40">
        <v>12.320385999999999</v>
      </c>
      <c r="J56" s="40">
        <v>12.229124000000001</v>
      </c>
    </row>
    <row r="57" spans="1:10" x14ac:dyDescent="0.15">
      <c r="A57" s="38"/>
      <c r="B57" s="38" t="s">
        <v>284</v>
      </c>
      <c r="C57" s="40">
        <v>7.7598640000000003</v>
      </c>
      <c r="D57" s="40">
        <v>6.7348629999999998</v>
      </c>
      <c r="E57" s="40">
        <v>6.697654</v>
      </c>
      <c r="F57" s="40">
        <v>6.8837000000000002</v>
      </c>
      <c r="G57" s="40">
        <v>17.039497000000001</v>
      </c>
      <c r="H57" s="40">
        <v>9.9475709999999999</v>
      </c>
      <c r="I57" s="40">
        <v>10.038833</v>
      </c>
      <c r="J57" s="40">
        <v>11.225239999999999</v>
      </c>
    </row>
    <row r="58" spans="1:10" x14ac:dyDescent="0.15">
      <c r="A58" s="38"/>
      <c r="B58" s="38" t="s">
        <v>285</v>
      </c>
      <c r="C58" s="40">
        <v>8.3951740000000008</v>
      </c>
      <c r="D58" s="40">
        <v>7.1069550000000001</v>
      </c>
      <c r="E58" s="40">
        <v>7.0325360000000003</v>
      </c>
      <c r="F58" s="40">
        <v>17.874766999999999</v>
      </c>
      <c r="G58" s="40">
        <v>17.707712999999998</v>
      </c>
      <c r="H58" s="40">
        <v>10.038833</v>
      </c>
      <c r="I58" s="40">
        <v>12.229124000000001</v>
      </c>
      <c r="J58" s="40">
        <v>11.225239999999999</v>
      </c>
    </row>
    <row r="59" spans="1:10" x14ac:dyDescent="0.15">
      <c r="A59" s="35"/>
      <c r="B59" s="38"/>
      <c r="C59" s="38"/>
      <c r="D59" s="38"/>
      <c r="E59" s="38"/>
      <c r="F59" s="38"/>
      <c r="G59" s="38"/>
      <c r="H59" s="38"/>
      <c r="I59" s="38"/>
      <c r="J59" s="38"/>
    </row>
    <row r="60" spans="1:10" x14ac:dyDescent="0.15">
      <c r="A60" s="41" t="s">
        <v>293</v>
      </c>
    </row>
    <row r="62" spans="1:10" x14ac:dyDescent="0.15">
      <c r="A62" s="41" t="s">
        <v>294</v>
      </c>
    </row>
    <row r="66" spans="1:1" ht="25" customHeight="1" x14ac:dyDescent="0.15">
      <c r="A66" s="42" t="s">
        <v>295</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AB42E-3749-7E47-B80D-22F2A0D5163D}">
  <sheetPr>
    <outlinePr summaryBelow="0" summaryRight="0"/>
    <pageSetUpPr autoPageBreaks="0"/>
  </sheetPr>
  <dimension ref="A5:IU39"/>
  <sheetViews>
    <sheetView workbookViewId="0"/>
  </sheetViews>
  <sheetFormatPr baseColWidth="10" defaultRowHeight="11" x14ac:dyDescent="0.15"/>
  <cols>
    <col min="1" max="1" width="45.83203125" customWidth="1"/>
    <col min="2" max="7" width="14.83203125" customWidth="1"/>
    <col min="8" max="8" width="9.33203125" customWidth="1"/>
    <col min="9" max="256" width="8.83203125" customWidth="1"/>
  </cols>
  <sheetData>
    <row r="5" spans="1:255" ht="17" x14ac:dyDescent="0.2">
      <c r="A5" s="1" t="s">
        <v>296</v>
      </c>
    </row>
    <row r="7" spans="1:255" ht="12" x14ac:dyDescent="0.15">
      <c r="A7" s="2" t="s">
        <v>297</v>
      </c>
      <c r="B7" s="3" t="s">
        <v>298</v>
      </c>
      <c r="C7" t="s">
        <v>275</v>
      </c>
      <c r="D7" s="4" t="s">
        <v>4</v>
      </c>
      <c r="E7" s="3" t="s">
        <v>299</v>
      </c>
      <c r="F7" t="s">
        <v>8</v>
      </c>
    </row>
    <row r="8" spans="1:255" x14ac:dyDescent="0.15">
      <c r="A8" s="4"/>
      <c r="B8" s="3" t="s">
        <v>300</v>
      </c>
      <c r="C8" t="s">
        <v>3</v>
      </c>
      <c r="D8" s="4" t="s">
        <v>4</v>
      </c>
      <c r="E8" s="3" t="s">
        <v>301</v>
      </c>
      <c r="F8" t="s">
        <v>6</v>
      </c>
    </row>
    <row r="9" spans="1:255" x14ac:dyDescent="0.15">
      <c r="A9" s="4"/>
      <c r="B9" s="3" t="s">
        <v>302</v>
      </c>
      <c r="C9" t="s">
        <v>10</v>
      </c>
      <c r="D9" s="4" t="s">
        <v>4</v>
      </c>
      <c r="E9" s="3" t="s">
        <v>303</v>
      </c>
      <c r="F9" s="5" t="s">
        <v>12</v>
      </c>
    </row>
    <row r="10" spans="1:255" x14ac:dyDescent="0.15">
      <c r="A10" s="4"/>
      <c r="B10" s="3" t="s">
        <v>304</v>
      </c>
      <c r="C10" t="s">
        <v>14</v>
      </c>
      <c r="D10" s="4" t="s">
        <v>4</v>
      </c>
      <c r="E10" s="23"/>
      <c r="F10" s="23"/>
    </row>
    <row r="13" spans="1:255" x14ac:dyDescent="0.15">
      <c r="A13" s="6" t="s">
        <v>305</v>
      </c>
      <c r="B13" s="6"/>
      <c r="C13" s="6"/>
      <c r="D13" s="6"/>
      <c r="E13" s="6"/>
      <c r="F13" s="6"/>
      <c r="G13" s="6"/>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63"/>
      <c r="EV13" s="63"/>
      <c r="EW13" s="63"/>
      <c r="EX13" s="63"/>
      <c r="EY13" s="63"/>
      <c r="EZ13" s="63"/>
      <c r="FA13" s="63"/>
      <c r="FB13" s="63"/>
      <c r="FC13" s="63"/>
      <c r="FD13" s="63"/>
      <c r="FE13" s="63"/>
      <c r="FF13" s="63"/>
      <c r="FG13" s="63"/>
      <c r="FH13" s="63"/>
      <c r="FI13" s="63"/>
      <c r="FJ13" s="63"/>
      <c r="FK13" s="63"/>
      <c r="FL13" s="63"/>
      <c r="FM13" s="63"/>
      <c r="FN13" s="63"/>
      <c r="FO13" s="63"/>
      <c r="FP13" s="63"/>
      <c r="FQ13" s="63"/>
      <c r="FR13" s="63"/>
      <c r="FS13" s="63"/>
      <c r="FT13" s="63"/>
      <c r="FU13" s="63"/>
      <c r="FV13" s="63"/>
      <c r="FW13" s="63"/>
      <c r="FX13" s="63"/>
      <c r="FY13" s="63"/>
      <c r="FZ13" s="63"/>
      <c r="GA13" s="63"/>
      <c r="GB13" s="63"/>
      <c r="GC13" s="63"/>
      <c r="GD13" s="63"/>
      <c r="GE13" s="63"/>
      <c r="GF13" s="63"/>
      <c r="GG13" s="63"/>
      <c r="GH13" s="63"/>
      <c r="GI13" s="63"/>
      <c r="GJ13" s="63"/>
      <c r="GK13" s="63"/>
      <c r="GL13" s="63"/>
      <c r="GM13" s="63"/>
      <c r="GN13" s="63"/>
      <c r="GO13" s="63"/>
      <c r="GP13" s="63"/>
      <c r="GQ13" s="63"/>
      <c r="GR13" s="63"/>
      <c r="GS13" s="63"/>
      <c r="GT13" s="63"/>
      <c r="GU13" s="63"/>
      <c r="GV13" s="63"/>
      <c r="GW13" s="63"/>
      <c r="GX13" s="63"/>
      <c r="GY13" s="63"/>
      <c r="GZ13" s="63"/>
      <c r="HA13" s="63"/>
      <c r="HB13" s="63"/>
      <c r="HC13" s="63"/>
      <c r="HD13" s="63"/>
      <c r="HE13" s="63"/>
      <c r="HF13" s="63"/>
      <c r="HG13" s="63"/>
      <c r="HH13" s="63"/>
      <c r="HI13" s="63"/>
      <c r="HJ13" s="63"/>
      <c r="HK13" s="63"/>
      <c r="HL13" s="63"/>
      <c r="HM13" s="63"/>
      <c r="HN13" s="63"/>
      <c r="HO13" s="63"/>
      <c r="HP13" s="63"/>
      <c r="HQ13" s="63"/>
      <c r="HR13" s="63"/>
      <c r="HS13" s="63"/>
      <c r="HT13" s="63"/>
      <c r="HU13" s="63"/>
      <c r="HV13" s="63"/>
      <c r="HW13" s="63"/>
      <c r="HX13" s="63"/>
      <c r="HY13" s="63"/>
      <c r="HZ13" s="63"/>
      <c r="IA13" s="63"/>
      <c r="IB13" s="63"/>
      <c r="IC13" s="63"/>
      <c r="ID13" s="63"/>
      <c r="IE13" s="63"/>
      <c r="IF13" s="63"/>
      <c r="IG13" s="63"/>
      <c r="IH13" s="63"/>
      <c r="II13" s="63"/>
      <c r="IJ13" s="63"/>
      <c r="IK13" s="63"/>
      <c r="IL13" s="63"/>
      <c r="IM13" s="63"/>
      <c r="IN13" s="63"/>
      <c r="IO13" s="63"/>
      <c r="IP13" s="63"/>
      <c r="IQ13" s="63"/>
      <c r="IR13" s="63"/>
      <c r="IS13" s="63"/>
      <c r="IT13" s="63"/>
      <c r="IU13" s="63"/>
    </row>
    <row r="14" spans="1:255" ht="24" x14ac:dyDescent="0.15">
      <c r="A14" s="7" t="s">
        <v>160</v>
      </c>
      <c r="B14" s="28">
        <v>44377</v>
      </c>
      <c r="C14" s="28">
        <v>44561</v>
      </c>
      <c r="D14" s="28">
        <v>44742</v>
      </c>
      <c r="E14" s="28">
        <v>44926</v>
      </c>
      <c r="F14" s="28">
        <v>45107</v>
      </c>
      <c r="G14" s="28">
        <v>45291</v>
      </c>
    </row>
    <row r="15" spans="1:255" ht="12" x14ac:dyDescent="0.15">
      <c r="A15" s="7" t="s">
        <v>306</v>
      </c>
      <c r="B15" s="28">
        <v>44434</v>
      </c>
      <c r="C15" s="28">
        <v>44621</v>
      </c>
      <c r="D15" s="28">
        <v>44798</v>
      </c>
      <c r="E15" s="28">
        <v>45002</v>
      </c>
      <c r="F15" s="28">
        <v>45163</v>
      </c>
      <c r="G15" s="28">
        <v>45366</v>
      </c>
    </row>
    <row r="16" spans="1:255" ht="12" x14ac:dyDescent="0.15">
      <c r="A16" s="8" t="s">
        <v>22</v>
      </c>
      <c r="B16" s="13" t="s">
        <v>23</v>
      </c>
      <c r="C16" s="13" t="s">
        <v>23</v>
      </c>
      <c r="D16" s="13" t="s">
        <v>23</v>
      </c>
      <c r="E16" s="13" t="s">
        <v>23</v>
      </c>
      <c r="F16" s="13" t="s">
        <v>23</v>
      </c>
      <c r="G16" s="13" t="s">
        <v>23</v>
      </c>
    </row>
    <row r="17" spans="1:7" x14ac:dyDescent="0.15">
      <c r="A17" s="9" t="s">
        <v>307</v>
      </c>
      <c r="B17" s="4"/>
      <c r="C17" s="4"/>
      <c r="D17" s="4"/>
      <c r="E17" s="4"/>
      <c r="F17" s="4"/>
      <c r="G17" s="4"/>
    </row>
    <row r="18" spans="1:7" x14ac:dyDescent="0.15">
      <c r="A18" s="4" t="s">
        <v>36</v>
      </c>
      <c r="B18" s="18">
        <v>14.5</v>
      </c>
      <c r="C18" s="18">
        <v>16.299997000000001</v>
      </c>
      <c r="D18" s="18">
        <v>25.999995999999999</v>
      </c>
      <c r="E18" s="18">
        <v>18.500001999999999</v>
      </c>
      <c r="F18" s="18">
        <v>20.000001999999999</v>
      </c>
      <c r="G18" s="18">
        <v>21.8</v>
      </c>
    </row>
    <row r="19" spans="1:7" x14ac:dyDescent="0.15">
      <c r="A19" s="4" t="s">
        <v>37</v>
      </c>
      <c r="B19" s="19">
        <v>9.872268</v>
      </c>
      <c r="C19" s="19">
        <v>9.9015979999999999</v>
      </c>
      <c r="D19" s="19">
        <v>9.9015979999999999</v>
      </c>
      <c r="E19" s="19">
        <v>9.9015979999999999</v>
      </c>
      <c r="F19" s="19">
        <v>9.9015979999999999</v>
      </c>
      <c r="G19" s="19">
        <v>9.9015979999999999</v>
      </c>
    </row>
    <row r="20" spans="1:7" x14ac:dyDescent="0.15">
      <c r="A20" s="4"/>
      <c r="B20" s="4"/>
      <c r="C20" s="4"/>
      <c r="D20" s="4"/>
      <c r="E20" s="4"/>
      <c r="F20" s="4"/>
      <c r="G20" s="4"/>
    </row>
    <row r="21" spans="1:7" x14ac:dyDescent="0.15">
      <c r="A21" s="9" t="s">
        <v>38</v>
      </c>
      <c r="B21" s="14">
        <v>143.147886</v>
      </c>
      <c r="C21" s="14">
        <v>161.39604700000001</v>
      </c>
      <c r="D21" s="14">
        <v>257.44154700000001</v>
      </c>
      <c r="E21" s="14">
        <v>183.179562</v>
      </c>
      <c r="F21" s="14">
        <v>198.03196</v>
      </c>
      <c r="G21" s="14">
        <v>215.85483600000001</v>
      </c>
    </row>
    <row r="22" spans="1:7" x14ac:dyDescent="0.15">
      <c r="A22" s="4" t="s">
        <v>39</v>
      </c>
      <c r="B22" s="19">
        <v>2.5870000000000002</v>
      </c>
      <c r="C22" s="19">
        <v>2.8450000000000002</v>
      </c>
      <c r="D22" s="19">
        <v>10.007</v>
      </c>
      <c r="E22" s="19">
        <v>50.837000000000003</v>
      </c>
      <c r="F22" s="19">
        <v>40.055999999999997</v>
      </c>
      <c r="G22" s="19">
        <v>69.180999999999997</v>
      </c>
    </row>
    <row r="23" spans="1:7" x14ac:dyDescent="0.15">
      <c r="A23" s="4" t="s">
        <v>40</v>
      </c>
      <c r="B23" s="19">
        <v>335.68700000000001</v>
      </c>
      <c r="C23" s="19">
        <v>316.83600000000001</v>
      </c>
      <c r="D23" s="19">
        <v>317.36700000000002</v>
      </c>
      <c r="E23" s="19">
        <v>312.21800000000002</v>
      </c>
      <c r="F23" s="19">
        <v>310.39800000000002</v>
      </c>
      <c r="G23" s="19">
        <v>309.322</v>
      </c>
    </row>
    <row r="24" spans="1:7" ht="12" x14ac:dyDescent="0.15">
      <c r="A24" s="4" t="s">
        <v>41</v>
      </c>
      <c r="B24" s="19" t="s">
        <v>42</v>
      </c>
      <c r="C24" s="19" t="s">
        <v>42</v>
      </c>
      <c r="D24" s="19" t="s">
        <v>42</v>
      </c>
      <c r="E24" s="19" t="s">
        <v>42</v>
      </c>
      <c r="F24" s="19" t="s">
        <v>42</v>
      </c>
      <c r="G24" s="19" t="s">
        <v>42</v>
      </c>
    </row>
    <row r="25" spans="1:7" ht="12" x14ac:dyDescent="0.15">
      <c r="A25" s="4" t="s">
        <v>43</v>
      </c>
      <c r="B25" s="19" t="s">
        <v>42</v>
      </c>
      <c r="C25" s="19" t="s">
        <v>42</v>
      </c>
      <c r="D25" s="19" t="s">
        <v>42</v>
      </c>
      <c r="E25" s="19" t="s">
        <v>42</v>
      </c>
      <c r="F25" s="19" t="s">
        <v>42</v>
      </c>
      <c r="G25" s="19" t="s">
        <v>42</v>
      </c>
    </row>
    <row r="26" spans="1:7" ht="12" x14ac:dyDescent="0.15">
      <c r="A26" s="4" t="s">
        <v>44</v>
      </c>
      <c r="B26" s="19" t="s">
        <v>42</v>
      </c>
      <c r="C26" s="19" t="s">
        <v>42</v>
      </c>
      <c r="D26" s="19" t="s">
        <v>42</v>
      </c>
      <c r="E26" s="19" t="s">
        <v>42</v>
      </c>
      <c r="F26" s="19" t="s">
        <v>42</v>
      </c>
      <c r="G26" s="19" t="s">
        <v>42</v>
      </c>
    </row>
    <row r="27" spans="1:7" x14ac:dyDescent="0.15">
      <c r="A27" s="9" t="s">
        <v>45</v>
      </c>
      <c r="B27" s="24">
        <v>476.24788599999999</v>
      </c>
      <c r="C27" s="24">
        <v>475.387047</v>
      </c>
      <c r="D27" s="24">
        <v>564.80154700000003</v>
      </c>
      <c r="E27" s="24">
        <v>444.560562</v>
      </c>
      <c r="F27" s="24">
        <v>468.37396000000001</v>
      </c>
      <c r="G27" s="24">
        <v>455.995836</v>
      </c>
    </row>
    <row r="28" spans="1:7" x14ac:dyDescent="0.15">
      <c r="A28" s="4"/>
      <c r="B28" s="4"/>
      <c r="C28" s="4"/>
      <c r="D28" s="4"/>
      <c r="E28" s="4"/>
      <c r="F28" s="4"/>
      <c r="G28" s="4"/>
    </row>
    <row r="29" spans="1:7" x14ac:dyDescent="0.15">
      <c r="A29" s="4" t="s">
        <v>46</v>
      </c>
      <c r="B29" s="19">
        <v>221.273</v>
      </c>
      <c r="C29" s="19">
        <v>232.88300000000001</v>
      </c>
      <c r="D29" s="19">
        <v>239.55199999999999</v>
      </c>
      <c r="E29" s="19">
        <v>315.79399999999998</v>
      </c>
      <c r="F29" s="19">
        <v>326.67599999999999</v>
      </c>
      <c r="G29" s="19">
        <v>348.61799999999999</v>
      </c>
    </row>
    <row r="30" spans="1:7" ht="12" x14ac:dyDescent="0.15">
      <c r="A30" s="4" t="s">
        <v>41</v>
      </c>
      <c r="B30" s="19" t="s">
        <v>42</v>
      </c>
      <c r="C30" s="19" t="s">
        <v>42</v>
      </c>
      <c r="D30" s="19" t="s">
        <v>42</v>
      </c>
      <c r="E30" s="19" t="s">
        <v>42</v>
      </c>
      <c r="F30" s="19" t="s">
        <v>42</v>
      </c>
      <c r="G30" s="19" t="s">
        <v>42</v>
      </c>
    </row>
    <row r="31" spans="1:7" ht="12" x14ac:dyDescent="0.15">
      <c r="A31" s="4" t="s">
        <v>43</v>
      </c>
      <c r="B31" s="19" t="s">
        <v>42</v>
      </c>
      <c r="C31" s="19" t="s">
        <v>42</v>
      </c>
      <c r="D31" s="19" t="s">
        <v>42</v>
      </c>
      <c r="E31" s="19" t="s">
        <v>42</v>
      </c>
      <c r="F31" s="19" t="s">
        <v>42</v>
      </c>
      <c r="G31" s="19" t="s">
        <v>42</v>
      </c>
    </row>
    <row r="32" spans="1:7" x14ac:dyDescent="0.15">
      <c r="A32" s="4" t="s">
        <v>40</v>
      </c>
      <c r="B32" s="19">
        <v>335.68700000000001</v>
      </c>
      <c r="C32" s="19">
        <v>316.83600000000001</v>
      </c>
      <c r="D32" s="19">
        <v>317.36700000000002</v>
      </c>
      <c r="E32" s="19">
        <v>312.21800000000002</v>
      </c>
      <c r="F32" s="19">
        <v>310.39800000000002</v>
      </c>
      <c r="G32" s="19">
        <v>309.322</v>
      </c>
    </row>
    <row r="33" spans="1:7" x14ac:dyDescent="0.15">
      <c r="A33" s="9" t="s">
        <v>47</v>
      </c>
      <c r="B33" s="24">
        <v>556.96</v>
      </c>
      <c r="C33" s="24">
        <v>549.71900000000005</v>
      </c>
      <c r="D33" s="24">
        <v>556.91899999999998</v>
      </c>
      <c r="E33" s="24">
        <v>628.01199999999994</v>
      </c>
      <c r="F33" s="24">
        <v>637.07399999999996</v>
      </c>
      <c r="G33" s="24">
        <v>657.94</v>
      </c>
    </row>
    <row r="34" spans="1:7" x14ac:dyDescent="0.15">
      <c r="A34" s="4"/>
      <c r="B34" s="4"/>
      <c r="C34" s="4"/>
      <c r="D34" s="4"/>
      <c r="E34" s="4"/>
      <c r="F34" s="4"/>
      <c r="G34" s="4"/>
    </row>
    <row r="35" spans="1:7" x14ac:dyDescent="0.15">
      <c r="A35" s="11"/>
      <c r="B35" s="11"/>
      <c r="C35" s="11"/>
      <c r="D35" s="11"/>
      <c r="E35" s="11"/>
      <c r="F35" s="11"/>
      <c r="G35" s="11"/>
    </row>
    <row r="36" spans="1:7" ht="96" x14ac:dyDescent="0.15">
      <c r="A36" s="43" t="s">
        <v>308</v>
      </c>
    </row>
    <row r="37" spans="1:7" ht="60" x14ac:dyDescent="0.15">
      <c r="A37" s="43" t="s">
        <v>309</v>
      </c>
    </row>
    <row r="39" spans="1:7" ht="25" customHeight="1" x14ac:dyDescent="0.15">
      <c r="A39" s="42" t="s">
        <v>295</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A137-9DCA-7841-8780-CBC903B73B6C}">
  <sheetPr>
    <outlinePr summaryBelow="0" summaryRight="0"/>
    <pageSetUpPr autoPageBreaks="0"/>
  </sheetPr>
  <dimension ref="A5:IU69"/>
  <sheetViews>
    <sheetView zoomScale="116" workbookViewId="0"/>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310</v>
      </c>
    </row>
    <row r="7" spans="1:255" ht="12" x14ac:dyDescent="0.15">
      <c r="A7" s="2" t="s">
        <v>311</v>
      </c>
      <c r="B7" s="3" t="s">
        <v>312</v>
      </c>
      <c r="C7" t="s">
        <v>66</v>
      </c>
      <c r="D7" s="4" t="s">
        <v>4</v>
      </c>
      <c r="E7" s="3" t="s">
        <v>313</v>
      </c>
      <c r="F7" t="s">
        <v>68</v>
      </c>
    </row>
    <row r="8" spans="1:255" x14ac:dyDescent="0.15">
      <c r="A8" s="4"/>
      <c r="B8" s="3" t="s">
        <v>314</v>
      </c>
      <c r="C8" t="s">
        <v>71</v>
      </c>
      <c r="D8" s="4" t="s">
        <v>4</v>
      </c>
      <c r="E8" s="3" t="s">
        <v>315</v>
      </c>
      <c r="F8" t="s">
        <v>6</v>
      </c>
    </row>
    <row r="9" spans="1:255" x14ac:dyDescent="0.15">
      <c r="A9" s="4"/>
      <c r="B9" s="3" t="s">
        <v>316</v>
      </c>
      <c r="C9" t="s">
        <v>10</v>
      </c>
      <c r="D9" s="4" t="s">
        <v>4</v>
      </c>
      <c r="E9" s="3" t="s">
        <v>317</v>
      </c>
      <c r="F9" s="5" t="s">
        <v>12</v>
      </c>
    </row>
    <row r="10" spans="1:255" x14ac:dyDescent="0.15">
      <c r="A10" s="4"/>
      <c r="B10" s="3" t="s">
        <v>318</v>
      </c>
      <c r="C10" t="s">
        <v>8</v>
      </c>
      <c r="D10" s="4" t="s">
        <v>4</v>
      </c>
      <c r="E10" s="23"/>
      <c r="F10" s="23"/>
    </row>
    <row r="13" spans="1:255" x14ac:dyDescent="0.15">
      <c r="A13" s="6" t="s">
        <v>319</v>
      </c>
      <c r="B13" s="6"/>
      <c r="C13" s="6"/>
      <c r="D13" s="6"/>
      <c r="E13" s="6"/>
      <c r="F13" s="6"/>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63"/>
      <c r="EV13" s="63"/>
      <c r="EW13" s="63"/>
      <c r="EX13" s="63"/>
      <c r="EY13" s="63"/>
      <c r="EZ13" s="63"/>
      <c r="FA13" s="63"/>
      <c r="FB13" s="63"/>
      <c r="FC13" s="63"/>
      <c r="FD13" s="63"/>
      <c r="FE13" s="63"/>
      <c r="FF13" s="63"/>
      <c r="FG13" s="63"/>
      <c r="FH13" s="63"/>
      <c r="FI13" s="63"/>
      <c r="FJ13" s="63"/>
      <c r="FK13" s="63"/>
      <c r="FL13" s="63"/>
      <c r="FM13" s="63"/>
      <c r="FN13" s="63"/>
      <c r="FO13" s="63"/>
      <c r="FP13" s="63"/>
      <c r="FQ13" s="63"/>
      <c r="FR13" s="63"/>
      <c r="FS13" s="63"/>
      <c r="FT13" s="63"/>
      <c r="FU13" s="63"/>
      <c r="FV13" s="63"/>
      <c r="FW13" s="63"/>
      <c r="FX13" s="63"/>
      <c r="FY13" s="63"/>
      <c r="FZ13" s="63"/>
      <c r="GA13" s="63"/>
      <c r="GB13" s="63"/>
      <c r="GC13" s="63"/>
      <c r="GD13" s="63"/>
      <c r="GE13" s="63"/>
      <c r="GF13" s="63"/>
      <c r="GG13" s="63"/>
      <c r="GH13" s="63"/>
      <c r="GI13" s="63"/>
      <c r="GJ13" s="63"/>
      <c r="GK13" s="63"/>
      <c r="GL13" s="63"/>
      <c r="GM13" s="63"/>
      <c r="GN13" s="63"/>
      <c r="GO13" s="63"/>
      <c r="GP13" s="63"/>
      <c r="GQ13" s="63"/>
      <c r="GR13" s="63"/>
      <c r="GS13" s="63"/>
      <c r="GT13" s="63"/>
      <c r="GU13" s="63"/>
      <c r="GV13" s="63"/>
      <c r="GW13" s="63"/>
      <c r="GX13" s="63"/>
      <c r="GY13" s="63"/>
      <c r="GZ13" s="63"/>
      <c r="HA13" s="63"/>
      <c r="HB13" s="63"/>
      <c r="HC13" s="63"/>
      <c r="HD13" s="63"/>
      <c r="HE13" s="63"/>
      <c r="HF13" s="63"/>
      <c r="HG13" s="63"/>
      <c r="HH13" s="63"/>
      <c r="HI13" s="63"/>
      <c r="HJ13" s="63"/>
      <c r="HK13" s="63"/>
      <c r="HL13" s="63"/>
      <c r="HM13" s="63"/>
      <c r="HN13" s="63"/>
      <c r="HO13" s="63"/>
      <c r="HP13" s="63"/>
      <c r="HQ13" s="63"/>
      <c r="HR13" s="63"/>
      <c r="HS13" s="63"/>
      <c r="HT13" s="63"/>
      <c r="HU13" s="63"/>
      <c r="HV13" s="63"/>
      <c r="HW13" s="63"/>
      <c r="HX13" s="63"/>
      <c r="HY13" s="63"/>
      <c r="HZ13" s="63"/>
      <c r="IA13" s="63"/>
      <c r="IB13" s="63"/>
      <c r="IC13" s="63"/>
      <c r="ID13" s="63"/>
      <c r="IE13" s="63"/>
      <c r="IF13" s="63"/>
      <c r="IG13" s="63"/>
      <c r="IH13" s="63"/>
      <c r="II13" s="63"/>
      <c r="IJ13" s="63"/>
      <c r="IK13" s="63"/>
      <c r="IL13" s="63"/>
      <c r="IM13" s="63"/>
      <c r="IN13" s="63"/>
      <c r="IO13" s="63"/>
      <c r="IP13" s="63"/>
      <c r="IQ13" s="63"/>
      <c r="IR13" s="63"/>
      <c r="IS13" s="63"/>
      <c r="IT13" s="63"/>
      <c r="IU13" s="63"/>
    </row>
    <row r="14" spans="1:255" ht="24" x14ac:dyDescent="0.15">
      <c r="A14" s="7" t="s">
        <v>320</v>
      </c>
      <c r="B14" s="98" t="s">
        <v>321</v>
      </c>
      <c r="C14" s="99"/>
      <c r="D14" s="98" t="s">
        <v>322</v>
      </c>
      <c r="E14" s="100"/>
      <c r="F14" s="101" t="s">
        <v>323</v>
      </c>
      <c r="G14" s="100"/>
    </row>
    <row r="15" spans="1:255" ht="12" x14ac:dyDescent="0.15">
      <c r="A15" s="8" t="s">
        <v>324</v>
      </c>
      <c r="B15" s="13" t="s">
        <v>325</v>
      </c>
      <c r="C15" s="13"/>
      <c r="D15" s="13" t="s">
        <v>325</v>
      </c>
      <c r="E15" s="47"/>
      <c r="F15" s="47" t="s">
        <v>325</v>
      </c>
      <c r="G15" s="47"/>
    </row>
    <row r="16" spans="1:255" ht="12" x14ac:dyDescent="0.15">
      <c r="A16" s="7" t="s">
        <v>326</v>
      </c>
      <c r="B16" s="12" t="s">
        <v>327</v>
      </c>
      <c r="C16" s="12" t="s">
        <v>328</v>
      </c>
      <c r="D16" s="12" t="s">
        <v>327</v>
      </c>
      <c r="E16" s="48" t="s">
        <v>328</v>
      </c>
      <c r="F16" s="48" t="s">
        <v>327</v>
      </c>
      <c r="G16" s="48" t="s">
        <v>328</v>
      </c>
    </row>
    <row r="17" spans="1:255" x14ac:dyDescent="0.15">
      <c r="A17" s="9" t="s">
        <v>32</v>
      </c>
      <c r="B17" s="4"/>
      <c r="C17" s="44"/>
      <c r="D17" s="4"/>
      <c r="F17" s="41"/>
    </row>
    <row r="18" spans="1:255" x14ac:dyDescent="0.15">
      <c r="A18" s="4" t="s">
        <v>206</v>
      </c>
      <c r="B18" s="19">
        <v>316.83600000000001</v>
      </c>
      <c r="C18" s="45">
        <v>0.576359922069</v>
      </c>
      <c r="D18" s="19">
        <v>312.21800000000002</v>
      </c>
      <c r="E18" s="49">
        <v>0.497152920645</v>
      </c>
      <c r="F18" s="51">
        <v>309.322</v>
      </c>
      <c r="G18" s="49">
        <v>0.47013709456800001</v>
      </c>
    </row>
    <row r="19" spans="1:255" x14ac:dyDescent="0.15">
      <c r="A19" s="4" t="s">
        <v>329</v>
      </c>
      <c r="B19" s="19">
        <v>232.88300000000001</v>
      </c>
      <c r="C19" s="45">
        <v>0.423640077931</v>
      </c>
      <c r="D19" s="19">
        <v>315.79399999999998</v>
      </c>
      <c r="E19" s="49">
        <v>0.50284707935499995</v>
      </c>
      <c r="F19" s="51">
        <v>348.61799999999999</v>
      </c>
      <c r="G19" s="49">
        <v>0.52986290543199999</v>
      </c>
    </row>
    <row r="20" spans="1:255" x14ac:dyDescent="0.15">
      <c r="A20" s="9" t="s">
        <v>330</v>
      </c>
      <c r="B20" s="14">
        <v>549.71900000000005</v>
      </c>
      <c r="C20" s="46">
        <v>1</v>
      </c>
      <c r="D20" s="14">
        <v>628.01199999999994</v>
      </c>
      <c r="E20" s="50">
        <v>1</v>
      </c>
      <c r="F20" s="52">
        <v>657.94</v>
      </c>
      <c r="G20" s="50">
        <v>1</v>
      </c>
    </row>
    <row r="21" spans="1:255" x14ac:dyDescent="0.15">
      <c r="A21" s="4"/>
      <c r="B21" s="4"/>
      <c r="C21" s="44"/>
      <c r="D21" s="4"/>
      <c r="F21" s="41"/>
    </row>
    <row r="22" spans="1:255" x14ac:dyDescent="0.15">
      <c r="A22" s="11"/>
      <c r="B22" s="11"/>
      <c r="C22" s="11"/>
      <c r="D22" s="11"/>
    </row>
    <row r="24" spans="1:255" x14ac:dyDescent="0.15">
      <c r="A24" s="6" t="s">
        <v>331</v>
      </c>
      <c r="B24" s="6"/>
      <c r="C24" s="6"/>
      <c r="D24" s="6"/>
      <c r="E24" s="6"/>
      <c r="F24" s="6"/>
      <c r="G24" s="6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c r="CY24" s="63"/>
      <c r="CZ24" s="63"/>
      <c r="DA24" s="63"/>
      <c r="DB24" s="63"/>
      <c r="DC24" s="63"/>
      <c r="DD24" s="63"/>
      <c r="DE24" s="63"/>
      <c r="DF24" s="63"/>
      <c r="DG24" s="63"/>
      <c r="DH24" s="63"/>
      <c r="DI24" s="63"/>
      <c r="DJ24" s="63"/>
      <c r="DK24" s="63"/>
      <c r="DL24" s="63"/>
      <c r="DM24" s="63"/>
      <c r="DN24" s="63"/>
      <c r="DO24" s="63"/>
      <c r="DP24" s="63"/>
      <c r="DQ24" s="63"/>
      <c r="DR24" s="63"/>
      <c r="DS24" s="63"/>
      <c r="DT24" s="63"/>
      <c r="DU24" s="63"/>
      <c r="DV24" s="63"/>
      <c r="DW24" s="63"/>
      <c r="DX24" s="63"/>
      <c r="DY24" s="63"/>
      <c r="DZ24" s="63"/>
      <c r="EA24" s="63"/>
      <c r="EB24" s="63"/>
      <c r="EC24" s="63"/>
      <c r="ED24" s="63"/>
      <c r="EE24" s="63"/>
      <c r="EF24" s="63"/>
      <c r="EG24" s="63"/>
      <c r="EH24" s="63"/>
      <c r="EI24" s="63"/>
      <c r="EJ24" s="63"/>
      <c r="EK24" s="63"/>
      <c r="EL24" s="63"/>
      <c r="EM24" s="63"/>
      <c r="EN24" s="63"/>
      <c r="EO24" s="63"/>
      <c r="EP24" s="63"/>
      <c r="EQ24" s="63"/>
      <c r="ER24" s="63"/>
      <c r="ES24" s="63"/>
      <c r="ET24" s="63"/>
      <c r="EU24" s="63"/>
      <c r="EV24" s="63"/>
      <c r="EW24" s="63"/>
      <c r="EX24" s="63"/>
      <c r="EY24" s="63"/>
      <c r="EZ24" s="63"/>
      <c r="FA24" s="63"/>
      <c r="FB24" s="63"/>
      <c r="FC24" s="63"/>
      <c r="FD24" s="63"/>
      <c r="FE24" s="63"/>
      <c r="FF24" s="63"/>
      <c r="FG24" s="63"/>
      <c r="FH24" s="63"/>
      <c r="FI24" s="63"/>
      <c r="FJ24" s="63"/>
      <c r="FK24" s="63"/>
      <c r="FL24" s="63"/>
      <c r="FM24" s="63"/>
      <c r="FN24" s="63"/>
      <c r="FO24" s="63"/>
      <c r="FP24" s="63"/>
      <c r="FQ24" s="63"/>
      <c r="FR24" s="63"/>
      <c r="FS24" s="63"/>
      <c r="FT24" s="63"/>
      <c r="FU24" s="63"/>
      <c r="FV24" s="63"/>
      <c r="FW24" s="63"/>
      <c r="FX24" s="63"/>
      <c r="FY24" s="63"/>
      <c r="FZ24" s="63"/>
      <c r="GA24" s="63"/>
      <c r="GB24" s="63"/>
      <c r="GC24" s="63"/>
      <c r="GD24" s="63"/>
      <c r="GE24" s="63"/>
      <c r="GF24" s="63"/>
      <c r="GG24" s="63"/>
      <c r="GH24" s="63"/>
      <c r="GI24" s="63"/>
      <c r="GJ24" s="63"/>
      <c r="GK24" s="63"/>
      <c r="GL24" s="63"/>
      <c r="GM24" s="63"/>
      <c r="GN24" s="63"/>
      <c r="GO24" s="63"/>
      <c r="GP24" s="63"/>
      <c r="GQ24" s="63"/>
      <c r="GR24" s="63"/>
      <c r="GS24" s="63"/>
      <c r="GT24" s="63"/>
      <c r="GU24" s="63"/>
      <c r="GV24" s="63"/>
      <c r="GW24" s="63"/>
      <c r="GX24" s="63"/>
      <c r="GY24" s="63"/>
      <c r="GZ24" s="63"/>
      <c r="HA24" s="63"/>
      <c r="HB24" s="63"/>
      <c r="HC24" s="63"/>
      <c r="HD24" s="63"/>
      <c r="HE24" s="63"/>
      <c r="HF24" s="63"/>
      <c r="HG24" s="63"/>
      <c r="HH24" s="63"/>
      <c r="HI24" s="63"/>
      <c r="HJ24" s="63"/>
      <c r="HK24" s="63"/>
      <c r="HL24" s="63"/>
      <c r="HM24" s="63"/>
      <c r="HN24" s="63"/>
      <c r="HO24" s="63"/>
      <c r="HP24" s="63"/>
      <c r="HQ24" s="63"/>
      <c r="HR24" s="63"/>
      <c r="HS24" s="63"/>
      <c r="HT24" s="63"/>
      <c r="HU24" s="63"/>
      <c r="HV24" s="63"/>
      <c r="HW24" s="63"/>
      <c r="HX24" s="63"/>
      <c r="HY24" s="63"/>
      <c r="HZ24" s="63"/>
      <c r="IA24" s="63"/>
      <c r="IB24" s="63"/>
      <c r="IC24" s="63"/>
      <c r="ID24" s="63"/>
      <c r="IE24" s="63"/>
      <c r="IF24" s="63"/>
      <c r="IG24" s="63"/>
      <c r="IH24" s="63"/>
      <c r="II24" s="63"/>
      <c r="IJ24" s="63"/>
      <c r="IK24" s="63"/>
      <c r="IL24" s="63"/>
      <c r="IM24" s="63"/>
      <c r="IN24" s="63"/>
      <c r="IO24" s="63"/>
      <c r="IP24" s="63"/>
      <c r="IQ24" s="63"/>
      <c r="IR24" s="63"/>
      <c r="IS24" s="63"/>
      <c r="IT24" s="63"/>
      <c r="IU24" s="63"/>
    </row>
    <row r="25" spans="1:255" ht="24" x14ac:dyDescent="0.15">
      <c r="A25" s="7" t="s">
        <v>320</v>
      </c>
      <c r="B25" s="98" t="s">
        <v>321</v>
      </c>
      <c r="C25" s="99"/>
      <c r="D25" s="98" t="s">
        <v>322</v>
      </c>
      <c r="E25" s="100"/>
      <c r="F25" s="101" t="s">
        <v>323</v>
      </c>
      <c r="G25" s="100"/>
    </row>
    <row r="26" spans="1:255" ht="12" x14ac:dyDescent="0.15">
      <c r="A26" s="8" t="s">
        <v>324</v>
      </c>
      <c r="B26" s="13" t="s">
        <v>325</v>
      </c>
      <c r="C26" s="13"/>
      <c r="D26" s="13" t="s">
        <v>325</v>
      </c>
      <c r="E26" s="47"/>
      <c r="F26" s="47" t="s">
        <v>325</v>
      </c>
      <c r="G26" s="47"/>
    </row>
    <row r="27" spans="1:255" ht="12" x14ac:dyDescent="0.15">
      <c r="A27" s="7" t="s">
        <v>326</v>
      </c>
      <c r="B27" s="12" t="s">
        <v>327</v>
      </c>
      <c r="C27" s="12" t="s">
        <v>328</v>
      </c>
      <c r="D27" s="12" t="s">
        <v>327</v>
      </c>
      <c r="E27" s="48" t="s">
        <v>328</v>
      </c>
      <c r="F27" s="48" t="s">
        <v>327</v>
      </c>
      <c r="G27" s="48" t="s">
        <v>328</v>
      </c>
    </row>
    <row r="28" spans="1:255" x14ac:dyDescent="0.15">
      <c r="A28" s="9" t="s">
        <v>32</v>
      </c>
      <c r="B28" s="4"/>
      <c r="C28" s="44"/>
      <c r="D28" s="4"/>
      <c r="F28" s="41"/>
    </row>
    <row r="29" spans="1:255" ht="12" x14ac:dyDescent="0.15">
      <c r="A29" s="4" t="s">
        <v>332</v>
      </c>
      <c r="B29" s="19">
        <v>29.81</v>
      </c>
      <c r="C29" s="45">
        <v>9.4086000000000003E-2</v>
      </c>
      <c r="D29" s="19" t="s">
        <v>42</v>
      </c>
      <c r="E29" s="49" t="s">
        <v>42</v>
      </c>
      <c r="F29" s="51">
        <v>0.45300000000000001</v>
      </c>
      <c r="G29" s="49">
        <v>1.464E-3</v>
      </c>
    </row>
    <row r="30" spans="1:255" x14ac:dyDescent="0.15">
      <c r="A30" s="4" t="s">
        <v>333</v>
      </c>
      <c r="B30" s="19">
        <v>88.561000000000007</v>
      </c>
      <c r="C30" s="45">
        <v>0.27951599999999999</v>
      </c>
      <c r="D30" s="19">
        <v>84.838999999999999</v>
      </c>
      <c r="E30" s="49">
        <v>0.27173000000000003</v>
      </c>
      <c r="F30" s="51">
        <v>82.33</v>
      </c>
      <c r="G30" s="49">
        <v>0.26616200000000001</v>
      </c>
    </row>
    <row r="31" spans="1:255" x14ac:dyDescent="0.15">
      <c r="A31" s="4" t="s">
        <v>334</v>
      </c>
      <c r="B31" s="19">
        <v>192.71600000000001</v>
      </c>
      <c r="C31" s="45">
        <v>0.60825099999999999</v>
      </c>
      <c r="D31" s="19">
        <v>222.81399999999999</v>
      </c>
      <c r="E31" s="49">
        <v>0.71364799999999995</v>
      </c>
      <c r="F31" s="51">
        <v>222.12899999999999</v>
      </c>
      <c r="G31" s="49">
        <v>0.71811499999999995</v>
      </c>
    </row>
    <row r="32" spans="1:255" x14ac:dyDescent="0.15">
      <c r="A32" s="4" t="s">
        <v>335</v>
      </c>
      <c r="B32" s="19">
        <v>5.7489999999999997</v>
      </c>
      <c r="C32" s="45">
        <v>1.8145000000000001E-2</v>
      </c>
      <c r="D32" s="19">
        <v>4.5650000000000004</v>
      </c>
      <c r="E32" s="49">
        <v>1.4621E-2</v>
      </c>
      <c r="F32" s="51">
        <v>4.41</v>
      </c>
      <c r="G32" s="49">
        <v>1.4256E-2</v>
      </c>
    </row>
    <row r="33" spans="1:7" x14ac:dyDescent="0.15">
      <c r="A33" s="9" t="s">
        <v>336</v>
      </c>
      <c r="B33" s="14">
        <v>316.83600000000001</v>
      </c>
      <c r="C33" s="46">
        <v>1</v>
      </c>
      <c r="D33" s="14">
        <v>312.21800000000002</v>
      </c>
      <c r="E33" s="50">
        <v>1</v>
      </c>
      <c r="F33" s="52">
        <v>309.322</v>
      </c>
      <c r="G33" s="50">
        <v>1</v>
      </c>
    </row>
    <row r="34" spans="1:7" x14ac:dyDescent="0.15">
      <c r="A34" s="4"/>
      <c r="B34" s="4"/>
      <c r="C34" s="44"/>
      <c r="D34" s="4"/>
      <c r="F34" s="41"/>
    </row>
    <row r="35" spans="1:7" x14ac:dyDescent="0.15">
      <c r="A35" s="9" t="s">
        <v>337</v>
      </c>
      <c r="B35" s="14">
        <v>316.83600000000001</v>
      </c>
      <c r="C35" s="46">
        <v>1</v>
      </c>
      <c r="D35" s="14">
        <v>312.21800000000002</v>
      </c>
      <c r="E35" s="50">
        <v>1</v>
      </c>
      <c r="F35" s="52">
        <v>309.322</v>
      </c>
      <c r="G35" s="50">
        <v>1</v>
      </c>
    </row>
    <row r="36" spans="1:7" x14ac:dyDescent="0.15">
      <c r="A36" s="4"/>
      <c r="B36" s="4"/>
      <c r="C36" s="44"/>
      <c r="D36" s="4"/>
      <c r="F36" s="41"/>
    </row>
    <row r="37" spans="1:7" x14ac:dyDescent="0.15">
      <c r="A37" s="9" t="s">
        <v>338</v>
      </c>
      <c r="B37" s="4"/>
      <c r="C37" s="44"/>
      <c r="D37" s="4"/>
      <c r="F37" s="41"/>
    </row>
    <row r="38" spans="1:7" ht="12" x14ac:dyDescent="0.15">
      <c r="A38" s="4" t="s">
        <v>339</v>
      </c>
      <c r="B38" s="19" t="s">
        <v>42</v>
      </c>
      <c r="C38" s="45" t="s">
        <v>42</v>
      </c>
      <c r="D38" s="19" t="s">
        <v>42</v>
      </c>
      <c r="E38" s="49" t="s">
        <v>42</v>
      </c>
      <c r="F38" s="51">
        <v>28.1</v>
      </c>
      <c r="G38" s="49" t="s">
        <v>42</v>
      </c>
    </row>
    <row r="39" spans="1:7" ht="12" x14ac:dyDescent="0.15">
      <c r="A39" s="9" t="s">
        <v>340</v>
      </c>
      <c r="B39" s="14" t="s">
        <v>42</v>
      </c>
      <c r="C39" s="46" t="s">
        <v>42</v>
      </c>
      <c r="D39" s="14" t="s">
        <v>42</v>
      </c>
      <c r="E39" s="50" t="s">
        <v>42</v>
      </c>
      <c r="F39" s="52">
        <v>28.1</v>
      </c>
      <c r="G39" s="50" t="s">
        <v>42</v>
      </c>
    </row>
    <row r="40" spans="1:7" x14ac:dyDescent="0.15">
      <c r="A40" s="4"/>
      <c r="B40" s="4"/>
      <c r="C40" s="44"/>
      <c r="D40" s="4"/>
      <c r="F40" s="41"/>
    </row>
    <row r="41" spans="1:7" x14ac:dyDescent="0.15">
      <c r="A41" s="9" t="s">
        <v>341</v>
      </c>
      <c r="B41" s="4"/>
      <c r="C41" s="44"/>
      <c r="D41" s="4"/>
      <c r="F41" s="41"/>
    </row>
    <row r="42" spans="1:7" ht="12" x14ac:dyDescent="0.15">
      <c r="A42" s="4" t="s">
        <v>342</v>
      </c>
      <c r="B42" s="19">
        <v>2.8450000000000002</v>
      </c>
      <c r="C42" s="45" t="s">
        <v>42</v>
      </c>
      <c r="D42" s="19">
        <v>50.837000000000003</v>
      </c>
      <c r="E42" s="49" t="s">
        <v>42</v>
      </c>
      <c r="F42" s="51">
        <v>69.180999999999997</v>
      </c>
      <c r="G42" s="49" t="s">
        <v>42</v>
      </c>
    </row>
    <row r="43" spans="1:7" ht="12" x14ac:dyDescent="0.15">
      <c r="A43" s="4" t="s">
        <v>207</v>
      </c>
      <c r="B43" s="19">
        <v>313.99099999999999</v>
      </c>
      <c r="C43" s="45" t="s">
        <v>42</v>
      </c>
      <c r="D43" s="19">
        <v>261.38099999999997</v>
      </c>
      <c r="E43" s="49" t="s">
        <v>42</v>
      </c>
      <c r="F43" s="51">
        <v>240.14099999999999</v>
      </c>
      <c r="G43" s="49" t="s">
        <v>42</v>
      </c>
    </row>
    <row r="44" spans="1:7" x14ac:dyDescent="0.15">
      <c r="A44" s="4" t="s">
        <v>343</v>
      </c>
      <c r="B44" s="19">
        <v>316.83600000000001</v>
      </c>
      <c r="C44" s="45">
        <v>1</v>
      </c>
      <c r="D44" s="19">
        <v>312.21800000000002</v>
      </c>
      <c r="E44" s="49">
        <v>1</v>
      </c>
      <c r="F44" s="51">
        <v>309.322</v>
      </c>
      <c r="G44" s="49">
        <v>1</v>
      </c>
    </row>
    <row r="45" spans="1:7" ht="12" x14ac:dyDescent="0.15">
      <c r="A45" s="4" t="s">
        <v>344</v>
      </c>
      <c r="B45" s="19">
        <v>29.81</v>
      </c>
      <c r="C45" s="45">
        <v>9.4086000000000003E-2</v>
      </c>
      <c r="D45" s="19" t="s">
        <v>42</v>
      </c>
      <c r="E45" s="49" t="s">
        <v>42</v>
      </c>
      <c r="F45" s="51">
        <v>0.45300000000000001</v>
      </c>
      <c r="G45" s="49">
        <v>1.464E-3</v>
      </c>
    </row>
    <row r="46" spans="1:7" x14ac:dyDescent="0.15">
      <c r="A46" s="4" t="s">
        <v>345</v>
      </c>
      <c r="B46" s="19">
        <v>4.1859999999999999</v>
      </c>
      <c r="C46" s="45">
        <v>1.3211000000000001E-2</v>
      </c>
      <c r="D46" s="19">
        <v>4.5519999999999996</v>
      </c>
      <c r="E46" s="49">
        <v>1.4579E-2</v>
      </c>
      <c r="F46" s="51">
        <v>3.4470000000000001</v>
      </c>
      <c r="G46" s="49">
        <v>1.1143E-2</v>
      </c>
    </row>
    <row r="47" spans="1:7" x14ac:dyDescent="0.15">
      <c r="A47" s="4" t="s">
        <v>346</v>
      </c>
      <c r="B47" s="19">
        <v>282.83999999999997</v>
      </c>
      <c r="C47" s="45">
        <v>0.89270099999999997</v>
      </c>
      <c r="D47" s="19">
        <v>307.666</v>
      </c>
      <c r="E47" s="49">
        <v>0.98541999999999996</v>
      </c>
      <c r="F47" s="51">
        <v>305.42200000000003</v>
      </c>
      <c r="G47" s="49">
        <v>0.98739100000000002</v>
      </c>
    </row>
    <row r="48" spans="1:7" x14ac:dyDescent="0.15">
      <c r="A48" s="4" t="s">
        <v>347</v>
      </c>
      <c r="B48" s="19">
        <v>118.371</v>
      </c>
      <c r="C48" s="45">
        <v>0.37360300000000002</v>
      </c>
      <c r="D48" s="19">
        <v>84.838999999999999</v>
      </c>
      <c r="E48" s="49">
        <v>0.27173000000000003</v>
      </c>
      <c r="F48" s="51">
        <v>82.783000000000001</v>
      </c>
      <c r="G48" s="49">
        <v>0.267627</v>
      </c>
    </row>
    <row r="49" spans="1:7" x14ac:dyDescent="0.15">
      <c r="A49" s="4" t="s">
        <v>348</v>
      </c>
      <c r="B49" s="19">
        <v>286.73099999999999</v>
      </c>
      <c r="C49" s="45">
        <v>0.90498199999999995</v>
      </c>
      <c r="D49" s="19">
        <v>312.21800000000002</v>
      </c>
      <c r="E49" s="49">
        <v>1</v>
      </c>
      <c r="F49" s="51">
        <v>308.86900000000003</v>
      </c>
      <c r="G49" s="49">
        <v>0.99853499999999995</v>
      </c>
    </row>
    <row r="50" spans="1:7" x14ac:dyDescent="0.15">
      <c r="A50" s="4" t="s">
        <v>349</v>
      </c>
      <c r="B50" s="19">
        <v>88.266000000000005</v>
      </c>
      <c r="C50" s="45">
        <v>0.27858500000000003</v>
      </c>
      <c r="D50" s="19">
        <v>84.838999999999999</v>
      </c>
      <c r="E50" s="49">
        <v>0.27173000000000003</v>
      </c>
      <c r="F50" s="51">
        <v>82.33</v>
      </c>
      <c r="G50" s="49">
        <v>0.26616200000000001</v>
      </c>
    </row>
    <row r="51" spans="1:7" x14ac:dyDescent="0.15">
      <c r="A51" s="4" t="s">
        <v>350</v>
      </c>
      <c r="B51" s="19">
        <v>192.71600000000001</v>
      </c>
      <c r="C51" s="45">
        <v>0.60825099999999999</v>
      </c>
      <c r="D51" s="19">
        <v>222.81399999999999</v>
      </c>
      <c r="E51" s="49">
        <v>0.71364799999999995</v>
      </c>
      <c r="F51" s="51">
        <v>222.12899999999999</v>
      </c>
      <c r="G51" s="49">
        <v>0.71811499999999995</v>
      </c>
    </row>
    <row r="52" spans="1:7" x14ac:dyDescent="0.15">
      <c r="A52" s="4" t="s">
        <v>351</v>
      </c>
      <c r="B52" s="19">
        <v>286.73099999999999</v>
      </c>
      <c r="C52" s="45">
        <v>0.90498199999999995</v>
      </c>
      <c r="D52" s="19">
        <v>312.21800000000002</v>
      </c>
      <c r="E52" s="49">
        <v>1</v>
      </c>
      <c r="F52" s="51">
        <v>308.86900000000003</v>
      </c>
      <c r="G52" s="49">
        <v>0.99853499999999995</v>
      </c>
    </row>
    <row r="53" spans="1:7" ht="12" x14ac:dyDescent="0.15">
      <c r="A53" s="4" t="s">
        <v>352</v>
      </c>
      <c r="B53" s="19">
        <v>30.105</v>
      </c>
      <c r="C53" s="45">
        <v>9.5017000000000004E-2</v>
      </c>
      <c r="D53" s="19" t="s">
        <v>42</v>
      </c>
      <c r="E53" s="49" t="s">
        <v>42</v>
      </c>
      <c r="F53" s="51">
        <v>0.45300000000000001</v>
      </c>
      <c r="G53" s="49">
        <v>1.464E-3</v>
      </c>
    </row>
    <row r="54" spans="1:7" x14ac:dyDescent="0.15">
      <c r="A54" s="4" t="s">
        <v>353</v>
      </c>
      <c r="B54" s="19">
        <v>192.71600000000001</v>
      </c>
      <c r="C54" s="45">
        <v>0.60825099999999999</v>
      </c>
      <c r="D54" s="19">
        <v>222.81399999999999</v>
      </c>
      <c r="E54" s="49">
        <v>0.71364799999999995</v>
      </c>
      <c r="F54" s="51">
        <v>222.12899999999999</v>
      </c>
      <c r="G54" s="49">
        <v>0.71811499999999995</v>
      </c>
    </row>
    <row r="55" spans="1:7" x14ac:dyDescent="0.15">
      <c r="A55" s="4" t="s">
        <v>354</v>
      </c>
      <c r="B55" s="19">
        <v>118.371</v>
      </c>
      <c r="C55" s="45">
        <v>0.37360300000000002</v>
      </c>
      <c r="D55" s="19">
        <v>84.838999999999999</v>
      </c>
      <c r="E55" s="49">
        <v>0.27173000000000003</v>
      </c>
      <c r="F55" s="51">
        <v>82.33</v>
      </c>
      <c r="G55" s="49">
        <v>0.26616200000000001</v>
      </c>
    </row>
    <row r="56" spans="1:7" x14ac:dyDescent="0.15">
      <c r="A56" s="4"/>
      <c r="B56" s="4"/>
      <c r="C56" s="44"/>
      <c r="D56" s="4"/>
      <c r="F56" s="41"/>
    </row>
    <row r="57" spans="1:7" x14ac:dyDescent="0.15">
      <c r="A57" s="9" t="s">
        <v>355</v>
      </c>
      <c r="B57" s="4"/>
      <c r="C57" s="44"/>
      <c r="D57" s="4"/>
      <c r="F57" s="41"/>
    </row>
    <row r="58" spans="1:7" ht="12" x14ac:dyDescent="0.15">
      <c r="A58" s="4" t="s">
        <v>356</v>
      </c>
      <c r="B58" s="21">
        <v>19.853999000000002</v>
      </c>
      <c r="C58" s="15" t="s">
        <v>42</v>
      </c>
      <c r="D58" s="21">
        <v>2.7262680000000001</v>
      </c>
      <c r="E58" s="53" t="s">
        <v>42</v>
      </c>
      <c r="F58" s="40">
        <v>3.6532789999999999</v>
      </c>
      <c r="G58" s="53" t="s">
        <v>42</v>
      </c>
    </row>
    <row r="59" spans="1:7" ht="12" x14ac:dyDescent="0.15">
      <c r="A59" s="4" t="s">
        <v>357</v>
      </c>
      <c r="B59" s="21">
        <v>20.033891000000001</v>
      </c>
      <c r="C59" s="15" t="s">
        <v>42</v>
      </c>
      <c r="D59" s="21">
        <v>3.2565110000000002</v>
      </c>
      <c r="E59" s="53" t="s">
        <v>42</v>
      </c>
      <c r="F59" s="40">
        <v>4.7057330000000004</v>
      </c>
      <c r="G59" s="53" t="s">
        <v>42</v>
      </c>
    </row>
    <row r="60" spans="1:7" ht="12" x14ac:dyDescent="0.15">
      <c r="A60" s="4" t="s">
        <v>358</v>
      </c>
      <c r="B60" s="21">
        <v>20.033891000000001</v>
      </c>
      <c r="C60" s="15" t="s">
        <v>42</v>
      </c>
      <c r="D60" s="21">
        <v>3.2565110000000002</v>
      </c>
      <c r="E60" s="53" t="s">
        <v>42</v>
      </c>
      <c r="F60" s="40">
        <v>4.7057330000000004</v>
      </c>
      <c r="G60" s="53" t="s">
        <v>42</v>
      </c>
    </row>
    <row r="61" spans="1:7" ht="12" x14ac:dyDescent="0.15">
      <c r="A61" s="4" t="s">
        <v>359</v>
      </c>
      <c r="B61" s="21">
        <v>18.130319</v>
      </c>
      <c r="C61" s="15" t="s">
        <v>42</v>
      </c>
      <c r="D61" s="21">
        <v>3.2565110000000002</v>
      </c>
      <c r="E61" s="53" t="s">
        <v>42</v>
      </c>
      <c r="F61" s="40">
        <v>4.698842</v>
      </c>
      <c r="G61" s="53" t="s">
        <v>42</v>
      </c>
    </row>
    <row r="62" spans="1:7" ht="12" x14ac:dyDescent="0.15">
      <c r="A62" s="4" t="s">
        <v>360</v>
      </c>
      <c r="B62" s="21">
        <v>21.962019999999999</v>
      </c>
      <c r="C62" s="15" t="s">
        <v>42</v>
      </c>
      <c r="D62" s="21">
        <v>3.0392779999999999</v>
      </c>
      <c r="E62" s="53" t="s">
        <v>42</v>
      </c>
      <c r="F62" s="40">
        <v>3.9917050000000001</v>
      </c>
      <c r="G62" s="53" t="s">
        <v>42</v>
      </c>
    </row>
    <row r="63" spans="1:7" ht="12" x14ac:dyDescent="0.15">
      <c r="A63" s="4" t="s">
        <v>361</v>
      </c>
      <c r="B63" s="21">
        <v>22.161011999999999</v>
      </c>
      <c r="C63" s="15" t="s">
        <v>42</v>
      </c>
      <c r="D63" s="21">
        <v>3.6303990000000002</v>
      </c>
      <c r="E63" s="53" t="s">
        <v>42</v>
      </c>
      <c r="F63" s="40">
        <v>5.1416550000000001</v>
      </c>
      <c r="G63" s="53" t="s">
        <v>42</v>
      </c>
    </row>
    <row r="64" spans="1:7" ht="12" x14ac:dyDescent="0.15">
      <c r="A64" s="4" t="s">
        <v>362</v>
      </c>
      <c r="B64" s="21">
        <v>22.161011999999999</v>
      </c>
      <c r="C64" s="15" t="s">
        <v>42</v>
      </c>
      <c r="D64" s="21">
        <v>3.6303990000000002</v>
      </c>
      <c r="E64" s="53" t="s">
        <v>42</v>
      </c>
      <c r="F64" s="40">
        <v>5.1416550000000001</v>
      </c>
      <c r="G64" s="53" t="s">
        <v>42</v>
      </c>
    </row>
    <row r="65" spans="1:7" ht="12" x14ac:dyDescent="0.15">
      <c r="A65" s="4" t="s">
        <v>363</v>
      </c>
      <c r="B65" s="21">
        <v>20.055326000000001</v>
      </c>
      <c r="C65" s="15" t="s">
        <v>42</v>
      </c>
      <c r="D65" s="21">
        <v>3.6303990000000002</v>
      </c>
      <c r="E65" s="53" t="s">
        <v>42</v>
      </c>
      <c r="F65" s="40">
        <v>5.134125</v>
      </c>
      <c r="G65" s="53" t="s">
        <v>42</v>
      </c>
    </row>
    <row r="66" spans="1:7" x14ac:dyDescent="0.15">
      <c r="A66" s="4"/>
      <c r="B66" s="4"/>
      <c r="C66" s="44"/>
      <c r="D66" s="4"/>
      <c r="F66" s="41"/>
    </row>
    <row r="67" spans="1:7" x14ac:dyDescent="0.15">
      <c r="A67" s="9" t="s">
        <v>364</v>
      </c>
      <c r="B67" s="4"/>
      <c r="C67" s="44"/>
      <c r="D67" s="4"/>
      <c r="F67" s="41"/>
    </row>
    <row r="68" spans="1:7" ht="12" x14ac:dyDescent="0.15">
      <c r="A68" s="4" t="s">
        <v>136</v>
      </c>
      <c r="B68" s="27">
        <v>45002</v>
      </c>
      <c r="C68" s="45" t="s">
        <v>42</v>
      </c>
      <c r="D68" s="27">
        <v>45366</v>
      </c>
      <c r="E68" s="49" t="s">
        <v>42</v>
      </c>
      <c r="F68" s="54">
        <v>45366</v>
      </c>
      <c r="G68" s="49" t="s">
        <v>42</v>
      </c>
    </row>
    <row r="69" spans="1:7" ht="72" x14ac:dyDescent="0.15">
      <c r="A69" s="32" t="s">
        <v>60</v>
      </c>
      <c r="B69" s="11"/>
      <c r="C69" s="11"/>
      <c r="D69" s="11"/>
    </row>
  </sheetData>
  <mergeCells count="6">
    <mergeCell ref="B14:C14"/>
    <mergeCell ref="D14:E14"/>
    <mergeCell ref="F14:G14"/>
    <mergeCell ref="B25:C25"/>
    <mergeCell ref="D25:E25"/>
    <mergeCell ref="F25:G25"/>
  </mergeCells>
  <phoneticPr fontId="0" type="noConversion"/>
  <pageMargins left="0.2" right="0.2" top="0.5" bottom="0.5" header="0.5" footer="0.5"/>
  <pageSetup fitToWidth="0" fitToHeight="0"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C1187-657B-B148-B377-F1F346627020}">
  <sheetPr>
    <outlinePr summaryBelow="0" summaryRight="0"/>
    <pageSetUpPr autoPageBreaks="0"/>
  </sheetPr>
  <dimension ref="A5:IU36"/>
  <sheetViews>
    <sheetView workbookViewId="0"/>
  </sheetViews>
  <sheetFormatPr baseColWidth="10" defaultRowHeight="11" x14ac:dyDescent="0.15"/>
  <cols>
    <col min="1" max="1" width="20.83203125" customWidth="1"/>
    <col min="2" max="2" width="22.83203125" customWidth="1"/>
    <col min="3" max="3" width="15.83203125" customWidth="1"/>
    <col min="4" max="4" width="12.83203125" customWidth="1"/>
    <col min="5" max="5" width="19.83203125" customWidth="1"/>
    <col min="6" max="7" width="15.83203125" customWidth="1"/>
    <col min="8" max="8" width="10.83203125" customWidth="1"/>
    <col min="9" max="9" width="16.83203125" customWidth="1"/>
    <col min="10" max="10" width="7.83203125" customWidth="1"/>
    <col min="11" max="256" width="8.83203125" customWidth="1"/>
  </cols>
  <sheetData>
    <row r="5" spans="1:255" ht="17" x14ac:dyDescent="0.2">
      <c r="A5" s="1" t="s">
        <v>365</v>
      </c>
    </row>
    <row r="7" spans="1:255" ht="24" x14ac:dyDescent="0.15">
      <c r="A7" s="2" t="s">
        <v>366</v>
      </c>
      <c r="B7" s="3" t="s">
        <v>367</v>
      </c>
      <c r="C7" t="s">
        <v>68</v>
      </c>
      <c r="D7" s="4" t="s">
        <v>4</v>
      </c>
      <c r="E7" s="3" t="s">
        <v>368</v>
      </c>
      <c r="F7" t="s">
        <v>369</v>
      </c>
    </row>
    <row r="8" spans="1:255" x14ac:dyDescent="0.15">
      <c r="A8" s="4"/>
      <c r="B8" s="3" t="s">
        <v>370</v>
      </c>
      <c r="C8" t="s">
        <v>71</v>
      </c>
      <c r="D8" s="4" t="s">
        <v>4</v>
      </c>
      <c r="E8" s="3" t="s">
        <v>371</v>
      </c>
      <c r="F8" t="s">
        <v>6</v>
      </c>
    </row>
    <row r="9" spans="1:255" x14ac:dyDescent="0.15">
      <c r="A9" s="4"/>
      <c r="B9" s="3" t="s">
        <v>372</v>
      </c>
      <c r="C9" t="s">
        <v>10</v>
      </c>
      <c r="D9" s="4" t="s">
        <v>4</v>
      </c>
      <c r="E9" s="3" t="s">
        <v>373</v>
      </c>
      <c r="F9" s="5" t="s">
        <v>12</v>
      </c>
    </row>
    <row r="12" spans="1:255" x14ac:dyDescent="0.15">
      <c r="A12" s="6" t="s">
        <v>374</v>
      </c>
      <c r="B12" s="6"/>
      <c r="C12" s="6"/>
      <c r="D12" s="6"/>
      <c r="E12" s="6"/>
      <c r="F12" s="6"/>
      <c r="G12" s="6"/>
      <c r="H12" s="6"/>
      <c r="I12" s="6"/>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c r="EQ12" s="63"/>
      <c r="ER12" s="63"/>
      <c r="ES12" s="63"/>
      <c r="ET12" s="63"/>
      <c r="EU12" s="63"/>
      <c r="EV12" s="63"/>
      <c r="EW12" s="63"/>
      <c r="EX12" s="63"/>
      <c r="EY12" s="63"/>
      <c r="EZ12" s="63"/>
      <c r="FA12" s="63"/>
      <c r="FB12" s="63"/>
      <c r="FC12" s="63"/>
      <c r="FD12" s="63"/>
      <c r="FE12" s="63"/>
      <c r="FF12" s="63"/>
      <c r="FG12" s="63"/>
      <c r="FH12" s="63"/>
      <c r="FI12" s="63"/>
      <c r="FJ12" s="63"/>
      <c r="FK12" s="63"/>
      <c r="FL12" s="63"/>
      <c r="FM12" s="63"/>
      <c r="FN12" s="63"/>
      <c r="FO12" s="63"/>
      <c r="FP12" s="63"/>
      <c r="FQ12" s="63"/>
      <c r="FR12" s="63"/>
      <c r="FS12" s="63"/>
      <c r="FT12" s="63"/>
      <c r="FU12" s="63"/>
      <c r="FV12" s="63"/>
      <c r="FW12" s="63"/>
      <c r="FX12" s="63"/>
      <c r="FY12" s="63"/>
      <c r="FZ12" s="63"/>
      <c r="GA12" s="63"/>
      <c r="GB12" s="63"/>
      <c r="GC12" s="63"/>
      <c r="GD12" s="63"/>
      <c r="GE12" s="63"/>
      <c r="GF12" s="63"/>
      <c r="GG12" s="63"/>
      <c r="GH12" s="63"/>
      <c r="GI12" s="63"/>
      <c r="GJ12" s="63"/>
      <c r="GK12" s="63"/>
      <c r="GL12" s="63"/>
      <c r="GM12" s="63"/>
      <c r="GN12" s="63"/>
      <c r="GO12" s="63"/>
      <c r="GP12" s="63"/>
      <c r="GQ12" s="63"/>
      <c r="GR12" s="63"/>
      <c r="GS12" s="63"/>
      <c r="GT12" s="63"/>
      <c r="GU12" s="63"/>
      <c r="GV12" s="63"/>
      <c r="GW12" s="63"/>
      <c r="GX12" s="63"/>
      <c r="GY12" s="63"/>
      <c r="GZ12" s="63"/>
      <c r="HA12" s="63"/>
      <c r="HB12" s="63"/>
      <c r="HC12" s="63"/>
      <c r="HD12" s="63"/>
      <c r="HE12" s="63"/>
      <c r="HF12" s="63"/>
      <c r="HG12" s="63"/>
      <c r="HH12" s="63"/>
      <c r="HI12" s="63"/>
      <c r="HJ12" s="63"/>
      <c r="HK12" s="63"/>
      <c r="HL12" s="63"/>
      <c r="HM12" s="63"/>
      <c r="HN12" s="63"/>
      <c r="HO12" s="63"/>
      <c r="HP12" s="63"/>
      <c r="HQ12" s="63"/>
      <c r="HR12" s="63"/>
      <c r="HS12" s="63"/>
      <c r="HT12" s="63"/>
      <c r="HU12" s="63"/>
      <c r="HV12" s="63"/>
      <c r="HW12" s="63"/>
      <c r="HX12" s="63"/>
      <c r="HY12" s="63"/>
      <c r="HZ12" s="63"/>
      <c r="IA12" s="63"/>
      <c r="IB12" s="63"/>
      <c r="IC12" s="63"/>
      <c r="ID12" s="63"/>
      <c r="IE12" s="63"/>
      <c r="IF12" s="63"/>
      <c r="IG12" s="63"/>
      <c r="IH12" s="63"/>
      <c r="II12" s="63"/>
      <c r="IJ12" s="63"/>
      <c r="IK12" s="63"/>
      <c r="IL12" s="63"/>
      <c r="IM12" s="63"/>
      <c r="IN12" s="63"/>
      <c r="IO12" s="63"/>
      <c r="IP12" s="63"/>
      <c r="IQ12" s="63"/>
      <c r="IR12" s="63"/>
      <c r="IS12" s="63"/>
      <c r="IT12" s="63"/>
      <c r="IU12" s="63"/>
    </row>
    <row r="13" spans="1:255" ht="30" x14ac:dyDescent="0.3">
      <c r="A13" s="55" t="s">
        <v>375</v>
      </c>
      <c r="B13" s="55" t="s">
        <v>376</v>
      </c>
      <c r="C13" s="56" t="s">
        <v>377</v>
      </c>
      <c r="D13" s="56" t="s">
        <v>378</v>
      </c>
      <c r="E13" s="56" t="s">
        <v>379</v>
      </c>
      <c r="F13" s="56" t="s">
        <v>380</v>
      </c>
      <c r="G13" s="56" t="s">
        <v>381</v>
      </c>
      <c r="H13" s="56" t="s">
        <v>382</v>
      </c>
      <c r="I13" s="56" t="s">
        <v>383</v>
      </c>
      <c r="J13" s="56" t="s">
        <v>384</v>
      </c>
    </row>
    <row r="14" spans="1:255" ht="12" x14ac:dyDescent="0.15">
      <c r="A14" s="44" t="s">
        <v>385</v>
      </c>
      <c r="B14" s="44" t="s">
        <v>386</v>
      </c>
      <c r="C14" s="57">
        <v>83.3</v>
      </c>
      <c r="D14" s="58" t="s">
        <v>387</v>
      </c>
      <c r="E14" s="58" t="s">
        <v>125</v>
      </c>
      <c r="F14" s="59">
        <v>53783</v>
      </c>
      <c r="G14" s="58" t="s">
        <v>388</v>
      </c>
      <c r="H14" s="58" t="s">
        <v>389</v>
      </c>
      <c r="I14" s="58" t="s">
        <v>390</v>
      </c>
      <c r="J14" s="58" t="s">
        <v>23</v>
      </c>
    </row>
    <row r="15" spans="1:255" ht="12" x14ac:dyDescent="0.15">
      <c r="A15" s="44" t="s">
        <v>391</v>
      </c>
      <c r="B15" s="44" t="s">
        <v>386</v>
      </c>
      <c r="C15" s="57">
        <v>17.2</v>
      </c>
      <c r="D15" s="58" t="s">
        <v>392</v>
      </c>
      <c r="E15" s="58" t="s">
        <v>125</v>
      </c>
      <c r="F15" s="58">
        <v>2053</v>
      </c>
      <c r="G15" s="58" t="s">
        <v>388</v>
      </c>
      <c r="H15" s="58" t="s">
        <v>389</v>
      </c>
      <c r="I15" s="58" t="s">
        <v>390</v>
      </c>
      <c r="J15" s="58" t="s">
        <v>23</v>
      </c>
    </row>
    <row r="16" spans="1:255" ht="12" x14ac:dyDescent="0.15">
      <c r="A16" s="44" t="s">
        <v>393</v>
      </c>
      <c r="B16" s="44" t="s">
        <v>386</v>
      </c>
      <c r="C16" s="57">
        <v>36.5</v>
      </c>
      <c r="D16" s="58" t="s">
        <v>394</v>
      </c>
      <c r="E16" s="58" t="s">
        <v>125</v>
      </c>
      <c r="F16" s="58">
        <v>2053</v>
      </c>
      <c r="G16" s="58" t="s">
        <v>388</v>
      </c>
      <c r="H16" s="58" t="s">
        <v>389</v>
      </c>
      <c r="I16" s="58" t="s">
        <v>390</v>
      </c>
      <c r="J16" s="58" t="s">
        <v>23</v>
      </c>
    </row>
    <row r="17" spans="1:255" ht="12" x14ac:dyDescent="0.15">
      <c r="A17" s="44" t="s">
        <v>395</v>
      </c>
      <c r="B17" s="44" t="s">
        <v>396</v>
      </c>
      <c r="C17" s="57">
        <v>0.5</v>
      </c>
      <c r="D17" s="58" t="s">
        <v>125</v>
      </c>
      <c r="E17" s="58" t="s">
        <v>125</v>
      </c>
      <c r="F17" s="59">
        <v>45657</v>
      </c>
      <c r="G17" s="58" t="s">
        <v>388</v>
      </c>
      <c r="H17" s="58" t="s">
        <v>390</v>
      </c>
      <c r="I17" s="58" t="s">
        <v>390</v>
      </c>
      <c r="J17" s="58" t="s">
        <v>23</v>
      </c>
    </row>
    <row r="18" spans="1:255" ht="12" x14ac:dyDescent="0.15">
      <c r="A18" s="44" t="s">
        <v>397</v>
      </c>
      <c r="B18" s="44" t="s">
        <v>386</v>
      </c>
      <c r="C18" s="57">
        <v>85.1</v>
      </c>
      <c r="D18" s="58" t="s">
        <v>394</v>
      </c>
      <c r="E18" s="58" t="s">
        <v>125</v>
      </c>
      <c r="F18" s="58">
        <v>2053</v>
      </c>
      <c r="G18" s="58" t="s">
        <v>388</v>
      </c>
      <c r="H18" s="58" t="s">
        <v>389</v>
      </c>
      <c r="I18" s="58" t="s">
        <v>390</v>
      </c>
      <c r="J18" s="58" t="s">
        <v>23</v>
      </c>
    </row>
    <row r="19" spans="1:255" ht="12" x14ac:dyDescent="0.15">
      <c r="A19" s="44" t="s">
        <v>398</v>
      </c>
      <c r="B19" s="44" t="s">
        <v>399</v>
      </c>
      <c r="C19" s="57">
        <v>4.4000000000000004</v>
      </c>
      <c r="D19" s="58" t="s">
        <v>125</v>
      </c>
      <c r="E19" s="58" t="s">
        <v>125</v>
      </c>
      <c r="F19" s="58" t="s">
        <v>42</v>
      </c>
      <c r="G19" s="58" t="s">
        <v>388</v>
      </c>
      <c r="H19" s="58" t="s">
        <v>389</v>
      </c>
      <c r="I19" s="58" t="s">
        <v>390</v>
      </c>
      <c r="J19" s="58" t="s">
        <v>23</v>
      </c>
    </row>
    <row r="20" spans="1:255" ht="24" x14ac:dyDescent="0.15">
      <c r="A20" s="44" t="s">
        <v>400</v>
      </c>
      <c r="B20" s="44" t="s">
        <v>401</v>
      </c>
      <c r="C20" s="57">
        <v>6.4</v>
      </c>
      <c r="D20" s="58" t="s">
        <v>402</v>
      </c>
      <c r="E20" s="58" t="s">
        <v>125</v>
      </c>
      <c r="F20" s="59">
        <v>54058</v>
      </c>
      <c r="G20" s="58" t="s">
        <v>388</v>
      </c>
      <c r="H20" s="58" t="s">
        <v>389</v>
      </c>
      <c r="I20" s="58" t="s">
        <v>390</v>
      </c>
      <c r="J20" s="58" t="s">
        <v>23</v>
      </c>
    </row>
    <row r="21" spans="1:255" ht="24" x14ac:dyDescent="0.15">
      <c r="A21" s="44" t="s">
        <v>403</v>
      </c>
      <c r="B21" s="44" t="s">
        <v>401</v>
      </c>
      <c r="C21" s="57">
        <v>76</v>
      </c>
      <c r="D21" s="58" t="s">
        <v>404</v>
      </c>
      <c r="E21" s="58" t="s">
        <v>125</v>
      </c>
      <c r="F21" s="59">
        <v>53783</v>
      </c>
      <c r="G21" s="58" t="s">
        <v>388</v>
      </c>
      <c r="H21" s="58" t="s">
        <v>389</v>
      </c>
      <c r="I21" s="58" t="s">
        <v>390</v>
      </c>
      <c r="J21" s="58" t="s">
        <v>23</v>
      </c>
    </row>
    <row r="22" spans="1:255" x14ac:dyDescent="0.15">
      <c r="A22" s="43"/>
      <c r="B22" s="43"/>
      <c r="C22" s="43"/>
      <c r="D22" s="43"/>
      <c r="E22" s="43"/>
      <c r="F22" s="43"/>
      <c r="G22" s="43"/>
      <c r="H22" s="43"/>
      <c r="I22" s="43"/>
      <c r="J22" s="43"/>
    </row>
    <row r="26" spans="1:255" x14ac:dyDescent="0.15">
      <c r="A26" s="6" t="s">
        <v>405</v>
      </c>
      <c r="B26" s="6"/>
      <c r="C26" s="6"/>
      <c r="D26" s="6"/>
      <c r="E26" s="6"/>
      <c r="F26" s="6"/>
      <c r="G26" s="6"/>
      <c r="H26" s="6"/>
      <c r="I26" s="6"/>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c r="CY26" s="63"/>
      <c r="CZ26" s="63"/>
      <c r="DA26" s="63"/>
      <c r="DB26" s="63"/>
      <c r="DC26" s="63"/>
      <c r="DD26" s="63"/>
      <c r="DE26" s="63"/>
      <c r="DF26" s="63"/>
      <c r="DG26" s="63"/>
      <c r="DH26" s="63"/>
      <c r="DI26" s="63"/>
      <c r="DJ26" s="63"/>
      <c r="DK26" s="63"/>
      <c r="DL26" s="63"/>
      <c r="DM26" s="63"/>
      <c r="DN26" s="63"/>
      <c r="DO26" s="63"/>
      <c r="DP26" s="63"/>
      <c r="DQ26" s="63"/>
      <c r="DR26" s="63"/>
      <c r="DS26" s="63"/>
      <c r="DT26" s="63"/>
      <c r="DU26" s="63"/>
      <c r="DV26" s="63"/>
      <c r="DW26" s="63"/>
      <c r="DX26" s="63"/>
      <c r="DY26" s="63"/>
      <c r="DZ26" s="63"/>
      <c r="EA26" s="63"/>
      <c r="EB26" s="63"/>
      <c r="EC26" s="63"/>
      <c r="ED26" s="63"/>
      <c r="EE26" s="63"/>
      <c r="EF26" s="63"/>
      <c r="EG26" s="63"/>
      <c r="EH26" s="63"/>
      <c r="EI26" s="63"/>
      <c r="EJ26" s="63"/>
      <c r="EK26" s="63"/>
      <c r="EL26" s="63"/>
      <c r="EM26" s="63"/>
      <c r="EN26" s="63"/>
      <c r="EO26" s="63"/>
      <c r="EP26" s="63"/>
      <c r="EQ26" s="63"/>
      <c r="ER26" s="63"/>
      <c r="ES26" s="63"/>
      <c r="ET26" s="63"/>
      <c r="EU26" s="63"/>
      <c r="EV26" s="63"/>
      <c r="EW26" s="63"/>
      <c r="EX26" s="63"/>
      <c r="EY26" s="63"/>
      <c r="EZ26" s="63"/>
      <c r="FA26" s="63"/>
      <c r="FB26" s="63"/>
      <c r="FC26" s="63"/>
      <c r="FD26" s="63"/>
      <c r="FE26" s="63"/>
      <c r="FF26" s="63"/>
      <c r="FG26" s="63"/>
      <c r="FH26" s="63"/>
      <c r="FI26" s="63"/>
      <c r="FJ26" s="63"/>
      <c r="FK26" s="63"/>
      <c r="FL26" s="63"/>
      <c r="FM26" s="63"/>
      <c r="FN26" s="63"/>
      <c r="FO26" s="63"/>
      <c r="FP26" s="63"/>
      <c r="FQ26" s="63"/>
      <c r="FR26" s="63"/>
      <c r="FS26" s="63"/>
      <c r="FT26" s="63"/>
      <c r="FU26" s="63"/>
      <c r="FV26" s="63"/>
      <c r="FW26" s="63"/>
      <c r="FX26" s="63"/>
      <c r="FY26" s="63"/>
      <c r="FZ26" s="63"/>
      <c r="GA26" s="63"/>
      <c r="GB26" s="63"/>
      <c r="GC26" s="63"/>
      <c r="GD26" s="63"/>
      <c r="GE26" s="63"/>
      <c r="GF26" s="63"/>
      <c r="GG26" s="63"/>
      <c r="GH26" s="63"/>
      <c r="GI26" s="63"/>
      <c r="GJ26" s="63"/>
      <c r="GK26" s="63"/>
      <c r="GL26" s="63"/>
      <c r="GM26" s="63"/>
      <c r="GN26" s="63"/>
      <c r="GO26" s="63"/>
      <c r="GP26" s="63"/>
      <c r="GQ26" s="63"/>
      <c r="GR26" s="63"/>
      <c r="GS26" s="63"/>
      <c r="GT26" s="63"/>
      <c r="GU26" s="63"/>
      <c r="GV26" s="63"/>
      <c r="GW26" s="63"/>
      <c r="GX26" s="63"/>
      <c r="GY26" s="63"/>
      <c r="GZ26" s="63"/>
      <c r="HA26" s="63"/>
      <c r="HB26" s="63"/>
      <c r="HC26" s="63"/>
      <c r="HD26" s="63"/>
      <c r="HE26" s="63"/>
      <c r="HF26" s="63"/>
      <c r="HG26" s="63"/>
      <c r="HH26" s="63"/>
      <c r="HI26" s="63"/>
      <c r="HJ26" s="63"/>
      <c r="HK26" s="63"/>
      <c r="HL26" s="63"/>
      <c r="HM26" s="63"/>
      <c r="HN26" s="63"/>
      <c r="HO26" s="63"/>
      <c r="HP26" s="63"/>
      <c r="HQ26" s="63"/>
      <c r="HR26" s="63"/>
      <c r="HS26" s="63"/>
      <c r="HT26" s="63"/>
      <c r="HU26" s="63"/>
      <c r="HV26" s="63"/>
      <c r="HW26" s="63"/>
      <c r="HX26" s="63"/>
      <c r="HY26" s="63"/>
      <c r="HZ26" s="63"/>
      <c r="IA26" s="63"/>
      <c r="IB26" s="63"/>
      <c r="IC26" s="63"/>
      <c r="ID26" s="63"/>
      <c r="IE26" s="63"/>
      <c r="IF26" s="63"/>
      <c r="IG26" s="63"/>
      <c r="IH26" s="63"/>
      <c r="II26" s="63"/>
      <c r="IJ26" s="63"/>
      <c r="IK26" s="63"/>
      <c r="IL26" s="63"/>
      <c r="IM26" s="63"/>
      <c r="IN26" s="63"/>
      <c r="IO26" s="63"/>
      <c r="IP26" s="63"/>
      <c r="IQ26" s="63"/>
      <c r="IR26" s="63"/>
      <c r="IS26" s="63"/>
      <c r="IT26" s="63"/>
      <c r="IU26" s="63"/>
    </row>
    <row r="27" spans="1:255" ht="30" x14ac:dyDescent="0.3">
      <c r="A27" s="55" t="s">
        <v>375</v>
      </c>
      <c r="B27" s="55" t="s">
        <v>376</v>
      </c>
      <c r="C27" s="56" t="s">
        <v>377</v>
      </c>
      <c r="D27" s="56" t="s">
        <v>378</v>
      </c>
      <c r="E27" s="56" t="s">
        <v>379</v>
      </c>
      <c r="F27" s="56" t="s">
        <v>380</v>
      </c>
      <c r="G27" s="56" t="s">
        <v>381</v>
      </c>
      <c r="H27" s="56" t="s">
        <v>382</v>
      </c>
      <c r="I27" s="56" t="s">
        <v>383</v>
      </c>
      <c r="J27" s="56" t="s">
        <v>384</v>
      </c>
    </row>
    <row r="28" spans="1:255" ht="12" x14ac:dyDescent="0.15">
      <c r="A28" s="44" t="s">
        <v>385</v>
      </c>
      <c r="B28" s="44" t="s">
        <v>386</v>
      </c>
      <c r="C28" s="57">
        <v>83.2</v>
      </c>
      <c r="D28" s="58" t="s">
        <v>387</v>
      </c>
      <c r="E28" s="58" t="s">
        <v>125</v>
      </c>
      <c r="F28" s="59">
        <v>53783</v>
      </c>
      <c r="G28" s="58" t="s">
        <v>388</v>
      </c>
      <c r="H28" s="58" t="s">
        <v>389</v>
      </c>
      <c r="I28" s="58" t="s">
        <v>390</v>
      </c>
      <c r="J28" s="58" t="s">
        <v>23</v>
      </c>
    </row>
    <row r="29" spans="1:255" ht="12" x14ac:dyDescent="0.15">
      <c r="A29" s="44" t="s">
        <v>391</v>
      </c>
      <c r="B29" s="44" t="s">
        <v>386</v>
      </c>
      <c r="C29" s="57">
        <v>17.600000000000001</v>
      </c>
      <c r="D29" s="58" t="s">
        <v>392</v>
      </c>
      <c r="E29" s="58" t="s">
        <v>125</v>
      </c>
      <c r="F29" s="58">
        <v>2053</v>
      </c>
      <c r="G29" s="58" t="s">
        <v>388</v>
      </c>
      <c r="H29" s="58" t="s">
        <v>389</v>
      </c>
      <c r="I29" s="58" t="s">
        <v>390</v>
      </c>
      <c r="J29" s="58" t="s">
        <v>23</v>
      </c>
    </row>
    <row r="30" spans="1:255" ht="12" x14ac:dyDescent="0.15">
      <c r="A30" s="44" t="s">
        <v>393</v>
      </c>
      <c r="B30" s="44" t="s">
        <v>386</v>
      </c>
      <c r="C30" s="57">
        <v>37</v>
      </c>
      <c r="D30" s="58" t="s">
        <v>394</v>
      </c>
      <c r="E30" s="58" t="s">
        <v>125</v>
      </c>
      <c r="F30" s="58">
        <v>2053</v>
      </c>
      <c r="G30" s="58" t="s">
        <v>388</v>
      </c>
      <c r="H30" s="58" t="s">
        <v>389</v>
      </c>
      <c r="I30" s="58" t="s">
        <v>390</v>
      </c>
      <c r="J30" s="58" t="s">
        <v>23</v>
      </c>
    </row>
    <row r="31" spans="1:255" ht="12" x14ac:dyDescent="0.15">
      <c r="A31" s="44" t="s">
        <v>397</v>
      </c>
      <c r="B31" s="44" t="s">
        <v>386</v>
      </c>
      <c r="C31" s="57">
        <v>85</v>
      </c>
      <c r="D31" s="58" t="s">
        <v>394</v>
      </c>
      <c r="E31" s="58" t="s">
        <v>125</v>
      </c>
      <c r="F31" s="58">
        <v>2053</v>
      </c>
      <c r="G31" s="58" t="s">
        <v>388</v>
      </c>
      <c r="H31" s="58" t="s">
        <v>389</v>
      </c>
      <c r="I31" s="58" t="s">
        <v>390</v>
      </c>
      <c r="J31" s="58" t="s">
        <v>23</v>
      </c>
    </row>
    <row r="32" spans="1:255" ht="12" x14ac:dyDescent="0.15">
      <c r="A32" s="44" t="s">
        <v>398</v>
      </c>
      <c r="B32" s="44" t="s">
        <v>399</v>
      </c>
      <c r="C32" s="57">
        <v>4.5999999999999996</v>
      </c>
      <c r="D32" s="58" t="s">
        <v>125</v>
      </c>
      <c r="E32" s="58" t="s">
        <v>125</v>
      </c>
      <c r="F32" s="58" t="s">
        <v>42</v>
      </c>
      <c r="G32" s="58" t="s">
        <v>388</v>
      </c>
      <c r="H32" s="58" t="s">
        <v>389</v>
      </c>
      <c r="I32" s="58" t="s">
        <v>390</v>
      </c>
      <c r="J32" s="58" t="s">
        <v>23</v>
      </c>
    </row>
    <row r="33" spans="1:10" ht="24" x14ac:dyDescent="0.15">
      <c r="A33" s="44" t="s">
        <v>400</v>
      </c>
      <c r="B33" s="44" t="s">
        <v>401</v>
      </c>
      <c r="C33" s="57">
        <v>6.5</v>
      </c>
      <c r="D33" s="58" t="s">
        <v>402</v>
      </c>
      <c r="E33" s="58" t="s">
        <v>125</v>
      </c>
      <c r="F33" s="59">
        <v>54058</v>
      </c>
      <c r="G33" s="58" t="s">
        <v>388</v>
      </c>
      <c r="H33" s="58" t="s">
        <v>389</v>
      </c>
      <c r="I33" s="58" t="s">
        <v>390</v>
      </c>
      <c r="J33" s="58" t="s">
        <v>23</v>
      </c>
    </row>
    <row r="34" spans="1:10" ht="24" x14ac:dyDescent="0.15">
      <c r="A34" s="44" t="s">
        <v>403</v>
      </c>
      <c r="B34" s="44" t="s">
        <v>401</v>
      </c>
      <c r="C34" s="57">
        <v>78.3</v>
      </c>
      <c r="D34" s="58" t="s">
        <v>404</v>
      </c>
      <c r="E34" s="58" t="s">
        <v>125</v>
      </c>
      <c r="F34" s="59">
        <v>53783</v>
      </c>
      <c r="G34" s="58" t="s">
        <v>388</v>
      </c>
      <c r="H34" s="58" t="s">
        <v>389</v>
      </c>
      <c r="I34" s="58" t="s">
        <v>390</v>
      </c>
      <c r="J34" s="58" t="s">
        <v>23</v>
      </c>
    </row>
    <row r="35" spans="1:10" x14ac:dyDescent="0.15">
      <c r="A35" s="43"/>
      <c r="B35" s="43"/>
      <c r="C35" s="43"/>
      <c r="D35" s="43"/>
      <c r="E35" s="43"/>
      <c r="F35" s="43"/>
      <c r="G35" s="43"/>
      <c r="H35" s="43"/>
      <c r="I35" s="43"/>
      <c r="J35" s="43"/>
    </row>
    <row r="36" spans="1:10" x14ac:dyDescent="0.15">
      <c r="A36" s="22" t="s">
        <v>60</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ABC93-3241-B344-8147-90F0FEB9481C}">
  <sheetPr>
    <outlinePr summaryBelow="0" summaryRight="0"/>
    <pageSetUpPr autoPageBreaks="0"/>
  </sheetPr>
  <dimension ref="A5:IU161"/>
  <sheetViews>
    <sheetView workbookViewId="0"/>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406</v>
      </c>
    </row>
    <row r="7" spans="1:255" x14ac:dyDescent="0.15">
      <c r="A7" s="4"/>
      <c r="B7" s="3" t="s">
        <v>407</v>
      </c>
      <c r="C7" t="s">
        <v>66</v>
      </c>
      <c r="D7" s="4" t="s">
        <v>4</v>
      </c>
      <c r="E7" s="3" t="s">
        <v>408</v>
      </c>
      <c r="F7" t="s">
        <v>68</v>
      </c>
    </row>
    <row r="8" spans="1:255" x14ac:dyDescent="0.15">
      <c r="A8" s="4"/>
      <c r="B8" s="3" t="s">
        <v>409</v>
      </c>
      <c r="C8" t="s">
        <v>8</v>
      </c>
      <c r="D8" s="4" t="s">
        <v>4</v>
      </c>
      <c r="E8" s="3" t="s">
        <v>410</v>
      </c>
      <c r="F8" s="5" t="s">
        <v>12</v>
      </c>
    </row>
    <row r="9" spans="1:255" x14ac:dyDescent="0.15">
      <c r="A9" s="4"/>
      <c r="B9" s="3" t="s">
        <v>411</v>
      </c>
      <c r="C9" t="s">
        <v>76</v>
      </c>
      <c r="D9" s="4" t="s">
        <v>4</v>
      </c>
      <c r="E9" s="23"/>
      <c r="F9" s="23"/>
    </row>
    <row r="12" spans="1:255" x14ac:dyDescent="0.15">
      <c r="A12" s="6" t="s">
        <v>412</v>
      </c>
      <c r="B12" s="6"/>
      <c r="C12" s="6"/>
      <c r="D12" s="6"/>
      <c r="E12" s="6"/>
      <c r="F12" s="6"/>
      <c r="G12" s="6"/>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c r="EQ12" s="63"/>
      <c r="ER12" s="63"/>
      <c r="ES12" s="63"/>
      <c r="ET12" s="63"/>
      <c r="EU12" s="63"/>
      <c r="EV12" s="63"/>
      <c r="EW12" s="63"/>
      <c r="EX12" s="63"/>
      <c r="EY12" s="63"/>
      <c r="EZ12" s="63"/>
      <c r="FA12" s="63"/>
      <c r="FB12" s="63"/>
      <c r="FC12" s="63"/>
      <c r="FD12" s="63"/>
      <c r="FE12" s="63"/>
      <c r="FF12" s="63"/>
      <c r="FG12" s="63"/>
      <c r="FH12" s="63"/>
      <c r="FI12" s="63"/>
      <c r="FJ12" s="63"/>
      <c r="FK12" s="63"/>
      <c r="FL12" s="63"/>
      <c r="FM12" s="63"/>
      <c r="FN12" s="63"/>
      <c r="FO12" s="63"/>
      <c r="FP12" s="63"/>
      <c r="FQ12" s="63"/>
      <c r="FR12" s="63"/>
      <c r="FS12" s="63"/>
      <c r="FT12" s="63"/>
      <c r="FU12" s="63"/>
      <c r="FV12" s="63"/>
      <c r="FW12" s="63"/>
      <c r="FX12" s="63"/>
      <c r="FY12" s="63"/>
      <c r="FZ12" s="63"/>
      <c r="GA12" s="63"/>
      <c r="GB12" s="63"/>
      <c r="GC12" s="63"/>
      <c r="GD12" s="63"/>
      <c r="GE12" s="63"/>
      <c r="GF12" s="63"/>
      <c r="GG12" s="63"/>
      <c r="GH12" s="63"/>
      <c r="GI12" s="63"/>
      <c r="GJ12" s="63"/>
      <c r="GK12" s="63"/>
      <c r="GL12" s="63"/>
      <c r="GM12" s="63"/>
      <c r="GN12" s="63"/>
      <c r="GO12" s="63"/>
      <c r="GP12" s="63"/>
      <c r="GQ12" s="63"/>
      <c r="GR12" s="63"/>
      <c r="GS12" s="63"/>
      <c r="GT12" s="63"/>
      <c r="GU12" s="63"/>
      <c r="GV12" s="63"/>
      <c r="GW12" s="63"/>
      <c r="GX12" s="63"/>
      <c r="GY12" s="63"/>
      <c r="GZ12" s="63"/>
      <c r="HA12" s="63"/>
      <c r="HB12" s="63"/>
      <c r="HC12" s="63"/>
      <c r="HD12" s="63"/>
      <c r="HE12" s="63"/>
      <c r="HF12" s="63"/>
      <c r="HG12" s="63"/>
      <c r="HH12" s="63"/>
      <c r="HI12" s="63"/>
      <c r="HJ12" s="63"/>
      <c r="HK12" s="63"/>
      <c r="HL12" s="63"/>
      <c r="HM12" s="63"/>
      <c r="HN12" s="63"/>
      <c r="HO12" s="63"/>
      <c r="HP12" s="63"/>
      <c r="HQ12" s="63"/>
      <c r="HR12" s="63"/>
      <c r="HS12" s="63"/>
      <c r="HT12" s="63"/>
      <c r="HU12" s="63"/>
      <c r="HV12" s="63"/>
      <c r="HW12" s="63"/>
      <c r="HX12" s="63"/>
      <c r="HY12" s="63"/>
      <c r="HZ12" s="63"/>
      <c r="IA12" s="63"/>
      <c r="IB12" s="63"/>
      <c r="IC12" s="63"/>
      <c r="ID12" s="63"/>
      <c r="IE12" s="63"/>
      <c r="IF12" s="63"/>
      <c r="IG12" s="63"/>
      <c r="IH12" s="63"/>
      <c r="II12" s="63"/>
      <c r="IJ12" s="63"/>
      <c r="IK12" s="63"/>
      <c r="IL12" s="63"/>
      <c r="IM12" s="63"/>
      <c r="IN12" s="63"/>
      <c r="IO12" s="63"/>
      <c r="IP12" s="63"/>
      <c r="IQ12" s="63"/>
      <c r="IR12" s="63"/>
      <c r="IS12" s="63"/>
      <c r="IT12" s="63"/>
      <c r="IU12" s="63"/>
    </row>
    <row r="13" spans="1:255" ht="24" x14ac:dyDescent="0.15">
      <c r="A13" s="7" t="s">
        <v>16</v>
      </c>
      <c r="B13" s="12" t="s">
        <v>78</v>
      </c>
      <c r="C13" s="12" t="s">
        <v>79</v>
      </c>
      <c r="D13" s="12" t="s">
        <v>80</v>
      </c>
      <c r="E13" s="12" t="s">
        <v>232</v>
      </c>
      <c r="F13" s="12" t="s">
        <v>233</v>
      </c>
      <c r="G13" s="12" t="s">
        <v>83</v>
      </c>
    </row>
    <row r="14" spans="1:255" x14ac:dyDescent="0.15">
      <c r="A14" s="9" t="s">
        <v>413</v>
      </c>
      <c r="B14" s="4"/>
      <c r="C14" s="4"/>
      <c r="D14" s="4"/>
      <c r="E14" s="4"/>
      <c r="F14" s="4"/>
      <c r="G14" s="4"/>
    </row>
    <row r="15" spans="1:255" x14ac:dyDescent="0.15">
      <c r="A15" s="4" t="s">
        <v>414</v>
      </c>
      <c r="B15" s="60">
        <v>2.7687E-2</v>
      </c>
      <c r="C15" s="60">
        <v>2.9183000000000001E-2</v>
      </c>
      <c r="D15" s="60">
        <v>2.7483E-2</v>
      </c>
      <c r="E15" s="60">
        <v>6.3610000000000003E-3</v>
      </c>
      <c r="F15" s="60">
        <v>8.0803E-2</v>
      </c>
      <c r="G15" s="60">
        <v>4.5638999999999999E-2</v>
      </c>
    </row>
    <row r="16" spans="1:255" x14ac:dyDescent="0.15">
      <c r="A16" s="4" t="s">
        <v>415</v>
      </c>
      <c r="B16" s="60">
        <v>3.1144000000000002E-2</v>
      </c>
      <c r="C16" s="60">
        <v>3.2280999999999997E-2</v>
      </c>
      <c r="D16" s="60">
        <v>3.0547000000000001E-2</v>
      </c>
      <c r="E16" s="60">
        <v>7.1240000000000001E-3</v>
      </c>
      <c r="F16" s="60">
        <v>9.0431999999999998E-2</v>
      </c>
      <c r="G16" s="60">
        <v>5.1006999999999997E-2</v>
      </c>
    </row>
    <row r="17" spans="1:7" x14ac:dyDescent="0.15">
      <c r="A17" s="4" t="s">
        <v>416</v>
      </c>
      <c r="B17" s="60">
        <v>7.1582000000000007E-2</v>
      </c>
      <c r="C17" s="60">
        <v>5.3172999999999998E-2</v>
      </c>
      <c r="D17" s="60">
        <v>0.106986</v>
      </c>
      <c r="E17" s="60">
        <v>4.6435999999999998E-2</v>
      </c>
      <c r="F17" s="60">
        <v>0.30222100000000002</v>
      </c>
      <c r="G17" s="60">
        <v>9.8806000000000005E-2</v>
      </c>
    </row>
    <row r="18" spans="1:7" x14ac:dyDescent="0.15">
      <c r="A18" s="4" t="s">
        <v>417</v>
      </c>
      <c r="B18" s="60">
        <v>7.1582000000000007E-2</v>
      </c>
      <c r="C18" s="60">
        <v>5.3172999999999998E-2</v>
      </c>
      <c r="D18" s="60">
        <v>0.106986</v>
      </c>
      <c r="E18" s="60">
        <v>4.6435999999999998E-2</v>
      </c>
      <c r="F18" s="60">
        <v>0.30222100000000002</v>
      </c>
      <c r="G18" s="60">
        <v>9.8806000000000005E-2</v>
      </c>
    </row>
    <row r="19" spans="1:7" x14ac:dyDescent="0.15">
      <c r="A19" s="4"/>
      <c r="B19" s="4"/>
      <c r="C19" s="4"/>
      <c r="D19" s="4"/>
      <c r="E19" s="4"/>
      <c r="F19" s="4"/>
      <c r="G19" s="4"/>
    </row>
    <row r="20" spans="1:7" x14ac:dyDescent="0.15">
      <c r="A20" s="9" t="s">
        <v>418</v>
      </c>
      <c r="B20" s="4"/>
      <c r="C20" s="4"/>
      <c r="D20" s="4"/>
      <c r="E20" s="4"/>
      <c r="F20" s="4"/>
      <c r="G20" s="4"/>
    </row>
    <row r="21" spans="1:7" x14ac:dyDescent="0.15">
      <c r="A21" s="4" t="s">
        <v>419</v>
      </c>
      <c r="B21" s="60">
        <v>0.57502500000000001</v>
      </c>
      <c r="C21" s="60">
        <v>0.58715700000000004</v>
      </c>
      <c r="D21" s="60">
        <v>0.59048900000000004</v>
      </c>
      <c r="E21" s="60">
        <v>0.57464700000000002</v>
      </c>
      <c r="F21" s="60">
        <v>0.67619700000000005</v>
      </c>
      <c r="G21" s="60">
        <v>0.62086699999999995</v>
      </c>
    </row>
    <row r="22" spans="1:7" x14ac:dyDescent="0.15">
      <c r="A22" s="4" t="s">
        <v>420</v>
      </c>
      <c r="B22" s="60">
        <v>0.47591499999999998</v>
      </c>
      <c r="C22" s="60">
        <v>0.46252500000000002</v>
      </c>
      <c r="D22" s="60">
        <v>0.48979200000000001</v>
      </c>
      <c r="E22" s="60">
        <v>0.48499399999999998</v>
      </c>
      <c r="F22" s="60">
        <v>0.37350699999999998</v>
      </c>
      <c r="G22" s="60">
        <v>0.44076199999999999</v>
      </c>
    </row>
    <row r="23" spans="1:7" x14ac:dyDescent="0.15">
      <c r="A23" s="4" t="s">
        <v>421</v>
      </c>
      <c r="B23" s="60">
        <v>0.31127100000000002</v>
      </c>
      <c r="C23" s="60">
        <v>0.35695500000000002</v>
      </c>
      <c r="D23" s="60">
        <v>0.41924800000000001</v>
      </c>
      <c r="E23" s="60">
        <v>0.16712099999999999</v>
      </c>
      <c r="F23" s="60">
        <v>0.55534899999999998</v>
      </c>
      <c r="G23" s="60">
        <v>0.47078500000000001</v>
      </c>
    </row>
    <row r="24" spans="1:7" x14ac:dyDescent="0.15">
      <c r="A24" s="4" t="s">
        <v>422</v>
      </c>
      <c r="B24" s="60">
        <v>0.25010300000000002</v>
      </c>
      <c r="C24" s="60">
        <v>0.283916</v>
      </c>
      <c r="D24" s="60">
        <v>0.32203399999999999</v>
      </c>
      <c r="E24" s="60">
        <v>7.9200999999999994E-2</v>
      </c>
      <c r="F24" s="60">
        <v>0.50512900000000005</v>
      </c>
      <c r="G24" s="60">
        <v>0.39586300000000002</v>
      </c>
    </row>
    <row r="25" spans="1:7" x14ac:dyDescent="0.15">
      <c r="A25" s="4" t="s">
        <v>423</v>
      </c>
      <c r="B25" s="60">
        <v>0.241258</v>
      </c>
      <c r="C25" s="60">
        <v>0.27713700000000002</v>
      </c>
      <c r="D25" s="60">
        <v>0.31016500000000002</v>
      </c>
      <c r="E25" s="60">
        <v>6.6235000000000002E-2</v>
      </c>
      <c r="F25" s="60">
        <v>0.49353799999999998</v>
      </c>
      <c r="G25" s="60">
        <v>0.37583</v>
      </c>
    </row>
    <row r="26" spans="1:7" x14ac:dyDescent="0.15">
      <c r="A26" s="4" t="s">
        <v>424</v>
      </c>
      <c r="B26" s="60">
        <v>0.115066</v>
      </c>
      <c r="C26" s="60">
        <v>0.100622</v>
      </c>
      <c r="D26" s="60">
        <v>0.25823600000000002</v>
      </c>
      <c r="E26" s="60">
        <v>0.1116</v>
      </c>
      <c r="F26" s="60">
        <v>0.48025600000000002</v>
      </c>
      <c r="G26" s="60">
        <v>0.23508799999999999</v>
      </c>
    </row>
    <row r="27" spans="1:7" x14ac:dyDescent="0.15">
      <c r="A27" s="4" t="s">
        <v>425</v>
      </c>
      <c r="B27" s="60">
        <v>0.115066</v>
      </c>
      <c r="C27" s="60">
        <v>0.100622</v>
      </c>
      <c r="D27" s="60">
        <v>0.25823600000000002</v>
      </c>
      <c r="E27" s="60">
        <v>0.1116</v>
      </c>
      <c r="F27" s="60">
        <v>0.48025600000000002</v>
      </c>
      <c r="G27" s="60">
        <v>0.23508799999999999</v>
      </c>
    </row>
    <row r="28" spans="1:7" x14ac:dyDescent="0.15">
      <c r="A28" s="4" t="s">
        <v>426</v>
      </c>
      <c r="B28" s="60">
        <v>0.115066</v>
      </c>
      <c r="C28" s="60">
        <v>0.100622</v>
      </c>
      <c r="D28" s="60">
        <v>0.25823600000000002</v>
      </c>
      <c r="E28" s="60">
        <v>0.1116</v>
      </c>
      <c r="F28" s="60">
        <v>0.48025600000000002</v>
      </c>
      <c r="G28" s="60">
        <v>0.23508799999999999</v>
      </c>
    </row>
    <row r="29" spans="1:7" x14ac:dyDescent="0.15">
      <c r="A29" s="4" t="s">
        <v>427</v>
      </c>
      <c r="B29" s="60">
        <v>8.5971000000000006E-2</v>
      </c>
      <c r="C29" s="60">
        <v>0.111582</v>
      </c>
      <c r="D29" s="60">
        <v>0.13156200000000001</v>
      </c>
      <c r="E29" s="60">
        <v>-1.01E-3</v>
      </c>
      <c r="F29" s="60">
        <v>0.26361299999999999</v>
      </c>
      <c r="G29" s="60">
        <v>0.17824200000000001</v>
      </c>
    </row>
    <row r="30" spans="1:7" x14ac:dyDescent="0.15">
      <c r="A30" s="4" t="s">
        <v>428</v>
      </c>
      <c r="B30" s="60">
        <v>-8.5439999999999995E-3</v>
      </c>
      <c r="C30" s="60">
        <v>-8.8970000000000004E-3</v>
      </c>
      <c r="D30" s="60">
        <v>0.25772899999999999</v>
      </c>
      <c r="E30" s="60">
        <v>7.5400999999999996E-2</v>
      </c>
      <c r="F30" s="60">
        <v>0.15176100000000001</v>
      </c>
      <c r="G30" s="60">
        <v>0.15541199999999999</v>
      </c>
    </row>
    <row r="31" spans="1:7" x14ac:dyDescent="0.15">
      <c r="A31" s="4" t="s">
        <v>429</v>
      </c>
      <c r="B31" s="60">
        <v>5.5169999999999997E-2</v>
      </c>
      <c r="C31" s="60">
        <v>5.2865000000000002E-2</v>
      </c>
      <c r="D31" s="60">
        <v>0.31893899999999997</v>
      </c>
      <c r="E31" s="60">
        <v>0.116382</v>
      </c>
      <c r="F31" s="60">
        <v>0.19475600000000001</v>
      </c>
      <c r="G31" s="60">
        <v>0.21751100000000001</v>
      </c>
    </row>
    <row r="32" spans="1:7" x14ac:dyDescent="0.15">
      <c r="A32" s="4"/>
      <c r="B32" s="4"/>
      <c r="C32" s="4"/>
      <c r="D32" s="4"/>
      <c r="E32" s="4"/>
      <c r="F32" s="4"/>
      <c r="G32" s="4"/>
    </row>
    <row r="33" spans="1:7" x14ac:dyDescent="0.15">
      <c r="A33" s="9" t="s">
        <v>430</v>
      </c>
      <c r="B33" s="4"/>
      <c r="C33" s="4"/>
      <c r="D33" s="4"/>
      <c r="E33" s="4"/>
      <c r="F33" s="4"/>
      <c r="G33" s="4"/>
    </row>
    <row r="34" spans="1:7" x14ac:dyDescent="0.15">
      <c r="A34" s="4" t="s">
        <v>431</v>
      </c>
      <c r="B34" s="61">
        <v>0.18362300000000001</v>
      </c>
      <c r="C34" s="61">
        <v>0.16848399999999999</v>
      </c>
      <c r="D34" s="61">
        <v>0.14177500000000001</v>
      </c>
      <c r="E34" s="61">
        <v>0.15367400000000001</v>
      </c>
      <c r="F34" s="61">
        <v>0.26195499999999999</v>
      </c>
      <c r="G34" s="61">
        <v>0.194298</v>
      </c>
    </row>
    <row r="35" spans="1:7" x14ac:dyDescent="0.15">
      <c r="A35" s="4" t="s">
        <v>432</v>
      </c>
      <c r="B35" s="61">
        <v>0.188308</v>
      </c>
      <c r="C35" s="61">
        <v>0.17417299999999999</v>
      </c>
      <c r="D35" s="61">
        <v>0.148309</v>
      </c>
      <c r="E35" s="61">
        <v>0.160556</v>
      </c>
      <c r="F35" s="61">
        <v>0.28769899999999998</v>
      </c>
      <c r="G35" s="61">
        <v>0.22786699999999999</v>
      </c>
    </row>
    <row r="36" spans="1:7" x14ac:dyDescent="0.15">
      <c r="A36" s="4" t="s">
        <v>433</v>
      </c>
      <c r="B36" s="61">
        <v>23.516712999999999</v>
      </c>
      <c r="C36" s="61">
        <v>9.1291510000000002</v>
      </c>
      <c r="D36" s="61">
        <v>4.8276960000000004</v>
      </c>
      <c r="E36" s="61">
        <v>6.8598759999999999</v>
      </c>
      <c r="F36" s="61">
        <v>8.4060369999999995</v>
      </c>
      <c r="G36" s="61">
        <v>4.0849019999999996</v>
      </c>
    </row>
    <row r="37" spans="1:7" x14ac:dyDescent="0.15">
      <c r="A37" s="4" t="s">
        <v>434</v>
      </c>
      <c r="B37" s="61">
        <v>84.786653999999999</v>
      </c>
      <c r="C37" s="61">
        <v>88.675731999999996</v>
      </c>
      <c r="D37" s="61">
        <v>85.519137999999998</v>
      </c>
      <c r="E37" s="61">
        <v>125.00621099999999</v>
      </c>
      <c r="F37" s="61">
        <v>189.81663800000001</v>
      </c>
      <c r="G37" s="61">
        <v>151.46208799999999</v>
      </c>
    </row>
    <row r="38" spans="1:7" x14ac:dyDescent="0.15">
      <c r="A38" s="4"/>
      <c r="B38" s="4"/>
      <c r="C38" s="4"/>
      <c r="D38" s="4"/>
      <c r="E38" s="4"/>
      <c r="F38" s="4"/>
      <c r="G38" s="4"/>
    </row>
    <row r="39" spans="1:7" x14ac:dyDescent="0.15">
      <c r="A39" s="9" t="s">
        <v>435</v>
      </c>
      <c r="B39" s="4"/>
      <c r="C39" s="4"/>
      <c r="D39" s="4"/>
      <c r="E39" s="4"/>
      <c r="F39" s="4"/>
      <c r="G39" s="4"/>
    </row>
    <row r="40" spans="1:7" x14ac:dyDescent="0.15">
      <c r="A40" s="4" t="s">
        <v>436</v>
      </c>
      <c r="B40" s="61">
        <v>0.19025500000000001</v>
      </c>
      <c r="C40" s="61">
        <v>0.27519300000000002</v>
      </c>
      <c r="D40" s="61">
        <v>0.410362</v>
      </c>
      <c r="E40" s="61">
        <v>0.33924399999999999</v>
      </c>
      <c r="F40" s="61">
        <v>2.803696</v>
      </c>
      <c r="G40" s="61">
        <v>3.9641869999999999</v>
      </c>
    </row>
    <row r="41" spans="1:7" x14ac:dyDescent="0.15">
      <c r="A41" s="4" t="s">
        <v>437</v>
      </c>
      <c r="B41" s="61">
        <v>0.18406900000000001</v>
      </c>
      <c r="C41" s="61">
        <v>0.269372</v>
      </c>
      <c r="D41" s="61">
        <v>0.404752</v>
      </c>
      <c r="E41" s="61">
        <v>0.334115</v>
      </c>
      <c r="F41" s="61">
        <v>2.7935789999999998</v>
      </c>
      <c r="G41" s="61">
        <v>3.9502640000000002</v>
      </c>
    </row>
    <row r="42" spans="1:7" ht="12" x14ac:dyDescent="0.15">
      <c r="A42" s="4" t="s">
        <v>438</v>
      </c>
      <c r="B42" s="61" t="s">
        <v>439</v>
      </c>
      <c r="C42" s="61" t="s">
        <v>439</v>
      </c>
      <c r="D42" s="61">
        <v>0.16364799999999999</v>
      </c>
      <c r="E42" s="61">
        <v>0.20002600000000001</v>
      </c>
      <c r="F42" s="61">
        <v>0.56103800000000004</v>
      </c>
      <c r="G42" s="61" t="s">
        <v>439</v>
      </c>
    </row>
    <row r="43" spans="1:7" x14ac:dyDescent="0.15">
      <c r="A43" s="4" t="s">
        <v>440</v>
      </c>
      <c r="B43" s="17">
        <v>15.520530000000001</v>
      </c>
      <c r="C43" s="17">
        <v>39.981735</v>
      </c>
      <c r="D43" s="17">
        <v>75.812507999999994</v>
      </c>
      <c r="E43" s="17">
        <v>53.207875000000001</v>
      </c>
      <c r="F43" s="17">
        <v>43.421129999999998</v>
      </c>
      <c r="G43" s="17">
        <v>89.353094999999996</v>
      </c>
    </row>
    <row r="44" spans="1:7" x14ac:dyDescent="0.15">
      <c r="A44" s="4" t="s">
        <v>441</v>
      </c>
      <c r="B44" s="17">
        <v>4.3048099999999998</v>
      </c>
      <c r="C44" s="17">
        <v>4.1161050000000001</v>
      </c>
      <c r="D44" s="17">
        <v>4.2796380000000003</v>
      </c>
      <c r="E44" s="17">
        <v>2.919635</v>
      </c>
      <c r="F44" s="17">
        <v>1.92282</v>
      </c>
      <c r="G44" s="17">
        <v>2.4097300000000001</v>
      </c>
    </row>
    <row r="45" spans="1:7" x14ac:dyDescent="0.15">
      <c r="A45" s="4" t="s">
        <v>442</v>
      </c>
      <c r="B45" s="17">
        <v>60.843310000000002</v>
      </c>
      <c r="C45" s="17">
        <v>44.158794999999998</v>
      </c>
      <c r="D45" s="17">
        <v>35.001677999999998</v>
      </c>
      <c r="E45" s="17">
        <v>33.336179999999999</v>
      </c>
      <c r="F45" s="17">
        <v>35.741165000000002</v>
      </c>
      <c r="G45" s="17">
        <v>46.238565000000001</v>
      </c>
    </row>
    <row r="46" spans="1:7" x14ac:dyDescent="0.15">
      <c r="A46" s="4" t="s">
        <v>443</v>
      </c>
      <c r="B46" s="17">
        <v>-41</v>
      </c>
      <c r="C46" s="17">
        <v>-0.1</v>
      </c>
      <c r="D46" s="17">
        <v>45.090468000000001</v>
      </c>
      <c r="E46" s="17">
        <v>22.791329999999999</v>
      </c>
      <c r="F46" s="17">
        <v>9.6027850000000008</v>
      </c>
      <c r="G46" s="17">
        <v>45.524259999999998</v>
      </c>
    </row>
    <row r="47" spans="1:7" x14ac:dyDescent="0.15">
      <c r="A47" s="4"/>
      <c r="B47" s="4"/>
      <c r="C47" s="4"/>
      <c r="D47" s="4"/>
      <c r="E47" s="4"/>
      <c r="F47" s="4"/>
      <c r="G47" s="4"/>
    </row>
    <row r="48" spans="1:7" x14ac:dyDescent="0.15">
      <c r="A48" s="9" t="s">
        <v>444</v>
      </c>
      <c r="B48" s="4"/>
      <c r="C48" s="4"/>
      <c r="D48" s="4"/>
      <c r="E48" s="4"/>
      <c r="F48" s="4"/>
      <c r="G48" s="4"/>
    </row>
    <row r="49" spans="1:7" x14ac:dyDescent="0.15">
      <c r="A49" s="4" t="s">
        <v>445</v>
      </c>
      <c r="B49" s="60">
        <v>1.875675</v>
      </c>
      <c r="C49" s="60">
        <v>1.7972049999999999</v>
      </c>
      <c r="D49" s="60">
        <v>1.478091</v>
      </c>
      <c r="E49" s="60">
        <v>1.3604940000000001</v>
      </c>
      <c r="F49" s="60">
        <v>0.988676</v>
      </c>
      <c r="G49" s="60">
        <v>0.88727999999999996</v>
      </c>
    </row>
    <row r="50" spans="1:7" x14ac:dyDescent="0.15">
      <c r="A50" s="4" t="s">
        <v>446</v>
      </c>
      <c r="B50" s="60">
        <v>0.65225500000000003</v>
      </c>
      <c r="C50" s="60">
        <v>0.64249999999999996</v>
      </c>
      <c r="D50" s="60">
        <v>0.59646299999999997</v>
      </c>
      <c r="E50" s="60">
        <v>0.57635899999999995</v>
      </c>
      <c r="F50" s="60">
        <v>0.49715199999999998</v>
      </c>
      <c r="G50" s="60">
        <v>0.47013700000000003</v>
      </c>
    </row>
    <row r="51" spans="1:7" x14ac:dyDescent="0.15">
      <c r="A51" s="4" t="s">
        <v>447</v>
      </c>
      <c r="B51" s="60">
        <v>1.570568</v>
      </c>
      <c r="C51" s="60">
        <v>1.47929</v>
      </c>
      <c r="D51" s="60">
        <v>1.2993459999999999</v>
      </c>
      <c r="E51" s="60">
        <v>1.214515</v>
      </c>
      <c r="F51" s="60">
        <v>0.97426100000000004</v>
      </c>
      <c r="G51" s="60">
        <v>0.87609300000000001</v>
      </c>
    </row>
    <row r="52" spans="1:7" x14ac:dyDescent="0.15">
      <c r="A52" s="4" t="s">
        <v>448</v>
      </c>
      <c r="B52" s="60">
        <v>0.54615599999999997</v>
      </c>
      <c r="C52" s="60">
        <v>0.52884600000000004</v>
      </c>
      <c r="D52" s="60">
        <v>0.52433300000000005</v>
      </c>
      <c r="E52" s="60">
        <v>0.514517</v>
      </c>
      <c r="F52" s="60">
        <v>0.48990400000000001</v>
      </c>
      <c r="G52" s="60">
        <v>0.46420899999999998</v>
      </c>
    </row>
    <row r="53" spans="1:7" x14ac:dyDescent="0.15">
      <c r="A53" s="4" t="s">
        <v>449</v>
      </c>
      <c r="B53" s="60">
        <v>0.68819900000000001</v>
      </c>
      <c r="C53" s="60">
        <v>0.67420000000000002</v>
      </c>
      <c r="D53" s="60">
        <v>0.64157600000000004</v>
      </c>
      <c r="E53" s="60">
        <v>0.61965599999999998</v>
      </c>
      <c r="F53" s="60">
        <v>0.55256300000000003</v>
      </c>
      <c r="G53" s="60">
        <v>0.52337299999999998</v>
      </c>
    </row>
    <row r="54" spans="1:7" x14ac:dyDescent="0.15">
      <c r="A54" s="4"/>
      <c r="B54" s="4"/>
      <c r="C54" s="4"/>
      <c r="D54" s="4"/>
      <c r="E54" s="4"/>
      <c r="F54" s="4"/>
      <c r="G54" s="4"/>
    </row>
    <row r="55" spans="1:7" x14ac:dyDescent="0.15">
      <c r="A55" s="4" t="s">
        <v>450</v>
      </c>
      <c r="B55" s="61">
        <v>2.366571</v>
      </c>
      <c r="C55" s="61">
        <v>2.8044539999999998</v>
      </c>
      <c r="D55" s="61">
        <v>3.1670370000000001</v>
      </c>
      <c r="E55" s="61">
        <v>1.0101530000000001</v>
      </c>
      <c r="F55" s="61">
        <v>7.1744690000000002</v>
      </c>
      <c r="G55" s="61">
        <v>3.782527</v>
      </c>
    </row>
    <row r="56" spans="1:7" x14ac:dyDescent="0.15">
      <c r="A56" s="4" t="s">
        <v>451</v>
      </c>
      <c r="B56" s="61">
        <v>3.0533540000000001</v>
      </c>
      <c r="C56" s="61">
        <v>3.6121620000000001</v>
      </c>
      <c r="D56" s="61">
        <v>4.2808510000000002</v>
      </c>
      <c r="E56" s="61">
        <v>2.5487510000000002</v>
      </c>
      <c r="F56" s="61">
        <v>8.0730039999999992</v>
      </c>
      <c r="G56" s="61">
        <v>4.7381960000000003</v>
      </c>
    </row>
    <row r="57" spans="1:7" x14ac:dyDescent="0.15">
      <c r="A57" s="4" t="s">
        <v>452</v>
      </c>
      <c r="B57" s="61">
        <v>2.6873860000000001</v>
      </c>
      <c r="C57" s="61">
        <v>3.3573819999999999</v>
      </c>
      <c r="D57" s="61">
        <v>4.1307749999999999</v>
      </c>
      <c r="E57" s="61">
        <v>2.304109</v>
      </c>
      <c r="F57" s="61">
        <v>7.2415789999999998</v>
      </c>
      <c r="G57" s="61">
        <v>4.3364799999999999</v>
      </c>
    </row>
    <row r="58" spans="1:7" x14ac:dyDescent="0.15">
      <c r="A58" s="4" t="s">
        <v>453</v>
      </c>
      <c r="B58" s="61">
        <v>10.031497999999999</v>
      </c>
      <c r="C58" s="61">
        <v>9.7796109999999992</v>
      </c>
      <c r="D58" s="61">
        <v>8.9649970000000003</v>
      </c>
      <c r="E58" s="61">
        <v>20.033891000000001</v>
      </c>
      <c r="F58" s="61">
        <v>3.2565110000000002</v>
      </c>
      <c r="G58" s="61">
        <v>4.7057330000000004</v>
      </c>
    </row>
    <row r="59" spans="1:7" x14ac:dyDescent="0.15">
      <c r="A59" s="4" t="s">
        <v>454</v>
      </c>
      <c r="B59" s="61">
        <v>9.8565609999999992</v>
      </c>
      <c r="C59" s="61">
        <v>9.7383830000000007</v>
      </c>
      <c r="D59" s="61">
        <v>8.8866300000000003</v>
      </c>
      <c r="E59" s="61">
        <v>19.853999000000002</v>
      </c>
      <c r="F59" s="61">
        <v>2.7262680000000001</v>
      </c>
      <c r="G59" s="61">
        <v>3.6532789999999999</v>
      </c>
    </row>
    <row r="60" spans="1:7" x14ac:dyDescent="0.15">
      <c r="A60" s="4" t="s">
        <v>455</v>
      </c>
      <c r="B60" s="61">
        <v>11.397584</v>
      </c>
      <c r="C60" s="61">
        <v>10.521753</v>
      </c>
      <c r="D60" s="61">
        <v>9.2907060000000001</v>
      </c>
      <c r="E60" s="61">
        <v>22.161011999999999</v>
      </c>
      <c r="F60" s="61">
        <v>3.6303990000000002</v>
      </c>
      <c r="G60" s="61">
        <v>5.1416550000000001</v>
      </c>
    </row>
    <row r="61" spans="1:7" x14ac:dyDescent="0.15">
      <c r="A61" s="4" t="s">
        <v>456</v>
      </c>
      <c r="B61" s="61">
        <v>11.198824</v>
      </c>
      <c r="C61" s="61">
        <v>10.477395</v>
      </c>
      <c r="D61" s="61">
        <v>9.2094909999999999</v>
      </c>
      <c r="E61" s="61">
        <v>21.962019999999999</v>
      </c>
      <c r="F61" s="61">
        <v>3.0392779999999999</v>
      </c>
      <c r="G61" s="61">
        <v>3.9917050000000001</v>
      </c>
    </row>
    <row r="62" spans="1:7" x14ac:dyDescent="0.15">
      <c r="A62" s="4"/>
      <c r="B62" s="4"/>
      <c r="C62" s="4"/>
      <c r="D62" s="4"/>
      <c r="E62" s="4"/>
      <c r="F62" s="4"/>
      <c r="G62" s="4"/>
    </row>
    <row r="63" spans="1:7" x14ac:dyDescent="0.15">
      <c r="A63" s="4" t="s">
        <v>457</v>
      </c>
      <c r="B63" s="18">
        <v>0.43759300000000001</v>
      </c>
      <c r="C63" s="18">
        <v>0.48598200000000003</v>
      </c>
      <c r="D63" s="18">
        <v>0.50717900000000005</v>
      </c>
      <c r="E63" s="18">
        <v>0.46657100000000001</v>
      </c>
      <c r="F63" s="18">
        <v>1.2974600000000001</v>
      </c>
      <c r="G63" s="18">
        <v>1.199335</v>
      </c>
    </row>
    <row r="64" spans="1:7" x14ac:dyDescent="0.15">
      <c r="A64" s="4"/>
      <c r="B64" s="4"/>
      <c r="C64" s="4"/>
      <c r="D64" s="4"/>
      <c r="E64" s="4"/>
      <c r="F64" s="4"/>
      <c r="G64" s="4"/>
    </row>
    <row r="65" spans="1:7" x14ac:dyDescent="0.15">
      <c r="A65" s="9" t="s">
        <v>458</v>
      </c>
      <c r="B65" s="4"/>
      <c r="C65" s="4"/>
      <c r="D65" s="4"/>
      <c r="E65" s="4"/>
      <c r="F65" s="4"/>
      <c r="G65" s="4"/>
    </row>
    <row r="66" spans="1:7" x14ac:dyDescent="0.15">
      <c r="A66" s="4" t="s">
        <v>86</v>
      </c>
      <c r="B66" s="60">
        <v>0.18479799999999999</v>
      </c>
      <c r="C66" s="60">
        <v>-9.6374000000000001E-2</v>
      </c>
      <c r="D66" s="60">
        <v>-0.14979000000000001</v>
      </c>
      <c r="E66" s="60">
        <v>8.4084999999999993E-2</v>
      </c>
      <c r="F66" s="60">
        <v>0.82431900000000002</v>
      </c>
      <c r="G66" s="60">
        <v>-0.19123799999999999</v>
      </c>
    </row>
    <row r="67" spans="1:7" x14ac:dyDescent="0.15">
      <c r="A67" s="4" t="s">
        <v>88</v>
      </c>
      <c r="B67" s="60">
        <v>0.14632800000000001</v>
      </c>
      <c r="C67" s="60">
        <v>-7.7310000000000004E-2</v>
      </c>
      <c r="D67" s="60">
        <v>-0.14496400000000001</v>
      </c>
      <c r="E67" s="60">
        <v>5.5E-2</v>
      </c>
      <c r="F67" s="60">
        <v>1.1467080000000001</v>
      </c>
      <c r="G67" s="60">
        <v>-0.257415</v>
      </c>
    </row>
    <row r="68" spans="1:7" x14ac:dyDescent="0.15">
      <c r="A68" s="4" t="s">
        <v>459</v>
      </c>
      <c r="B68" s="60">
        <v>1.0858099999999999</v>
      </c>
      <c r="C68" s="60">
        <v>3.6248000000000002E-2</v>
      </c>
      <c r="D68" s="60">
        <v>-1.4189999999999999E-3</v>
      </c>
      <c r="E68" s="60">
        <v>-0.56786099999999995</v>
      </c>
      <c r="F68" s="60">
        <v>5.0622819999999997</v>
      </c>
      <c r="G68" s="60">
        <v>-0.31438899999999997</v>
      </c>
    </row>
    <row r="69" spans="1:7" x14ac:dyDescent="0.15">
      <c r="A69" s="4" t="s">
        <v>460</v>
      </c>
      <c r="B69" s="60">
        <v>1.1879420000000001</v>
      </c>
      <c r="C69" s="60">
        <v>2.5794000000000001E-2</v>
      </c>
      <c r="D69" s="60">
        <v>-3.5644000000000002E-2</v>
      </c>
      <c r="E69" s="60">
        <v>-0.733379</v>
      </c>
      <c r="F69" s="60">
        <v>10.63509</v>
      </c>
      <c r="G69" s="60">
        <v>-0.36618400000000001</v>
      </c>
    </row>
    <row r="70" spans="1:7" x14ac:dyDescent="0.15">
      <c r="A70" s="4" t="s">
        <v>461</v>
      </c>
      <c r="B70" s="60">
        <v>1.166442</v>
      </c>
      <c r="C70" s="60">
        <v>3.8011999999999997E-2</v>
      </c>
      <c r="D70" s="60">
        <v>-4.8465000000000001E-2</v>
      </c>
      <c r="E70" s="60">
        <v>-0.76849500000000004</v>
      </c>
      <c r="F70" s="60">
        <v>12.593489999999999</v>
      </c>
      <c r="G70" s="60">
        <v>-0.38412600000000002</v>
      </c>
    </row>
    <row r="71" spans="1:7" x14ac:dyDescent="0.15">
      <c r="A71" s="4" t="s">
        <v>106</v>
      </c>
      <c r="B71" s="60">
        <v>-6.8539000000000003E-2</v>
      </c>
      <c r="C71" s="60">
        <v>-0.20980599999999999</v>
      </c>
      <c r="D71" s="60">
        <v>1.1819759999999999</v>
      </c>
      <c r="E71" s="60">
        <v>-0.531497</v>
      </c>
      <c r="F71" s="60">
        <v>6.8506770000000001</v>
      </c>
      <c r="G71" s="60">
        <v>-0.60410600000000003</v>
      </c>
    </row>
    <row r="72" spans="1:7" x14ac:dyDescent="0.15">
      <c r="A72" s="4" t="s">
        <v>111</v>
      </c>
      <c r="B72" s="60">
        <v>-6.8539000000000003E-2</v>
      </c>
      <c r="C72" s="60">
        <v>-0.20980599999999999</v>
      </c>
      <c r="D72" s="60">
        <v>1.1819759999999999</v>
      </c>
      <c r="E72" s="60">
        <v>-0.531497</v>
      </c>
      <c r="F72" s="60">
        <v>6.8506770000000001</v>
      </c>
      <c r="G72" s="60">
        <v>-0.60410600000000003</v>
      </c>
    </row>
    <row r="73" spans="1:7" ht="12" x14ac:dyDescent="0.15">
      <c r="A73" s="4" t="s">
        <v>462</v>
      </c>
      <c r="B73" s="60" t="s">
        <v>439</v>
      </c>
      <c r="C73" s="60">
        <v>0.172819</v>
      </c>
      <c r="D73" s="60">
        <v>2.454E-3</v>
      </c>
      <c r="E73" s="60" t="s">
        <v>439</v>
      </c>
      <c r="F73" s="60" t="s">
        <v>439</v>
      </c>
      <c r="G73" s="60">
        <v>-0.453156</v>
      </c>
    </row>
    <row r="74" spans="1:7" x14ac:dyDescent="0.15">
      <c r="A74" s="4" t="s">
        <v>463</v>
      </c>
      <c r="B74" s="60">
        <v>-6.8456000000000003E-2</v>
      </c>
      <c r="C74" s="60">
        <v>-0.20984800000000001</v>
      </c>
      <c r="D74" s="60">
        <v>1.182744</v>
      </c>
      <c r="E74" s="60">
        <v>-0.531497</v>
      </c>
      <c r="F74" s="60">
        <v>6.8502130000000001</v>
      </c>
      <c r="G74" s="60">
        <v>-0.60408499999999998</v>
      </c>
    </row>
    <row r="75" spans="1:7" x14ac:dyDescent="0.15">
      <c r="A75" s="4"/>
      <c r="B75" s="4"/>
      <c r="C75" s="4"/>
      <c r="D75" s="4"/>
      <c r="E75" s="4"/>
      <c r="F75" s="4"/>
      <c r="G75" s="4"/>
    </row>
    <row r="76" spans="1:7" x14ac:dyDescent="0.15">
      <c r="A76" s="4" t="s">
        <v>464</v>
      </c>
      <c r="B76" s="60">
        <v>0.47451900000000002</v>
      </c>
      <c r="C76" s="60">
        <v>1.9063909999999999</v>
      </c>
      <c r="D76" s="60">
        <v>0.16092000000000001</v>
      </c>
      <c r="E76" s="60">
        <v>-0.57988499999999998</v>
      </c>
      <c r="F76" s="60">
        <v>3.032467</v>
      </c>
      <c r="G76" s="60">
        <v>7.7021000000000006E-2</v>
      </c>
    </row>
    <row r="77" spans="1:7" x14ac:dyDescent="0.15">
      <c r="A77" s="4" t="s">
        <v>465</v>
      </c>
      <c r="B77" s="60">
        <v>-0.236843</v>
      </c>
      <c r="C77" s="60">
        <v>-6.0852000000000003E-2</v>
      </c>
      <c r="D77" s="60">
        <v>-0.194385</v>
      </c>
      <c r="E77" s="60">
        <v>-0.27345900000000001</v>
      </c>
      <c r="F77" s="60">
        <v>0.173431</v>
      </c>
      <c r="G77" s="60">
        <v>0.19811300000000001</v>
      </c>
    </row>
    <row r="78" spans="1:7" x14ac:dyDescent="0.15">
      <c r="A78" s="4" t="s">
        <v>466</v>
      </c>
      <c r="B78" s="60">
        <v>-4.2988999999999999E-2</v>
      </c>
      <c r="C78" s="60">
        <v>-2.1919999999999999E-3</v>
      </c>
      <c r="D78" s="60">
        <v>-8.4099999999999995E-4</v>
      </c>
      <c r="E78" s="60">
        <v>3.6280000000000001E-3</v>
      </c>
      <c r="F78" s="60">
        <v>3.2513E-2</v>
      </c>
      <c r="G78" s="60">
        <v>1.0087E-2</v>
      </c>
    </row>
    <row r="79" spans="1:7" x14ac:dyDescent="0.15">
      <c r="A79" s="4" t="s">
        <v>467</v>
      </c>
      <c r="B79" s="60">
        <v>-3.8471999999999999E-2</v>
      </c>
      <c r="C79" s="60">
        <v>9.0360000000000006E-3</v>
      </c>
      <c r="D79" s="60">
        <v>1.1724E-2</v>
      </c>
      <c r="E79" s="60">
        <v>-1.1304E-2</v>
      </c>
      <c r="F79" s="60">
        <v>0.15268499999999999</v>
      </c>
      <c r="G79" s="60">
        <v>3.6332000000000003E-2</v>
      </c>
    </row>
    <row r="80" spans="1:7" x14ac:dyDescent="0.15">
      <c r="A80" s="4"/>
      <c r="B80" s="4"/>
      <c r="C80" s="4"/>
      <c r="D80" s="4"/>
      <c r="E80" s="4"/>
      <c r="F80" s="4"/>
      <c r="G80" s="4"/>
    </row>
    <row r="81" spans="1:7" x14ac:dyDescent="0.15">
      <c r="A81" s="4" t="s">
        <v>468</v>
      </c>
      <c r="B81" s="60">
        <v>7.1786000000000003E-2</v>
      </c>
      <c r="C81" s="60">
        <v>5.4646E-2</v>
      </c>
      <c r="D81" s="60">
        <v>0.102327</v>
      </c>
      <c r="E81" s="60">
        <v>4.8951000000000001E-2</v>
      </c>
      <c r="F81" s="60">
        <v>0.34398800000000002</v>
      </c>
      <c r="G81" s="60">
        <v>0.109445</v>
      </c>
    </row>
    <row r="82" spans="1:7" x14ac:dyDescent="0.15">
      <c r="A82" s="4" t="s">
        <v>469</v>
      </c>
      <c r="B82" s="60">
        <v>7.3891999999999999E-2</v>
      </c>
      <c r="C82" s="60">
        <v>5.4337000000000003E-2</v>
      </c>
      <c r="D82" s="60">
        <v>0.11303299999999999</v>
      </c>
      <c r="E82" s="60">
        <v>4.9163999999999999E-2</v>
      </c>
      <c r="F82" s="60">
        <v>0.35601899999999997</v>
      </c>
      <c r="G82" s="60">
        <v>0.10394100000000001</v>
      </c>
    </row>
    <row r="83" spans="1:7" ht="12" x14ac:dyDescent="0.15">
      <c r="A83" s="4" t="s">
        <v>241</v>
      </c>
      <c r="B83" s="60" t="s">
        <v>439</v>
      </c>
      <c r="C83" s="60" t="s">
        <v>439</v>
      </c>
      <c r="D83" s="60" t="s">
        <v>439</v>
      </c>
      <c r="E83" s="60">
        <v>-2.8674000000000002E-2</v>
      </c>
      <c r="F83" s="60">
        <v>0.66846399999999995</v>
      </c>
      <c r="G83" s="60" t="s">
        <v>439</v>
      </c>
    </row>
    <row r="84" spans="1:7" x14ac:dyDescent="0.15">
      <c r="A84" s="4" t="s">
        <v>470</v>
      </c>
      <c r="B84" s="60">
        <v>-0.87635300000000005</v>
      </c>
      <c r="C84" s="60">
        <v>-0.39018700000000001</v>
      </c>
      <c r="D84" s="60">
        <v>-0.50367600000000001</v>
      </c>
      <c r="E84" s="60">
        <v>0.18316399999999999</v>
      </c>
      <c r="F84" s="60">
        <v>5.5046109999999997</v>
      </c>
      <c r="G84" s="60">
        <v>-0.435589</v>
      </c>
    </row>
    <row r="85" spans="1:7" ht="12" x14ac:dyDescent="0.15">
      <c r="A85" s="4" t="s">
        <v>471</v>
      </c>
      <c r="B85" s="60" t="s">
        <v>439</v>
      </c>
      <c r="C85" s="60" t="s">
        <v>439</v>
      </c>
      <c r="D85" s="60" t="s">
        <v>439</v>
      </c>
      <c r="E85" s="60">
        <v>-0.68284100000000003</v>
      </c>
      <c r="F85" s="60">
        <v>2.6718459999999999</v>
      </c>
      <c r="G85" s="60">
        <v>-0.17178499999999999</v>
      </c>
    </row>
    <row r="86" spans="1:7" x14ac:dyDescent="0.15">
      <c r="A86" s="4" t="s">
        <v>472</v>
      </c>
      <c r="B86" s="60">
        <v>-0.44061899999999998</v>
      </c>
      <c r="C86" s="60">
        <v>-0.13412299999999999</v>
      </c>
      <c r="D86" s="60">
        <v>4.1293579999999999</v>
      </c>
      <c r="E86" s="60">
        <v>-0.60441299999999998</v>
      </c>
      <c r="F86" s="60">
        <v>2.0528439999999999</v>
      </c>
      <c r="G86" s="60">
        <v>-9.6740000000000007E-2</v>
      </c>
    </row>
    <row r="87" spans="1:7" ht="12" x14ac:dyDescent="0.15">
      <c r="A87" s="4" t="s">
        <v>473</v>
      </c>
      <c r="B87" s="16" t="s">
        <v>125</v>
      </c>
      <c r="C87" s="16" t="s">
        <v>125</v>
      </c>
      <c r="D87" s="16" t="s">
        <v>125</v>
      </c>
      <c r="E87" s="16" t="s">
        <v>125</v>
      </c>
      <c r="F87" s="16" t="s">
        <v>125</v>
      </c>
      <c r="G87" s="16" t="s">
        <v>125</v>
      </c>
    </row>
    <row r="88" spans="1:7" x14ac:dyDescent="0.15">
      <c r="A88" s="4"/>
      <c r="B88" s="4"/>
      <c r="C88" s="4"/>
      <c r="D88" s="4"/>
      <c r="E88" s="4"/>
      <c r="F88" s="4"/>
      <c r="G88" s="4"/>
    </row>
    <row r="89" spans="1:7" x14ac:dyDescent="0.15">
      <c r="A89" s="9" t="s">
        <v>474</v>
      </c>
      <c r="B89" s="4"/>
      <c r="C89" s="4"/>
      <c r="D89" s="4"/>
      <c r="E89" s="4"/>
      <c r="F89" s="4"/>
      <c r="G89" s="4"/>
    </row>
    <row r="90" spans="1:7" x14ac:dyDescent="0.15">
      <c r="A90" s="4" t="s">
        <v>86</v>
      </c>
      <c r="B90" s="60">
        <v>0.36274299999999998</v>
      </c>
      <c r="C90" s="60">
        <v>3.4705E-2</v>
      </c>
      <c r="D90" s="60">
        <v>-0.123488</v>
      </c>
      <c r="E90" s="60">
        <v>-3.9947000000000003E-2</v>
      </c>
      <c r="F90" s="60">
        <v>0.40631400000000001</v>
      </c>
      <c r="G90" s="60">
        <v>0.21467700000000001</v>
      </c>
    </row>
    <row r="91" spans="1:7" x14ac:dyDescent="0.15">
      <c r="A91" s="4" t="s">
        <v>88</v>
      </c>
      <c r="B91" s="60">
        <v>0.29858600000000002</v>
      </c>
      <c r="C91" s="60">
        <v>2.8448000000000001E-2</v>
      </c>
      <c r="D91" s="60">
        <v>-0.11178100000000001</v>
      </c>
      <c r="E91" s="60">
        <v>-5.0229999999999997E-2</v>
      </c>
      <c r="F91" s="60">
        <v>0.50491799999999998</v>
      </c>
      <c r="G91" s="60">
        <v>0.26258300000000001</v>
      </c>
    </row>
    <row r="92" spans="1:7" x14ac:dyDescent="0.15">
      <c r="A92" s="4" t="s">
        <v>459</v>
      </c>
      <c r="B92" s="60">
        <v>0.59282400000000002</v>
      </c>
      <c r="C92" s="60">
        <v>0.47017599999999998</v>
      </c>
      <c r="D92" s="60">
        <v>1.7239999999999998E-2</v>
      </c>
      <c r="E92" s="60">
        <v>-0.34309400000000001</v>
      </c>
      <c r="F92" s="60">
        <v>0.618564</v>
      </c>
      <c r="G92" s="60">
        <v>1.038718</v>
      </c>
    </row>
    <row r="93" spans="1:7" x14ac:dyDescent="0.15">
      <c r="A93" s="4" t="s">
        <v>460</v>
      </c>
      <c r="B93" s="60">
        <v>0.47440900000000003</v>
      </c>
      <c r="C93" s="60">
        <v>0.49812499999999998</v>
      </c>
      <c r="D93" s="60">
        <v>-5.3990000000000002E-3</v>
      </c>
      <c r="E93" s="60">
        <v>-0.49293199999999998</v>
      </c>
      <c r="F93" s="60">
        <v>0.761297</v>
      </c>
      <c r="G93" s="60">
        <v>1.715606</v>
      </c>
    </row>
    <row r="94" spans="1:7" x14ac:dyDescent="0.15">
      <c r="A94" s="4" t="s">
        <v>461</v>
      </c>
      <c r="B94" s="60">
        <v>0.45316899999999999</v>
      </c>
      <c r="C94" s="60">
        <v>0.49959799999999999</v>
      </c>
      <c r="D94" s="60">
        <v>-6.1659999999999996E-3</v>
      </c>
      <c r="E94" s="60">
        <v>-0.53065499999999999</v>
      </c>
      <c r="F94" s="60">
        <v>0.77396799999999999</v>
      </c>
      <c r="G94" s="60">
        <v>1.8934219999999999</v>
      </c>
    </row>
    <row r="95" spans="1:7" x14ac:dyDescent="0.15">
      <c r="A95" s="4" t="s">
        <v>106</v>
      </c>
      <c r="B95" s="60">
        <v>0.88846099999999995</v>
      </c>
      <c r="C95" s="60">
        <v>-0.14207500000000001</v>
      </c>
      <c r="D95" s="60">
        <v>0.31308200000000003</v>
      </c>
      <c r="E95" s="60">
        <v>1.107E-2</v>
      </c>
      <c r="F95" s="60">
        <v>0.91782900000000001</v>
      </c>
      <c r="G95" s="60">
        <v>0.76296299999999995</v>
      </c>
    </row>
    <row r="96" spans="1:7" x14ac:dyDescent="0.15">
      <c r="A96" s="4" t="s">
        <v>111</v>
      </c>
      <c r="B96" s="60">
        <v>0.88846099999999995</v>
      </c>
      <c r="C96" s="60">
        <v>-0.14207500000000001</v>
      </c>
      <c r="D96" s="60">
        <v>0.31308200000000003</v>
      </c>
      <c r="E96" s="60">
        <v>1.107E-2</v>
      </c>
      <c r="F96" s="60">
        <v>0.91782900000000001</v>
      </c>
      <c r="G96" s="60">
        <v>0.76296299999999995</v>
      </c>
    </row>
    <row r="97" spans="1:7" ht="12" x14ac:dyDescent="0.15">
      <c r="A97" s="4" t="s">
        <v>462</v>
      </c>
      <c r="B97" s="60">
        <v>7.9070210000000003</v>
      </c>
      <c r="C97" s="60" t="s">
        <v>439</v>
      </c>
      <c r="D97" s="60">
        <v>8.4296999999999997E-2</v>
      </c>
      <c r="E97" s="60" t="s">
        <v>439</v>
      </c>
      <c r="F97" s="60">
        <v>0.990672</v>
      </c>
      <c r="G97" s="60" t="s">
        <v>439</v>
      </c>
    </row>
    <row r="98" spans="1:7" x14ac:dyDescent="0.15">
      <c r="A98" s="4" t="s">
        <v>463</v>
      </c>
      <c r="B98" s="60">
        <v>0.88880000000000003</v>
      </c>
      <c r="C98" s="60">
        <v>-0.14205899999999999</v>
      </c>
      <c r="D98" s="60">
        <v>0.313278</v>
      </c>
      <c r="E98" s="60">
        <v>1.1247999999999999E-2</v>
      </c>
      <c r="F98" s="60">
        <v>0.91777200000000003</v>
      </c>
      <c r="G98" s="60">
        <v>0.76295800000000003</v>
      </c>
    </row>
    <row r="99" spans="1:7" x14ac:dyDescent="0.15">
      <c r="A99" s="4"/>
      <c r="B99" s="4"/>
      <c r="C99" s="4"/>
      <c r="D99" s="4"/>
      <c r="E99" s="4"/>
      <c r="F99" s="4"/>
      <c r="G99" s="4"/>
    </row>
    <row r="100" spans="1:7" x14ac:dyDescent="0.15">
      <c r="A100" s="4" t="s">
        <v>464</v>
      </c>
      <c r="B100" s="60">
        <v>0.55640000000000001</v>
      </c>
      <c r="C100" s="60">
        <v>1.070152</v>
      </c>
      <c r="D100" s="60">
        <v>0.83686899999999997</v>
      </c>
      <c r="E100" s="60">
        <v>-0.30163000000000001</v>
      </c>
      <c r="F100" s="60">
        <v>0.30157600000000001</v>
      </c>
      <c r="G100" s="60">
        <v>1.0839989999999999</v>
      </c>
    </row>
    <row r="101" spans="1:7" x14ac:dyDescent="0.15">
      <c r="A101" s="4" t="s">
        <v>465</v>
      </c>
      <c r="B101" s="60">
        <v>1.0020309999999999</v>
      </c>
      <c r="C101" s="60">
        <v>-0.15340799999999999</v>
      </c>
      <c r="D101" s="60">
        <v>-0.13017699999999999</v>
      </c>
      <c r="E101" s="60">
        <v>-0.23494200000000001</v>
      </c>
      <c r="F101" s="60">
        <v>-7.6665999999999998E-2</v>
      </c>
      <c r="G101" s="60">
        <v>0.18570800000000001</v>
      </c>
    </row>
    <row r="102" spans="1:7" x14ac:dyDescent="0.15">
      <c r="A102" s="4" t="s">
        <v>466</v>
      </c>
      <c r="B102" s="60">
        <v>0.10077700000000001</v>
      </c>
      <c r="C102" s="60">
        <v>-2.2803E-2</v>
      </c>
      <c r="D102" s="60">
        <v>-1.516E-3</v>
      </c>
      <c r="E102" s="60">
        <v>1.392E-3</v>
      </c>
      <c r="F102" s="60">
        <v>1.7968999999999999E-2</v>
      </c>
      <c r="G102" s="60">
        <v>2.1238E-2</v>
      </c>
    </row>
    <row r="103" spans="1:7" x14ac:dyDescent="0.15">
      <c r="A103" s="4" t="s">
        <v>467</v>
      </c>
      <c r="B103" s="60">
        <v>3.8046999999999997E-2</v>
      </c>
      <c r="C103" s="60">
        <v>-1.5004E-2</v>
      </c>
      <c r="D103" s="60">
        <v>1.038E-2</v>
      </c>
      <c r="E103" s="60">
        <v>1.44E-4</v>
      </c>
      <c r="F103" s="60">
        <v>6.7546999999999996E-2</v>
      </c>
      <c r="G103" s="60">
        <v>9.2962000000000003E-2</v>
      </c>
    </row>
    <row r="104" spans="1:7" x14ac:dyDescent="0.15">
      <c r="A104" s="4"/>
      <c r="B104" s="4"/>
      <c r="C104" s="4"/>
      <c r="D104" s="4"/>
      <c r="E104" s="4"/>
      <c r="F104" s="4"/>
      <c r="G104" s="4"/>
    </row>
    <row r="105" spans="1:7" x14ac:dyDescent="0.15">
      <c r="A105" s="4" t="s">
        <v>468</v>
      </c>
      <c r="B105" s="60">
        <v>7.8314999999999996E-2</v>
      </c>
      <c r="C105" s="60">
        <v>6.3182000000000002E-2</v>
      </c>
      <c r="D105" s="60">
        <v>7.8224000000000002E-2</v>
      </c>
      <c r="E105" s="60">
        <v>7.5308E-2</v>
      </c>
      <c r="F105" s="60">
        <v>0.18734100000000001</v>
      </c>
      <c r="G105" s="60">
        <v>0.22109799999999999</v>
      </c>
    </row>
    <row r="106" spans="1:7" x14ac:dyDescent="0.15">
      <c r="A106" s="4" t="s">
        <v>469</v>
      </c>
      <c r="B106" s="60">
        <v>8.0222000000000002E-2</v>
      </c>
      <c r="C106" s="60">
        <v>6.4070000000000002E-2</v>
      </c>
      <c r="D106" s="60">
        <v>8.3288000000000001E-2</v>
      </c>
      <c r="E106" s="60">
        <v>8.0627000000000004E-2</v>
      </c>
      <c r="F106" s="60">
        <v>0.19276399999999999</v>
      </c>
      <c r="G106" s="60">
        <v>0.22350600000000001</v>
      </c>
    </row>
    <row r="107" spans="1:7" ht="12" x14ac:dyDescent="0.15">
      <c r="A107" s="4" t="s">
        <v>241</v>
      </c>
      <c r="B107" s="60" t="s">
        <v>439</v>
      </c>
      <c r="C107" s="60" t="s">
        <v>439</v>
      </c>
      <c r="D107" s="60" t="s">
        <v>439</v>
      </c>
      <c r="E107" s="60" t="s">
        <v>439</v>
      </c>
      <c r="F107" s="60">
        <v>0.27303699999999997</v>
      </c>
      <c r="G107" s="60" t="s">
        <v>439</v>
      </c>
    </row>
    <row r="108" spans="1:7" x14ac:dyDescent="0.15">
      <c r="A108" s="4" t="s">
        <v>470</v>
      </c>
      <c r="B108" s="60">
        <v>-0.70438699999999999</v>
      </c>
      <c r="C108" s="60">
        <v>-0.72540800000000005</v>
      </c>
      <c r="D108" s="60">
        <v>-0.44985000000000003</v>
      </c>
      <c r="E108" s="60">
        <v>-0.23368800000000001</v>
      </c>
      <c r="F108" s="60">
        <v>1.7741709999999999</v>
      </c>
      <c r="G108" s="60">
        <v>0.91605800000000004</v>
      </c>
    </row>
    <row r="109" spans="1:7" ht="12" x14ac:dyDescent="0.15">
      <c r="A109" s="4" t="s">
        <v>471</v>
      </c>
      <c r="B109" s="60" t="s">
        <v>439</v>
      </c>
      <c r="C109" s="60" t="s">
        <v>439</v>
      </c>
      <c r="D109" s="60" t="s">
        <v>439</v>
      </c>
      <c r="E109" s="60" t="s">
        <v>439</v>
      </c>
      <c r="F109" s="60">
        <v>7.9147999999999996E-2</v>
      </c>
      <c r="G109" s="60">
        <v>0.743869</v>
      </c>
    </row>
    <row r="110" spans="1:7" ht="12" x14ac:dyDescent="0.15">
      <c r="A110" s="4" t="s">
        <v>472</v>
      </c>
      <c r="B110" s="60" t="s">
        <v>439</v>
      </c>
      <c r="C110" s="60">
        <v>-0.30404399999999998</v>
      </c>
      <c r="D110" s="60">
        <v>1.107461</v>
      </c>
      <c r="E110" s="60">
        <v>0.42446800000000001</v>
      </c>
      <c r="F110" s="60">
        <v>9.8938999999999999E-2</v>
      </c>
      <c r="G110" s="60">
        <v>0.66057600000000005</v>
      </c>
    </row>
    <row r="111" spans="1:7" ht="12" x14ac:dyDescent="0.15">
      <c r="A111" s="4" t="s">
        <v>473</v>
      </c>
      <c r="B111" s="16" t="s">
        <v>125</v>
      </c>
      <c r="C111" s="16" t="s">
        <v>125</v>
      </c>
      <c r="D111" s="16" t="s">
        <v>125</v>
      </c>
      <c r="E111" s="16" t="s">
        <v>125</v>
      </c>
      <c r="F111" s="16" t="s">
        <v>125</v>
      </c>
      <c r="G111" s="16" t="s">
        <v>125</v>
      </c>
    </row>
    <row r="112" spans="1:7" x14ac:dyDescent="0.15">
      <c r="A112" s="4"/>
      <c r="B112" s="4"/>
      <c r="C112" s="4"/>
      <c r="D112" s="4"/>
      <c r="E112" s="4"/>
      <c r="F112" s="4"/>
      <c r="G112" s="4"/>
    </row>
    <row r="113" spans="1:7" x14ac:dyDescent="0.15">
      <c r="A113" s="9" t="s">
        <v>475</v>
      </c>
      <c r="B113" s="4"/>
      <c r="C113" s="4"/>
      <c r="D113" s="4"/>
      <c r="E113" s="4"/>
      <c r="F113" s="4"/>
      <c r="G113" s="4"/>
    </row>
    <row r="114" spans="1:7" x14ac:dyDescent="0.15">
      <c r="A114" s="4" t="s">
        <v>86</v>
      </c>
      <c r="B114" s="60">
        <v>0.22640199999999999</v>
      </c>
      <c r="C114" s="60">
        <v>0.188335</v>
      </c>
      <c r="D114" s="60">
        <v>-3.0859999999999999E-2</v>
      </c>
      <c r="E114" s="60">
        <v>-5.9137000000000002E-2</v>
      </c>
      <c r="F114" s="60">
        <v>0.189133</v>
      </c>
      <c r="G114" s="60">
        <v>0.169486</v>
      </c>
    </row>
    <row r="115" spans="1:7" x14ac:dyDescent="0.15">
      <c r="A115" s="4" t="s">
        <v>88</v>
      </c>
      <c r="B115" s="60">
        <v>0.17694799999999999</v>
      </c>
      <c r="C115" s="60">
        <v>0.158775</v>
      </c>
      <c r="D115" s="60">
        <v>-3.2947999999999998E-2</v>
      </c>
      <c r="E115" s="60">
        <v>-5.9344000000000001E-2</v>
      </c>
      <c r="F115" s="60">
        <v>0.24643599999999999</v>
      </c>
      <c r="G115" s="60">
        <v>0.18920699999999999</v>
      </c>
    </row>
    <row r="116" spans="1:7" x14ac:dyDescent="0.15">
      <c r="A116" s="4" t="s">
        <v>459</v>
      </c>
      <c r="B116" s="60">
        <v>0.415767</v>
      </c>
      <c r="C116" s="60">
        <v>0.38017200000000001</v>
      </c>
      <c r="D116" s="60">
        <v>0.29233199999999998</v>
      </c>
      <c r="E116" s="60">
        <v>-0.23530100000000001</v>
      </c>
      <c r="F116" s="60">
        <v>0.37789</v>
      </c>
      <c r="G116" s="60">
        <v>0.21556800000000001</v>
      </c>
    </row>
    <row r="117" spans="1:7" x14ac:dyDescent="0.15">
      <c r="A117" s="4" t="s">
        <v>460</v>
      </c>
      <c r="B117" s="60">
        <v>0.400453</v>
      </c>
      <c r="C117" s="60">
        <v>0.30646800000000002</v>
      </c>
      <c r="D117" s="60">
        <v>0.29353400000000002</v>
      </c>
      <c r="E117" s="60">
        <v>-0.35869600000000001</v>
      </c>
      <c r="F117" s="60">
        <v>0.44090099999999999</v>
      </c>
      <c r="G117" s="60">
        <v>0.25278400000000001</v>
      </c>
    </row>
    <row r="118" spans="1:7" x14ac:dyDescent="0.15">
      <c r="A118" s="4" t="s">
        <v>461</v>
      </c>
      <c r="B118" s="60">
        <v>0.41390300000000002</v>
      </c>
      <c r="C118" s="60">
        <v>0.299008</v>
      </c>
      <c r="D118" s="60">
        <v>0.28861999999999999</v>
      </c>
      <c r="E118" s="60">
        <v>-0.38850099999999999</v>
      </c>
      <c r="F118" s="60">
        <v>0.441359</v>
      </c>
      <c r="G118" s="60">
        <v>0.24679400000000001</v>
      </c>
    </row>
    <row r="119" spans="1:7" x14ac:dyDescent="0.15">
      <c r="A119" s="4" t="s">
        <v>106</v>
      </c>
      <c r="B119" s="60">
        <v>0.12710199999999999</v>
      </c>
      <c r="C119" s="60">
        <v>0.41248299999999999</v>
      </c>
      <c r="D119" s="60">
        <v>0.17107</v>
      </c>
      <c r="E119" s="60">
        <v>-6.8680000000000005E-2</v>
      </c>
      <c r="F119" s="60">
        <v>1.002119</v>
      </c>
      <c r="G119" s="60">
        <v>0.13344300000000001</v>
      </c>
    </row>
    <row r="120" spans="1:7" x14ac:dyDescent="0.15">
      <c r="A120" s="4" t="s">
        <v>111</v>
      </c>
      <c r="B120" s="60">
        <v>0.12710199999999999</v>
      </c>
      <c r="C120" s="60">
        <v>0.41248299999999999</v>
      </c>
      <c r="D120" s="60">
        <v>0.17107</v>
      </c>
      <c r="E120" s="60">
        <v>-6.8680000000000005E-2</v>
      </c>
      <c r="F120" s="60">
        <v>1.002119</v>
      </c>
      <c r="G120" s="60">
        <v>0.13344300000000001</v>
      </c>
    </row>
    <row r="121" spans="1:7" ht="12" x14ac:dyDescent="0.15">
      <c r="A121" s="4" t="s">
        <v>462</v>
      </c>
      <c r="B121" s="60" t="s">
        <v>439</v>
      </c>
      <c r="C121" s="60">
        <v>3.5313970000000001</v>
      </c>
      <c r="D121" s="60" t="s">
        <v>439</v>
      </c>
      <c r="E121" s="60" t="s">
        <v>439</v>
      </c>
      <c r="F121" s="60">
        <v>0.58375500000000002</v>
      </c>
      <c r="G121" s="60">
        <v>0.29405999999999999</v>
      </c>
    </row>
    <row r="122" spans="1:7" x14ac:dyDescent="0.15">
      <c r="A122" s="4" t="s">
        <v>463</v>
      </c>
      <c r="B122" s="60">
        <v>0.12706200000000001</v>
      </c>
      <c r="C122" s="60">
        <v>0.41262700000000002</v>
      </c>
      <c r="D122" s="60">
        <v>0.17122200000000001</v>
      </c>
      <c r="E122" s="60">
        <v>-6.8587999999999996E-2</v>
      </c>
      <c r="F122" s="60">
        <v>1.0023139999999999</v>
      </c>
      <c r="G122" s="60">
        <v>0.133441</v>
      </c>
    </row>
    <row r="123" spans="1:7" x14ac:dyDescent="0.15">
      <c r="A123" s="4"/>
      <c r="B123" s="4"/>
      <c r="C123" s="4"/>
      <c r="D123" s="4"/>
      <c r="E123" s="4"/>
      <c r="F123" s="4"/>
      <c r="G123" s="4"/>
    </row>
    <row r="124" spans="1:7" x14ac:dyDescent="0.15">
      <c r="A124" s="4" t="s">
        <v>464</v>
      </c>
      <c r="B124" s="60">
        <v>0.38892399999999999</v>
      </c>
      <c r="C124" s="60">
        <v>0.91660299999999995</v>
      </c>
      <c r="D124" s="60">
        <v>0.70713999999999999</v>
      </c>
      <c r="E124" s="60">
        <v>0.123332</v>
      </c>
      <c r="F124" s="60">
        <v>0.25289299999999998</v>
      </c>
      <c r="G124" s="60">
        <v>0.22195300000000001</v>
      </c>
    </row>
    <row r="125" spans="1:7" x14ac:dyDescent="0.15">
      <c r="A125" s="4" t="s">
        <v>465</v>
      </c>
      <c r="B125" s="60">
        <v>0.78282700000000005</v>
      </c>
      <c r="C125" s="60">
        <v>0.55557900000000005</v>
      </c>
      <c r="D125" s="60">
        <v>-0.167293</v>
      </c>
      <c r="E125" s="60">
        <v>-0.18082999999999999</v>
      </c>
      <c r="F125" s="60">
        <v>-0.117702</v>
      </c>
      <c r="G125" s="60">
        <v>7.0980000000000001E-3</v>
      </c>
    </row>
    <row r="126" spans="1:7" x14ac:dyDescent="0.15">
      <c r="A126" s="4" t="s">
        <v>466</v>
      </c>
      <c r="B126" s="60">
        <v>5.5350999999999997E-2</v>
      </c>
      <c r="C126" s="60">
        <v>6.5323999999999993E-2</v>
      </c>
      <c r="D126" s="60">
        <v>-1.5535999999999999E-2</v>
      </c>
      <c r="E126" s="60">
        <v>1.9599999999999999E-4</v>
      </c>
      <c r="F126" s="60">
        <v>1.166E-2</v>
      </c>
      <c r="G126" s="60">
        <v>1.5335E-2</v>
      </c>
    </row>
    <row r="127" spans="1:7" x14ac:dyDescent="0.15">
      <c r="A127" s="4" t="s">
        <v>467</v>
      </c>
      <c r="B127" s="60">
        <v>6.0797999999999998E-2</v>
      </c>
      <c r="C127" s="60">
        <v>2.8285000000000001E-2</v>
      </c>
      <c r="D127" s="60">
        <v>-6.1739999999999998E-3</v>
      </c>
      <c r="E127" s="60">
        <v>3.0999999999999999E-3</v>
      </c>
      <c r="F127" s="60">
        <v>4.8606000000000003E-2</v>
      </c>
      <c r="G127" s="60">
        <v>5.7038999999999999E-2</v>
      </c>
    </row>
    <row r="128" spans="1:7" x14ac:dyDescent="0.15">
      <c r="A128" s="4"/>
      <c r="B128" s="4"/>
      <c r="C128" s="4"/>
      <c r="D128" s="4"/>
      <c r="E128" s="4"/>
      <c r="F128" s="4"/>
      <c r="G128" s="4"/>
    </row>
    <row r="129" spans="1:7" x14ac:dyDescent="0.15">
      <c r="A129" s="4" t="s">
        <v>468</v>
      </c>
      <c r="B129" s="60">
        <v>5.8609000000000001E-2</v>
      </c>
      <c r="C129" s="60">
        <v>7.0366999999999999E-2</v>
      </c>
      <c r="D129" s="60">
        <v>7.6074000000000003E-2</v>
      </c>
      <c r="E129" s="60">
        <v>6.8376999999999993E-2</v>
      </c>
      <c r="F129" s="60">
        <v>0.158299</v>
      </c>
      <c r="G129" s="60">
        <v>0.16078600000000001</v>
      </c>
    </row>
    <row r="130" spans="1:7" x14ac:dyDescent="0.15">
      <c r="A130" s="4" t="s">
        <v>469</v>
      </c>
      <c r="B130" s="60">
        <v>6.0849E-2</v>
      </c>
      <c r="C130" s="60">
        <v>7.1524000000000004E-2</v>
      </c>
      <c r="D130" s="60">
        <v>8.0146999999999996E-2</v>
      </c>
      <c r="E130" s="60">
        <v>7.1791999999999995E-2</v>
      </c>
      <c r="F130" s="60">
        <v>0.165572</v>
      </c>
      <c r="G130" s="60">
        <v>0.16239000000000001</v>
      </c>
    </row>
    <row r="131" spans="1:7" ht="12" x14ac:dyDescent="0.15">
      <c r="A131" s="4" t="s">
        <v>241</v>
      </c>
      <c r="B131" s="60" t="s">
        <v>439</v>
      </c>
      <c r="C131" s="60" t="s">
        <v>439</v>
      </c>
      <c r="D131" s="60">
        <v>-0.148364</v>
      </c>
      <c r="E131" s="60" t="s">
        <v>439</v>
      </c>
      <c r="F131" s="60" t="s">
        <v>439</v>
      </c>
      <c r="G131" s="60" t="s">
        <v>439</v>
      </c>
    </row>
    <row r="132" spans="1:7" x14ac:dyDescent="0.15">
      <c r="A132" s="4" t="s">
        <v>470</v>
      </c>
      <c r="B132" s="60">
        <v>0.55748399999999998</v>
      </c>
      <c r="C132" s="60">
        <v>-0.62368800000000002</v>
      </c>
      <c r="D132" s="60">
        <v>-0.66551300000000002</v>
      </c>
      <c r="E132" s="60">
        <v>-0.28987299999999999</v>
      </c>
      <c r="F132" s="60">
        <v>0.56318699999999999</v>
      </c>
      <c r="G132" s="60">
        <v>0.63162700000000005</v>
      </c>
    </row>
    <row r="133" spans="1:7" ht="12" x14ac:dyDescent="0.15">
      <c r="A133" s="4" t="s">
        <v>471</v>
      </c>
      <c r="B133" s="60" t="s">
        <v>439</v>
      </c>
      <c r="C133" s="60" t="s">
        <v>439</v>
      </c>
      <c r="D133" s="60">
        <v>1.0882609999999999</v>
      </c>
      <c r="E133" s="60" t="s">
        <v>439</v>
      </c>
      <c r="F133" s="60" t="s">
        <v>439</v>
      </c>
      <c r="G133" s="60">
        <v>-1.1974E-2</v>
      </c>
    </row>
    <row r="134" spans="1:7" ht="12" x14ac:dyDescent="0.15">
      <c r="A134" s="4" t="s">
        <v>472</v>
      </c>
      <c r="B134" s="60">
        <v>-0.164379</v>
      </c>
      <c r="C134" s="60" t="s">
        <v>439</v>
      </c>
      <c r="D134" s="60">
        <v>0.35438599999999998</v>
      </c>
      <c r="E134" s="60">
        <v>0.20666599999999999</v>
      </c>
      <c r="F134" s="60">
        <v>0.83655299999999999</v>
      </c>
      <c r="G134" s="60">
        <v>2.9406000000000002E-2</v>
      </c>
    </row>
    <row r="135" spans="1:7" ht="12" x14ac:dyDescent="0.15">
      <c r="A135" s="4" t="s">
        <v>473</v>
      </c>
      <c r="B135" s="16" t="s">
        <v>125</v>
      </c>
      <c r="C135" s="16" t="s">
        <v>125</v>
      </c>
      <c r="D135" s="16" t="s">
        <v>125</v>
      </c>
      <c r="E135" s="16" t="s">
        <v>125</v>
      </c>
      <c r="F135" s="16" t="s">
        <v>125</v>
      </c>
      <c r="G135" s="16" t="s">
        <v>125</v>
      </c>
    </row>
    <row r="136" spans="1:7" x14ac:dyDescent="0.15">
      <c r="A136" s="4"/>
      <c r="B136" s="4"/>
      <c r="C136" s="4"/>
      <c r="D136" s="4"/>
      <c r="E136" s="4"/>
      <c r="F136" s="4"/>
      <c r="G136" s="4"/>
    </row>
    <row r="137" spans="1:7" x14ac:dyDescent="0.15">
      <c r="A137" s="9" t="s">
        <v>476</v>
      </c>
      <c r="B137" s="4"/>
      <c r="C137" s="4"/>
      <c r="D137" s="4"/>
      <c r="E137" s="4"/>
      <c r="F137" s="4"/>
      <c r="G137" s="4"/>
    </row>
    <row r="138" spans="1:7" x14ac:dyDescent="0.15">
      <c r="A138" s="4" t="s">
        <v>86</v>
      </c>
      <c r="B138" s="60">
        <v>0.116887</v>
      </c>
      <c r="C138" s="60">
        <v>0.1158</v>
      </c>
      <c r="D138" s="60">
        <v>7.2218000000000004E-2</v>
      </c>
      <c r="E138" s="60">
        <v>9.1142000000000001E-2</v>
      </c>
      <c r="F138" s="60">
        <v>0.124773</v>
      </c>
      <c r="G138" s="60">
        <v>4.2077999999999997E-2</v>
      </c>
    </row>
    <row r="139" spans="1:7" x14ac:dyDescent="0.15">
      <c r="A139" s="4" t="s">
        <v>88</v>
      </c>
      <c r="B139" s="60">
        <v>8.6462999999999998E-2</v>
      </c>
      <c r="C139" s="60">
        <v>9.3491000000000005E-2</v>
      </c>
      <c r="D139" s="60">
        <v>5.1629000000000001E-2</v>
      </c>
      <c r="E139" s="60">
        <v>7.0155999999999996E-2</v>
      </c>
      <c r="F139" s="60">
        <v>0.15418399999999999</v>
      </c>
      <c r="G139" s="60">
        <v>5.8187000000000003E-2</v>
      </c>
    </row>
    <row r="140" spans="1:7" x14ac:dyDescent="0.15">
      <c r="A140" s="4" t="s">
        <v>459</v>
      </c>
      <c r="B140" s="60">
        <v>0.12853200000000001</v>
      </c>
      <c r="C140" s="60">
        <v>0.23750099999999999</v>
      </c>
      <c r="D140" s="60">
        <v>0.24040800000000001</v>
      </c>
      <c r="E140" s="60">
        <v>2.5559999999999999E-2</v>
      </c>
      <c r="F140" s="60">
        <v>0.41408800000000001</v>
      </c>
      <c r="G140" s="60">
        <v>0.13197500000000001</v>
      </c>
    </row>
    <row r="141" spans="1:7" x14ac:dyDescent="0.15">
      <c r="A141" s="4" t="s">
        <v>460</v>
      </c>
      <c r="B141" s="60">
        <v>0.11330900000000001</v>
      </c>
      <c r="C141" s="60">
        <v>0.23347699999999999</v>
      </c>
      <c r="D141" s="60">
        <v>0.22129499999999999</v>
      </c>
      <c r="E141" s="60">
        <v>-0.105283</v>
      </c>
      <c r="F141" s="60">
        <v>0.46352399999999999</v>
      </c>
      <c r="G141" s="60">
        <v>0.142314</v>
      </c>
    </row>
    <row r="142" spans="1:7" x14ac:dyDescent="0.15">
      <c r="A142" s="4" t="s">
        <v>461</v>
      </c>
      <c r="B142" s="60">
        <v>0.120451</v>
      </c>
      <c r="C142" s="60">
        <v>0.25136700000000001</v>
      </c>
      <c r="D142" s="60">
        <v>0.22794</v>
      </c>
      <c r="E142" s="60">
        <v>-0.13550200000000001</v>
      </c>
      <c r="F142" s="60">
        <v>0.46437800000000001</v>
      </c>
      <c r="G142" s="60">
        <v>0.138682</v>
      </c>
    </row>
    <row r="143" spans="1:7" ht="12" x14ac:dyDescent="0.15">
      <c r="A143" s="4" t="s">
        <v>106</v>
      </c>
      <c r="B143" s="60">
        <v>1.4309590000000001</v>
      </c>
      <c r="C143" s="60" t="s">
        <v>439</v>
      </c>
      <c r="D143" s="60">
        <v>0.198105</v>
      </c>
      <c r="E143" s="60">
        <v>0.23566999999999999</v>
      </c>
      <c r="F143" s="60">
        <v>0.426506</v>
      </c>
      <c r="G143" s="60">
        <v>0.20214399999999999</v>
      </c>
    </row>
    <row r="144" spans="1:7" ht="12" x14ac:dyDescent="0.15">
      <c r="A144" s="4" t="s">
        <v>111</v>
      </c>
      <c r="B144" s="60">
        <v>1.4309590000000001</v>
      </c>
      <c r="C144" s="60" t="s">
        <v>439</v>
      </c>
      <c r="D144" s="60">
        <v>0.198105</v>
      </c>
      <c r="E144" s="60">
        <v>0.23566999999999999</v>
      </c>
      <c r="F144" s="60">
        <v>0.426506</v>
      </c>
      <c r="G144" s="60">
        <v>0.20214399999999999</v>
      </c>
    </row>
    <row r="145" spans="1:7" ht="12" x14ac:dyDescent="0.15">
      <c r="A145" s="4" t="s">
        <v>462</v>
      </c>
      <c r="B145" s="60">
        <v>0.43304700000000002</v>
      </c>
      <c r="C145" s="60" t="s">
        <v>439</v>
      </c>
      <c r="D145" s="60" t="s">
        <v>439</v>
      </c>
      <c r="E145" s="60" t="s">
        <v>439</v>
      </c>
      <c r="F145" s="60" t="s">
        <v>439</v>
      </c>
      <c r="G145" s="60">
        <v>0.205679</v>
      </c>
    </row>
    <row r="146" spans="1:7" ht="12" x14ac:dyDescent="0.15">
      <c r="A146" s="4" t="s">
        <v>463</v>
      </c>
      <c r="B146" s="60">
        <v>1.430034</v>
      </c>
      <c r="C146" s="60" t="s">
        <v>439</v>
      </c>
      <c r="D146" s="60">
        <v>0.19814999999999999</v>
      </c>
      <c r="E146" s="60">
        <v>0.23583200000000001</v>
      </c>
      <c r="F146" s="60">
        <v>0.42659999999999998</v>
      </c>
      <c r="G146" s="60">
        <v>0.202214</v>
      </c>
    </row>
    <row r="147" spans="1:7" x14ac:dyDescent="0.15">
      <c r="A147" s="4"/>
      <c r="B147" s="4"/>
      <c r="C147" s="4"/>
      <c r="D147" s="4"/>
      <c r="E147" s="4"/>
      <c r="F147" s="4"/>
      <c r="G147" s="4"/>
    </row>
    <row r="148" spans="1:7" x14ac:dyDescent="0.15">
      <c r="A148" s="4" t="s">
        <v>464</v>
      </c>
      <c r="B148" s="60">
        <v>0.273204</v>
      </c>
      <c r="C148" s="60">
        <v>0.28251300000000001</v>
      </c>
      <c r="D148" s="60">
        <v>0.55323900000000004</v>
      </c>
      <c r="E148" s="60">
        <v>0.27983400000000003</v>
      </c>
      <c r="F148" s="60">
        <v>0.53161400000000003</v>
      </c>
      <c r="G148" s="60">
        <v>0.43834800000000002</v>
      </c>
    </row>
    <row r="149" spans="1:7" x14ac:dyDescent="0.15">
      <c r="A149" s="4" t="s">
        <v>465</v>
      </c>
      <c r="B149" s="60">
        <v>0.244723</v>
      </c>
      <c r="C149" s="60">
        <v>0.21760699999999999</v>
      </c>
      <c r="D149" s="60">
        <v>0.33794400000000002</v>
      </c>
      <c r="E149" s="60">
        <v>0.171151</v>
      </c>
      <c r="F149" s="60">
        <v>-0.132162</v>
      </c>
      <c r="G149" s="60">
        <v>-5.0236000000000003E-2</v>
      </c>
    </row>
    <row r="150" spans="1:7" x14ac:dyDescent="0.15">
      <c r="A150" s="4" t="s">
        <v>466</v>
      </c>
      <c r="B150" s="60">
        <v>3.3091000000000002E-2</v>
      </c>
      <c r="C150" s="60">
        <v>3.2157999999999999E-2</v>
      </c>
      <c r="D150" s="60">
        <v>3.2225999999999998E-2</v>
      </c>
      <c r="E150" s="60">
        <v>3.9275999999999998E-2</v>
      </c>
      <c r="F150" s="60">
        <v>-2.2690000000000002E-3</v>
      </c>
      <c r="G150" s="60">
        <v>8.5599999999999999E-3</v>
      </c>
    </row>
    <row r="151" spans="1:7" x14ac:dyDescent="0.15">
      <c r="A151" s="4" t="s">
        <v>467</v>
      </c>
      <c r="B151" s="60">
        <v>3.3799000000000003E-2</v>
      </c>
      <c r="C151" s="60">
        <v>3.6296000000000002E-2</v>
      </c>
      <c r="D151" s="60">
        <v>4.0335999999999997E-2</v>
      </c>
      <c r="E151" s="60">
        <v>1.6934999999999999E-2</v>
      </c>
      <c r="F151" s="60">
        <v>2.2682999999999998E-2</v>
      </c>
      <c r="G151" s="60">
        <v>3.8122000000000003E-2</v>
      </c>
    </row>
    <row r="152" spans="1:7" x14ac:dyDescent="0.15">
      <c r="A152" s="4"/>
      <c r="B152" s="4"/>
      <c r="C152" s="4"/>
      <c r="D152" s="4"/>
      <c r="E152" s="4"/>
      <c r="F152" s="4"/>
      <c r="G152" s="4"/>
    </row>
    <row r="153" spans="1:7" x14ac:dyDescent="0.15">
      <c r="A153" s="4" t="s">
        <v>468</v>
      </c>
      <c r="B153" s="60">
        <v>3.8730000000000001E-2</v>
      </c>
      <c r="C153" s="60">
        <v>5.9255000000000002E-2</v>
      </c>
      <c r="D153" s="60">
        <v>6.6411999999999999E-2</v>
      </c>
      <c r="E153" s="60">
        <v>7.2341000000000003E-2</v>
      </c>
      <c r="F153" s="60">
        <v>0.119272</v>
      </c>
      <c r="G153" s="60">
        <v>0.127029</v>
      </c>
    </row>
    <row r="154" spans="1:7" x14ac:dyDescent="0.15">
      <c r="A154" s="4" t="s">
        <v>469</v>
      </c>
      <c r="B154" s="60">
        <v>3.8226000000000003E-2</v>
      </c>
      <c r="C154" s="60">
        <v>5.9604999999999998E-2</v>
      </c>
      <c r="D154" s="60">
        <v>6.9767999999999997E-2</v>
      </c>
      <c r="E154" s="60">
        <v>7.5156000000000001E-2</v>
      </c>
      <c r="F154" s="60">
        <v>0.123858</v>
      </c>
      <c r="G154" s="60">
        <v>0.130079</v>
      </c>
    </row>
    <row r="155" spans="1:7" ht="12" x14ac:dyDescent="0.15">
      <c r="A155" s="4" t="s">
        <v>241</v>
      </c>
      <c r="B155" s="60" t="s">
        <v>439</v>
      </c>
      <c r="C155" s="60" t="s">
        <v>439</v>
      </c>
      <c r="D155" s="60">
        <v>0.38566400000000001</v>
      </c>
      <c r="E155" s="60">
        <v>-0.27328999999999998</v>
      </c>
      <c r="F155" s="60">
        <v>2.04E-4</v>
      </c>
      <c r="G155" s="60" t="s">
        <v>439</v>
      </c>
    </row>
    <row r="156" spans="1:7" x14ac:dyDescent="0.15">
      <c r="A156" s="4" t="s">
        <v>470</v>
      </c>
      <c r="B156" s="60">
        <v>0.24875</v>
      </c>
      <c r="C156" s="60">
        <v>6.4070000000000002E-2</v>
      </c>
      <c r="D156" s="60">
        <v>2.7179999999999999E-2</v>
      </c>
      <c r="E156" s="60">
        <v>-0.49986199999999997</v>
      </c>
      <c r="F156" s="60">
        <v>-0.22037999999999999</v>
      </c>
      <c r="G156" s="60">
        <v>5.6245999999999997E-2</v>
      </c>
    </row>
    <row r="157" spans="1:7" ht="12" x14ac:dyDescent="0.15">
      <c r="A157" s="4" t="s">
        <v>471</v>
      </c>
      <c r="B157" s="60" t="s">
        <v>439</v>
      </c>
      <c r="C157" s="60" t="s">
        <v>439</v>
      </c>
      <c r="D157" s="60">
        <v>0.54160600000000003</v>
      </c>
      <c r="E157" s="60" t="s">
        <v>439</v>
      </c>
      <c r="F157" s="60">
        <v>0.60362700000000002</v>
      </c>
      <c r="G157" s="60" t="s">
        <v>439</v>
      </c>
    </row>
    <row r="158" spans="1:7" ht="12" x14ac:dyDescent="0.15">
      <c r="A158" s="4" t="s">
        <v>472</v>
      </c>
      <c r="B158" s="60">
        <v>-8.2455000000000001E-2</v>
      </c>
      <c r="C158" s="60">
        <v>-1.6435000000000002E-2</v>
      </c>
      <c r="D158" s="60">
        <v>0.209788</v>
      </c>
      <c r="E158" s="60" t="s">
        <v>439</v>
      </c>
      <c r="F158" s="60">
        <v>0.24576200000000001</v>
      </c>
      <c r="G158" s="60">
        <v>0.371058</v>
      </c>
    </row>
    <row r="159" spans="1:7" ht="12" x14ac:dyDescent="0.15">
      <c r="A159" s="4" t="s">
        <v>473</v>
      </c>
      <c r="B159" s="16" t="s">
        <v>125</v>
      </c>
      <c r="C159" s="16" t="s">
        <v>125</v>
      </c>
      <c r="D159" s="16" t="s">
        <v>125</v>
      </c>
      <c r="E159" s="16" t="s">
        <v>125</v>
      </c>
      <c r="F159" s="16" t="s">
        <v>125</v>
      </c>
      <c r="G159" s="16" t="s">
        <v>125</v>
      </c>
    </row>
    <row r="160" spans="1:7" x14ac:dyDescent="0.15">
      <c r="A160" s="4"/>
      <c r="B160" s="4"/>
      <c r="C160" s="4"/>
      <c r="D160" s="4"/>
      <c r="E160" s="4"/>
      <c r="F160" s="4"/>
      <c r="G160" s="4"/>
    </row>
    <row r="161" spans="1:7" ht="72" x14ac:dyDescent="0.15">
      <c r="A161" s="32" t="s">
        <v>60</v>
      </c>
      <c r="B161" s="11"/>
      <c r="C161" s="11"/>
      <c r="D161" s="11"/>
      <c r="E161" s="11"/>
      <c r="F161" s="11"/>
      <c r="G161"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7C6DC-68AF-314D-9DE7-75B0153B501F}">
  <sheetPr>
    <outlinePr summaryBelow="0" summaryRight="0"/>
    <pageSetUpPr autoPageBreaks="0"/>
  </sheetPr>
  <dimension ref="A5:IU116"/>
  <sheetViews>
    <sheetView topLeftCell="A5" zoomScale="162" workbookViewId="0"/>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477</v>
      </c>
    </row>
    <row r="7" spans="1:255" ht="12" x14ac:dyDescent="0.15">
      <c r="A7" s="2" t="s">
        <v>478</v>
      </c>
      <c r="B7" s="3" t="s">
        <v>479</v>
      </c>
      <c r="C7" t="s">
        <v>480</v>
      </c>
      <c r="D7" s="4" t="s">
        <v>4</v>
      </c>
      <c r="E7" s="3" t="s">
        <v>481</v>
      </c>
      <c r="F7" t="s">
        <v>66</v>
      </c>
    </row>
    <row r="8" spans="1:255" x14ac:dyDescent="0.15">
      <c r="A8" s="4"/>
      <c r="B8" s="3" t="s">
        <v>482</v>
      </c>
      <c r="C8" t="s">
        <v>68</v>
      </c>
      <c r="D8" s="4" t="s">
        <v>4</v>
      </c>
      <c r="E8" s="3" t="s">
        <v>483</v>
      </c>
      <c r="F8" t="s">
        <v>8</v>
      </c>
    </row>
    <row r="9" spans="1:255" x14ac:dyDescent="0.15">
      <c r="A9" s="4"/>
      <c r="B9" s="3" t="s">
        <v>484</v>
      </c>
      <c r="C9" t="s">
        <v>71</v>
      </c>
      <c r="D9" s="4" t="s">
        <v>4</v>
      </c>
      <c r="E9" s="3" t="s">
        <v>485</v>
      </c>
      <c r="F9" t="s">
        <v>6</v>
      </c>
    </row>
    <row r="10" spans="1:255" x14ac:dyDescent="0.15">
      <c r="A10" s="4"/>
      <c r="B10" s="3" t="s">
        <v>486</v>
      </c>
      <c r="C10" t="s">
        <v>10</v>
      </c>
      <c r="D10" s="4" t="s">
        <v>4</v>
      </c>
      <c r="E10" s="3" t="s">
        <v>487</v>
      </c>
      <c r="F10" s="5" t="s">
        <v>12</v>
      </c>
    </row>
    <row r="13" spans="1:255" x14ac:dyDescent="0.15">
      <c r="A13" s="6" t="s">
        <v>488</v>
      </c>
      <c r="B13" s="6"/>
      <c r="C13" s="6"/>
      <c r="D13" s="6"/>
      <c r="E13" s="6"/>
      <c r="F13" s="6"/>
      <c r="G13" s="6"/>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63"/>
      <c r="EV13" s="63"/>
      <c r="EW13" s="63"/>
      <c r="EX13" s="63"/>
      <c r="EY13" s="63"/>
      <c r="EZ13" s="63"/>
      <c r="FA13" s="63"/>
      <c r="FB13" s="63"/>
      <c r="FC13" s="63"/>
      <c r="FD13" s="63"/>
      <c r="FE13" s="63"/>
      <c r="FF13" s="63"/>
      <c r="FG13" s="63"/>
      <c r="FH13" s="63"/>
      <c r="FI13" s="63"/>
      <c r="FJ13" s="63"/>
      <c r="FK13" s="63"/>
      <c r="FL13" s="63"/>
      <c r="FM13" s="63"/>
      <c r="FN13" s="63"/>
      <c r="FO13" s="63"/>
      <c r="FP13" s="63"/>
      <c r="FQ13" s="63"/>
      <c r="FR13" s="63"/>
      <c r="FS13" s="63"/>
      <c r="FT13" s="63"/>
      <c r="FU13" s="63"/>
      <c r="FV13" s="63"/>
      <c r="FW13" s="63"/>
      <c r="FX13" s="63"/>
      <c r="FY13" s="63"/>
      <c r="FZ13" s="63"/>
      <c r="GA13" s="63"/>
      <c r="GB13" s="63"/>
      <c r="GC13" s="63"/>
      <c r="GD13" s="63"/>
      <c r="GE13" s="63"/>
      <c r="GF13" s="63"/>
      <c r="GG13" s="63"/>
      <c r="GH13" s="63"/>
      <c r="GI13" s="63"/>
      <c r="GJ13" s="63"/>
      <c r="GK13" s="63"/>
      <c r="GL13" s="63"/>
      <c r="GM13" s="63"/>
      <c r="GN13" s="63"/>
      <c r="GO13" s="63"/>
      <c r="GP13" s="63"/>
      <c r="GQ13" s="63"/>
      <c r="GR13" s="63"/>
      <c r="GS13" s="63"/>
      <c r="GT13" s="63"/>
      <c r="GU13" s="63"/>
      <c r="GV13" s="63"/>
      <c r="GW13" s="63"/>
      <c r="GX13" s="63"/>
      <c r="GY13" s="63"/>
      <c r="GZ13" s="63"/>
      <c r="HA13" s="63"/>
      <c r="HB13" s="63"/>
      <c r="HC13" s="63"/>
      <c r="HD13" s="63"/>
      <c r="HE13" s="63"/>
      <c r="HF13" s="63"/>
      <c r="HG13" s="63"/>
      <c r="HH13" s="63"/>
      <c r="HI13" s="63"/>
      <c r="HJ13" s="63"/>
      <c r="HK13" s="63"/>
      <c r="HL13" s="63"/>
      <c r="HM13" s="63"/>
      <c r="HN13" s="63"/>
      <c r="HO13" s="63"/>
      <c r="HP13" s="63"/>
      <c r="HQ13" s="63"/>
      <c r="HR13" s="63"/>
      <c r="HS13" s="63"/>
      <c r="HT13" s="63"/>
      <c r="HU13" s="63"/>
      <c r="HV13" s="63"/>
      <c r="HW13" s="63"/>
      <c r="HX13" s="63"/>
      <c r="HY13" s="63"/>
      <c r="HZ13" s="63"/>
      <c r="IA13" s="63"/>
      <c r="IB13" s="63"/>
      <c r="IC13" s="63"/>
      <c r="ID13" s="63"/>
      <c r="IE13" s="63"/>
      <c r="IF13" s="63"/>
      <c r="IG13" s="63"/>
      <c r="IH13" s="63"/>
      <c r="II13" s="63"/>
      <c r="IJ13" s="63"/>
      <c r="IK13" s="63"/>
      <c r="IL13" s="63"/>
      <c r="IM13" s="63"/>
      <c r="IN13" s="63"/>
      <c r="IO13" s="63"/>
      <c r="IP13" s="63"/>
      <c r="IQ13" s="63"/>
      <c r="IR13" s="63"/>
      <c r="IS13" s="63"/>
      <c r="IT13" s="63"/>
      <c r="IU13" s="63"/>
    </row>
    <row r="14" spans="1:255" ht="36" x14ac:dyDescent="0.15">
      <c r="A14" s="7" t="s">
        <v>16</v>
      </c>
      <c r="B14" s="12" t="s">
        <v>78</v>
      </c>
      <c r="C14" s="12" t="s">
        <v>79</v>
      </c>
      <c r="D14" s="12" t="s">
        <v>80</v>
      </c>
      <c r="E14" s="12" t="s">
        <v>81</v>
      </c>
      <c r="F14" s="12" t="s">
        <v>82</v>
      </c>
      <c r="G14" s="12" t="s">
        <v>83</v>
      </c>
    </row>
    <row r="15" spans="1:255" ht="12" x14ac:dyDescent="0.15">
      <c r="A15" s="8" t="s">
        <v>22</v>
      </c>
      <c r="B15" s="13" t="s">
        <v>23</v>
      </c>
      <c r="C15" s="13" t="s">
        <v>23</v>
      </c>
      <c r="D15" s="13" t="s">
        <v>23</v>
      </c>
      <c r="E15" s="13" t="s">
        <v>23</v>
      </c>
      <c r="F15" s="13" t="s">
        <v>23</v>
      </c>
      <c r="G15" s="13" t="s">
        <v>23</v>
      </c>
    </row>
    <row r="16" spans="1:255" x14ac:dyDescent="0.15">
      <c r="A16" s="9" t="s">
        <v>489</v>
      </c>
      <c r="B16" s="4"/>
      <c r="C16" s="4"/>
      <c r="D16" s="4"/>
      <c r="E16" s="4"/>
      <c r="F16" s="4"/>
      <c r="G16" s="4"/>
    </row>
    <row r="17" spans="1:7" x14ac:dyDescent="0.15">
      <c r="A17" s="4" t="s">
        <v>490</v>
      </c>
      <c r="B17" s="17">
        <v>50.494</v>
      </c>
      <c r="C17" s="17">
        <v>43.234999999999999</v>
      </c>
      <c r="D17" s="17">
        <v>46.226999999999997</v>
      </c>
      <c r="E17" s="17">
        <v>49.112000000000002</v>
      </c>
      <c r="F17" s="17">
        <v>113.307</v>
      </c>
      <c r="G17" s="17">
        <v>71.567999999999998</v>
      </c>
    </row>
    <row r="18" spans="1:7" x14ac:dyDescent="0.15">
      <c r="A18" s="4" t="s">
        <v>491</v>
      </c>
      <c r="B18" s="17">
        <v>33.329000000000001</v>
      </c>
      <c r="C18" s="17">
        <v>33.703000000000003</v>
      </c>
      <c r="D18" s="17">
        <v>31.254999999999999</v>
      </c>
      <c r="E18" s="17">
        <v>31.581</v>
      </c>
      <c r="F18" s="17">
        <v>33.817</v>
      </c>
      <c r="G18" s="17">
        <v>39.753999999999998</v>
      </c>
    </row>
    <row r="19" spans="1:7" x14ac:dyDescent="0.15">
      <c r="A19" s="4" t="s">
        <v>492</v>
      </c>
      <c r="B19" s="17">
        <v>36.997999999999998</v>
      </c>
      <c r="C19" s="17">
        <v>33.561</v>
      </c>
      <c r="D19" s="17">
        <v>18.611000000000001</v>
      </c>
      <c r="E19" s="17">
        <v>23.992000000000001</v>
      </c>
      <c r="F19" s="17">
        <v>34.347000000000001</v>
      </c>
      <c r="G19" s="17">
        <v>37.694000000000003</v>
      </c>
    </row>
    <row r="20" spans="1:7" x14ac:dyDescent="0.15">
      <c r="A20" s="4" t="s">
        <v>493</v>
      </c>
      <c r="B20" s="17">
        <v>-7.2</v>
      </c>
      <c r="C20" s="17">
        <v>-7.9</v>
      </c>
      <c r="D20" s="17">
        <v>-8.8000000000000007</v>
      </c>
      <c r="E20" s="17">
        <v>-10.1</v>
      </c>
      <c r="F20" s="17">
        <v>-8.8000000000000007</v>
      </c>
      <c r="G20" s="17">
        <v>-9.4</v>
      </c>
    </row>
    <row r="21" spans="1:7" ht="12" x14ac:dyDescent="0.15">
      <c r="A21" s="4" t="s">
        <v>494</v>
      </c>
      <c r="B21" s="17">
        <v>0</v>
      </c>
      <c r="C21" s="17">
        <v>0.113</v>
      </c>
      <c r="D21" s="17">
        <v>3.1E-2</v>
      </c>
      <c r="E21" s="17" t="s">
        <v>42</v>
      </c>
      <c r="F21" s="17" t="s">
        <v>42</v>
      </c>
      <c r="G21" s="17" t="s">
        <v>42</v>
      </c>
    </row>
    <row r="22" spans="1:7" x14ac:dyDescent="0.15">
      <c r="A22" s="9" t="s">
        <v>495</v>
      </c>
      <c r="B22" s="62">
        <v>113.621</v>
      </c>
      <c r="C22" s="62">
        <v>102.67100000000001</v>
      </c>
      <c r="D22" s="62">
        <v>87.292000000000002</v>
      </c>
      <c r="E22" s="62">
        <v>94.632000000000005</v>
      </c>
      <c r="F22" s="62">
        <v>172.63900000000001</v>
      </c>
      <c r="G22" s="62">
        <v>139.624</v>
      </c>
    </row>
    <row r="23" spans="1:7" x14ac:dyDescent="0.15">
      <c r="A23" s="4"/>
      <c r="B23" s="4"/>
      <c r="C23" s="4"/>
      <c r="D23" s="4"/>
      <c r="E23" s="4"/>
      <c r="F23" s="4"/>
      <c r="G23" s="4"/>
    </row>
    <row r="24" spans="1:7" x14ac:dyDescent="0.15">
      <c r="A24" s="9" t="s">
        <v>496</v>
      </c>
      <c r="B24" s="4"/>
      <c r="C24" s="4"/>
      <c r="D24" s="4"/>
      <c r="E24" s="4"/>
      <c r="F24" s="4"/>
      <c r="G24" s="4"/>
    </row>
    <row r="25" spans="1:7" x14ac:dyDescent="0.15">
      <c r="A25" s="4" t="s">
        <v>490</v>
      </c>
      <c r="B25" s="17">
        <v>8.1210000000000004</v>
      </c>
      <c r="C25" s="17">
        <v>5.8529999999999998</v>
      </c>
      <c r="D25" s="17">
        <v>17.478999999999999</v>
      </c>
      <c r="E25" s="17">
        <v>-3.3</v>
      </c>
      <c r="F25" s="17">
        <v>70.588999999999999</v>
      </c>
      <c r="G25" s="17">
        <v>25.919</v>
      </c>
    </row>
    <row r="26" spans="1:7" x14ac:dyDescent="0.15">
      <c r="A26" s="4" t="s">
        <v>491</v>
      </c>
      <c r="B26" s="17">
        <v>26.111000000000001</v>
      </c>
      <c r="C26" s="17">
        <v>25.675000000000001</v>
      </c>
      <c r="D26" s="17">
        <v>21.635000000000002</v>
      </c>
      <c r="E26" s="17">
        <v>21.893999999999998</v>
      </c>
      <c r="F26" s="17">
        <v>24.998000000000001</v>
      </c>
      <c r="G26" s="17">
        <v>31.207999999999998</v>
      </c>
    </row>
    <row r="27" spans="1:7" x14ac:dyDescent="0.15">
      <c r="A27" s="4" t="s">
        <v>492</v>
      </c>
      <c r="B27" s="17">
        <v>-0.4</v>
      </c>
      <c r="C27" s="17">
        <v>-1</v>
      </c>
      <c r="D27" s="17">
        <v>-3.9</v>
      </c>
      <c r="E27" s="17">
        <v>-1.1000000000000001</v>
      </c>
      <c r="F27" s="17">
        <v>0.86899999999999999</v>
      </c>
      <c r="G27" s="17">
        <v>1.109</v>
      </c>
    </row>
    <row r="28" spans="1:7" ht="12" x14ac:dyDescent="0.15">
      <c r="A28" s="4" t="s">
        <v>493</v>
      </c>
      <c r="B28" s="17">
        <v>1.7999999999999999E-2</v>
      </c>
      <c r="C28" s="17" t="s">
        <v>42</v>
      </c>
      <c r="D28" s="17">
        <v>0</v>
      </c>
      <c r="E28" s="17" t="s">
        <v>42</v>
      </c>
      <c r="F28" s="17" t="s">
        <v>42</v>
      </c>
      <c r="G28" s="17" t="s">
        <v>42</v>
      </c>
    </row>
    <row r="29" spans="1:7" x14ac:dyDescent="0.15">
      <c r="A29" s="4" t="s">
        <v>494</v>
      </c>
      <c r="B29" s="17">
        <v>-2.7</v>
      </c>
      <c r="C29" s="17">
        <v>-2.1</v>
      </c>
      <c r="D29" s="17">
        <v>-3</v>
      </c>
      <c r="E29" s="17">
        <v>-2.4</v>
      </c>
      <c r="F29" s="17">
        <v>-7.7</v>
      </c>
      <c r="G29" s="17">
        <v>-4.9000000000000004</v>
      </c>
    </row>
    <row r="30" spans="1:7" x14ac:dyDescent="0.15">
      <c r="A30" s="9" t="s">
        <v>497</v>
      </c>
      <c r="B30" s="62">
        <v>31.161000000000001</v>
      </c>
      <c r="C30" s="62">
        <v>28.454000000000001</v>
      </c>
      <c r="D30" s="62">
        <v>32.207000000000001</v>
      </c>
      <c r="E30" s="62">
        <v>15.16</v>
      </c>
      <c r="F30" s="62">
        <v>88.805000000000007</v>
      </c>
      <c r="G30" s="62">
        <v>53.3</v>
      </c>
    </row>
    <row r="31" spans="1:7" x14ac:dyDescent="0.15">
      <c r="A31" s="4"/>
      <c r="B31" s="4"/>
      <c r="C31" s="4"/>
      <c r="D31" s="4"/>
      <c r="E31" s="4"/>
      <c r="F31" s="4"/>
      <c r="G31" s="4"/>
    </row>
    <row r="32" spans="1:7" x14ac:dyDescent="0.15">
      <c r="A32" s="9" t="s">
        <v>95</v>
      </c>
      <c r="B32" s="4"/>
      <c r="C32" s="4"/>
      <c r="D32" s="4"/>
      <c r="E32" s="4"/>
      <c r="F32" s="4"/>
      <c r="G32" s="4"/>
    </row>
    <row r="33" spans="1:7" x14ac:dyDescent="0.15">
      <c r="A33" s="4" t="s">
        <v>490</v>
      </c>
      <c r="B33" s="17">
        <v>-1.1000000000000001</v>
      </c>
      <c r="C33" s="17">
        <v>-1</v>
      </c>
      <c r="D33" s="17">
        <v>-0.7</v>
      </c>
      <c r="E33" s="17">
        <v>0.85899999999999999</v>
      </c>
      <c r="F33" s="17">
        <v>-0.3</v>
      </c>
      <c r="G33" s="17">
        <v>-0.2</v>
      </c>
    </row>
    <row r="34" spans="1:7" x14ac:dyDescent="0.15">
      <c r="A34" s="4" t="s">
        <v>491</v>
      </c>
      <c r="B34" s="17">
        <v>-9.6999999999999993</v>
      </c>
      <c r="C34" s="17">
        <v>-9.1999999999999993</v>
      </c>
      <c r="D34" s="17">
        <v>-7.8</v>
      </c>
      <c r="E34" s="17">
        <v>-7.5</v>
      </c>
      <c r="F34" s="17">
        <v>-11.7</v>
      </c>
      <c r="G34" s="17">
        <v>-14.8</v>
      </c>
    </row>
    <row r="35" spans="1:7" x14ac:dyDescent="0.15">
      <c r="A35" s="4" t="s">
        <v>492</v>
      </c>
      <c r="B35" s="17">
        <v>-0.3</v>
      </c>
      <c r="C35" s="17">
        <v>-0.4</v>
      </c>
      <c r="D35" s="17">
        <v>-0.2</v>
      </c>
      <c r="E35" s="17">
        <v>-0.3</v>
      </c>
      <c r="F35" s="17">
        <v>-0.4</v>
      </c>
      <c r="G35" s="17">
        <v>-0.5</v>
      </c>
    </row>
    <row r="36" spans="1:7" x14ac:dyDescent="0.15">
      <c r="A36" s="4" t="s">
        <v>493</v>
      </c>
      <c r="B36" s="17">
        <v>0.47799999999999998</v>
      </c>
      <c r="C36" s="17">
        <v>1.349</v>
      </c>
      <c r="D36" s="17">
        <v>1.0620000000000001</v>
      </c>
      <c r="E36" s="17">
        <v>0.88400000000000001</v>
      </c>
      <c r="F36" s="17">
        <v>0.56100000000000005</v>
      </c>
      <c r="G36" s="17">
        <v>1.87</v>
      </c>
    </row>
    <row r="37" spans="1:7" x14ac:dyDescent="0.15">
      <c r="A37" s="4" t="s">
        <v>494</v>
      </c>
      <c r="B37" s="17">
        <v>-1.3</v>
      </c>
      <c r="C37" s="17">
        <v>-1.4</v>
      </c>
      <c r="D37" s="17">
        <v>-1.1000000000000001</v>
      </c>
      <c r="E37" s="17">
        <v>-0.4</v>
      </c>
      <c r="F37" s="17">
        <v>-0.5</v>
      </c>
      <c r="G37" s="17">
        <v>-0.8</v>
      </c>
    </row>
    <row r="38" spans="1:7" x14ac:dyDescent="0.15">
      <c r="A38" s="9" t="s">
        <v>498</v>
      </c>
      <c r="B38" s="62">
        <v>-12</v>
      </c>
      <c r="C38" s="62">
        <v>-10.6</v>
      </c>
      <c r="D38" s="62">
        <v>-8.8000000000000007</v>
      </c>
      <c r="E38" s="62">
        <v>-6.4</v>
      </c>
      <c r="F38" s="62">
        <v>-12.4</v>
      </c>
      <c r="G38" s="62">
        <v>-14.5</v>
      </c>
    </row>
    <row r="39" spans="1:7" x14ac:dyDescent="0.15">
      <c r="A39" s="4"/>
      <c r="B39" s="4"/>
      <c r="C39" s="4"/>
      <c r="D39" s="4"/>
      <c r="E39" s="4"/>
      <c r="F39" s="4"/>
      <c r="G39" s="4"/>
    </row>
    <row r="40" spans="1:7" x14ac:dyDescent="0.15">
      <c r="A40" s="9" t="s">
        <v>499</v>
      </c>
      <c r="B40" s="4"/>
      <c r="C40" s="4"/>
      <c r="D40" s="4"/>
      <c r="E40" s="4"/>
      <c r="F40" s="4"/>
      <c r="G40" s="4"/>
    </row>
    <row r="41" spans="1:7" x14ac:dyDescent="0.15">
      <c r="A41" s="4" t="s">
        <v>490</v>
      </c>
      <c r="B41" s="17">
        <v>7.0359999999999996</v>
      </c>
      <c r="C41" s="17">
        <v>4.8780000000000001</v>
      </c>
      <c r="D41" s="17">
        <v>16.876000000000001</v>
      </c>
      <c r="E41" s="17">
        <v>-2.1</v>
      </c>
      <c r="F41" s="17">
        <v>70.855999999999995</v>
      </c>
      <c r="G41" s="17">
        <v>27.498000000000001</v>
      </c>
    </row>
    <row r="42" spans="1:7" x14ac:dyDescent="0.15">
      <c r="A42" s="4" t="s">
        <v>491</v>
      </c>
      <c r="B42" s="17">
        <v>13.564</v>
      </c>
      <c r="C42" s="17">
        <v>10.1</v>
      </c>
      <c r="D42" s="17">
        <v>19.87</v>
      </c>
      <c r="E42" s="17">
        <v>20.003</v>
      </c>
      <c r="F42" s="17">
        <v>43.286999999999999</v>
      </c>
      <c r="G42" s="17">
        <v>18.433</v>
      </c>
    </row>
    <row r="43" spans="1:7" x14ac:dyDescent="0.15">
      <c r="A43" s="4" t="s">
        <v>492</v>
      </c>
      <c r="B43" s="17">
        <v>-0.6</v>
      </c>
      <c r="C43" s="17">
        <v>-1.2</v>
      </c>
      <c r="D43" s="17">
        <v>-4.0999999999999996</v>
      </c>
      <c r="E43" s="17">
        <v>-1.4</v>
      </c>
      <c r="F43" s="17">
        <v>0.42499999999999999</v>
      </c>
      <c r="G43" s="17">
        <v>0.59199999999999997</v>
      </c>
    </row>
    <row r="44" spans="1:7" ht="12" x14ac:dyDescent="0.15">
      <c r="A44" s="4" t="s">
        <v>493</v>
      </c>
      <c r="B44" s="17">
        <v>1.7999999999999999E-2</v>
      </c>
      <c r="C44" s="17" t="s">
        <v>42</v>
      </c>
      <c r="D44" s="17">
        <v>0</v>
      </c>
      <c r="E44" s="17" t="s">
        <v>42</v>
      </c>
      <c r="F44" s="17" t="s">
        <v>42</v>
      </c>
      <c r="G44" s="17" t="s">
        <v>42</v>
      </c>
    </row>
    <row r="45" spans="1:7" x14ac:dyDescent="0.15">
      <c r="A45" s="4" t="s">
        <v>494</v>
      </c>
      <c r="B45" s="17">
        <v>-4</v>
      </c>
      <c r="C45" s="17">
        <v>-3.4</v>
      </c>
      <c r="D45" s="17">
        <v>-4.0999999999999996</v>
      </c>
      <c r="E45" s="17">
        <v>-2.7</v>
      </c>
      <c r="F45" s="17">
        <v>-8.1999999999999993</v>
      </c>
      <c r="G45" s="17">
        <v>-4.5999999999999996</v>
      </c>
    </row>
    <row r="46" spans="1:7" x14ac:dyDescent="0.15">
      <c r="A46" s="9" t="s">
        <v>500</v>
      </c>
      <c r="B46" s="62">
        <v>16.074000000000002</v>
      </c>
      <c r="C46" s="62">
        <v>10.331</v>
      </c>
      <c r="D46" s="62">
        <v>28.539000000000001</v>
      </c>
      <c r="E46" s="62">
        <v>13.852</v>
      </c>
      <c r="F46" s="62">
        <v>106.393</v>
      </c>
      <c r="G46" s="62">
        <v>41.954000000000001</v>
      </c>
    </row>
    <row r="47" spans="1:7" x14ac:dyDescent="0.15">
      <c r="A47" s="4"/>
      <c r="B47" s="4"/>
      <c r="C47" s="4"/>
      <c r="D47" s="4"/>
      <c r="E47" s="4"/>
      <c r="F47" s="4"/>
      <c r="G47" s="4"/>
    </row>
    <row r="48" spans="1:7" x14ac:dyDescent="0.15">
      <c r="A48" s="9" t="s">
        <v>501</v>
      </c>
      <c r="B48" s="4"/>
      <c r="C48" s="4"/>
      <c r="D48" s="4"/>
      <c r="E48" s="4"/>
      <c r="F48" s="4"/>
      <c r="G48" s="4"/>
    </row>
    <row r="49" spans="1:7" x14ac:dyDescent="0.15">
      <c r="A49" s="4" t="s">
        <v>490</v>
      </c>
      <c r="B49" s="17">
        <v>100.057</v>
      </c>
      <c r="C49" s="17">
        <v>114.498</v>
      </c>
      <c r="D49" s="17">
        <v>130.01400000000001</v>
      </c>
      <c r="E49" s="17">
        <v>113.705</v>
      </c>
      <c r="F49" s="17">
        <v>178.57</v>
      </c>
      <c r="G49" s="17">
        <v>188.6</v>
      </c>
    </row>
    <row r="50" spans="1:7" x14ac:dyDescent="0.15">
      <c r="A50" s="4" t="s">
        <v>491</v>
      </c>
      <c r="B50" s="17">
        <v>547.08799999999997</v>
      </c>
      <c r="C50" s="17">
        <v>544.63</v>
      </c>
      <c r="D50" s="17">
        <v>518.88699999999994</v>
      </c>
      <c r="E50" s="17">
        <v>518.44100000000003</v>
      </c>
      <c r="F50" s="17">
        <v>550.43899999999996</v>
      </c>
      <c r="G50" s="17">
        <v>556.99</v>
      </c>
    </row>
    <row r="51" spans="1:7" x14ac:dyDescent="0.15">
      <c r="A51" s="4" t="s">
        <v>492</v>
      </c>
      <c r="B51" s="17">
        <v>6.5570000000000004</v>
      </c>
      <c r="C51" s="17">
        <v>4.1769999999999996</v>
      </c>
      <c r="D51" s="17">
        <v>4.8979999999999997</v>
      </c>
      <c r="E51" s="17">
        <v>4.6180000000000003</v>
      </c>
      <c r="F51" s="17">
        <v>5.6420000000000003</v>
      </c>
      <c r="G51" s="17">
        <v>7.9640000000000004</v>
      </c>
    </row>
    <row r="52" spans="1:7" x14ac:dyDescent="0.15">
      <c r="A52" s="4" t="s">
        <v>493</v>
      </c>
      <c r="B52" s="17">
        <v>-47.1</v>
      </c>
      <c r="C52" s="17">
        <v>-51.7</v>
      </c>
      <c r="D52" s="17">
        <v>-36.1</v>
      </c>
      <c r="E52" s="17">
        <v>-25.7</v>
      </c>
      <c r="F52" s="17">
        <v>-30.1</v>
      </c>
      <c r="G52" s="17">
        <v>-62.1</v>
      </c>
    </row>
    <row r="53" spans="1:7" x14ac:dyDescent="0.15">
      <c r="A53" s="4" t="s">
        <v>494</v>
      </c>
      <c r="B53" s="17">
        <v>3.7999999999999999E-2</v>
      </c>
      <c r="C53" s="17">
        <v>0.53200000000000003</v>
      </c>
      <c r="D53" s="17">
        <v>1.5760000000000001</v>
      </c>
      <c r="E53" s="17">
        <v>1.2490000000000001</v>
      </c>
      <c r="F53" s="17">
        <v>1.2450000000000001</v>
      </c>
      <c r="G53" s="17">
        <v>40</v>
      </c>
    </row>
    <row r="54" spans="1:7" x14ac:dyDescent="0.15">
      <c r="A54" s="9" t="s">
        <v>467</v>
      </c>
      <c r="B54" s="62">
        <v>606.63699999999994</v>
      </c>
      <c r="C54" s="62">
        <v>612.11900000000003</v>
      </c>
      <c r="D54" s="62">
        <v>619.29600000000005</v>
      </c>
      <c r="E54" s="62">
        <v>612.29600000000005</v>
      </c>
      <c r="F54" s="62">
        <v>705.78499999999997</v>
      </c>
      <c r="G54" s="62">
        <v>731.428</v>
      </c>
    </row>
    <row r="55" spans="1:7" x14ac:dyDescent="0.15">
      <c r="A55" s="4"/>
      <c r="B55" s="4"/>
      <c r="C55" s="4"/>
      <c r="D55" s="4"/>
      <c r="E55" s="4"/>
      <c r="F55" s="4"/>
      <c r="G55" s="4"/>
    </row>
    <row r="56" spans="1:7" x14ac:dyDescent="0.15">
      <c r="A56" s="9" t="s">
        <v>502</v>
      </c>
      <c r="B56" s="4"/>
      <c r="C56" s="4"/>
      <c r="D56" s="4"/>
      <c r="E56" s="4"/>
      <c r="F56" s="4"/>
      <c r="G56" s="4"/>
    </row>
    <row r="57" spans="1:7" x14ac:dyDescent="0.15">
      <c r="A57" s="4" t="s">
        <v>490</v>
      </c>
      <c r="B57" s="17">
        <v>5.6239999999999997</v>
      </c>
      <c r="C57" s="17">
        <v>6.9390000000000001</v>
      </c>
      <c r="D57" s="17">
        <v>8.7919999999999998</v>
      </c>
      <c r="E57" s="17">
        <v>8.2729999999999997</v>
      </c>
      <c r="F57" s="17">
        <v>9.2889999999999997</v>
      </c>
      <c r="G57" s="17">
        <v>11.741</v>
      </c>
    </row>
    <row r="58" spans="1:7" x14ac:dyDescent="0.15">
      <c r="A58" s="4" t="s">
        <v>491</v>
      </c>
      <c r="B58" s="17">
        <v>0.77</v>
      </c>
      <c r="C58" s="17">
        <v>0.77</v>
      </c>
      <c r="D58" s="17">
        <v>0.77</v>
      </c>
      <c r="E58" s="17">
        <v>0.77</v>
      </c>
      <c r="F58" s="17">
        <v>0.77</v>
      </c>
      <c r="G58" s="17">
        <v>0.77</v>
      </c>
    </row>
    <row r="59" spans="1:7" x14ac:dyDescent="0.15">
      <c r="A59" s="4" t="s">
        <v>492</v>
      </c>
      <c r="B59" s="17">
        <v>0.76700000000000002</v>
      </c>
      <c r="C59" s="17">
        <v>0.83299999999999996</v>
      </c>
      <c r="D59" s="17">
        <v>0.72799999999999998</v>
      </c>
      <c r="E59" s="17">
        <v>0.83699999999999997</v>
      </c>
      <c r="F59" s="17">
        <v>0.6</v>
      </c>
      <c r="G59" s="17">
        <v>0.65700000000000003</v>
      </c>
    </row>
    <row r="60" spans="1:7" ht="12" x14ac:dyDescent="0.15">
      <c r="A60" s="4" t="s">
        <v>494</v>
      </c>
      <c r="B60" s="17" t="s">
        <v>42</v>
      </c>
      <c r="C60" s="17">
        <v>4.2000000000000003E-2</v>
      </c>
      <c r="D60" s="17">
        <v>8.4000000000000005E-2</v>
      </c>
      <c r="E60" s="17">
        <v>2.1000000000000001E-2</v>
      </c>
      <c r="F60" s="17">
        <v>0.129</v>
      </c>
      <c r="G60" s="17">
        <v>0.09</v>
      </c>
    </row>
    <row r="61" spans="1:7" x14ac:dyDescent="0.15">
      <c r="A61" s="9" t="s">
        <v>503</v>
      </c>
      <c r="B61" s="62">
        <v>7.1609999999999996</v>
      </c>
      <c r="C61" s="62">
        <v>8.5839999999999996</v>
      </c>
      <c r="D61" s="62">
        <v>10.374000000000001</v>
      </c>
      <c r="E61" s="62">
        <v>9.9009999999999998</v>
      </c>
      <c r="F61" s="62">
        <v>10.788</v>
      </c>
      <c r="G61" s="62">
        <v>13.257999999999999</v>
      </c>
    </row>
    <row r="62" spans="1:7" x14ac:dyDescent="0.15">
      <c r="A62" s="4"/>
      <c r="B62" s="4"/>
      <c r="C62" s="4"/>
      <c r="D62" s="4"/>
      <c r="E62" s="4"/>
      <c r="F62" s="4"/>
      <c r="G62" s="4"/>
    </row>
    <row r="63" spans="1:7" x14ac:dyDescent="0.15">
      <c r="A63" s="9" t="s">
        <v>242</v>
      </c>
      <c r="B63" s="4"/>
      <c r="C63" s="4"/>
      <c r="D63" s="4"/>
      <c r="E63" s="4"/>
      <c r="F63" s="4"/>
      <c r="G63" s="4"/>
    </row>
    <row r="64" spans="1:7" ht="12" x14ac:dyDescent="0.15">
      <c r="A64" s="4" t="s">
        <v>490</v>
      </c>
      <c r="B64" s="17">
        <v>-6.2</v>
      </c>
      <c r="C64" s="17">
        <v>-3.2</v>
      </c>
      <c r="D64" s="17">
        <v>-4.9000000000000004</v>
      </c>
      <c r="E64" s="17">
        <v>-3.5</v>
      </c>
      <c r="F64" s="17" t="s">
        <v>42</v>
      </c>
      <c r="G64" s="17" t="s">
        <v>42</v>
      </c>
    </row>
    <row r="65" spans="1:255" ht="12" x14ac:dyDescent="0.15">
      <c r="A65" s="4" t="s">
        <v>491</v>
      </c>
      <c r="B65" s="17">
        <v>-26.6</v>
      </c>
      <c r="C65" s="17">
        <v>-10.8</v>
      </c>
      <c r="D65" s="17">
        <v>-2.2999999999999998</v>
      </c>
      <c r="E65" s="17">
        <v>-4.4000000000000004</v>
      </c>
      <c r="F65" s="17" t="s">
        <v>42</v>
      </c>
      <c r="G65" s="17" t="s">
        <v>42</v>
      </c>
    </row>
    <row r="66" spans="1:255" ht="12" x14ac:dyDescent="0.15">
      <c r="A66" s="4" t="s">
        <v>492</v>
      </c>
      <c r="B66" s="17">
        <v>-1</v>
      </c>
      <c r="C66" s="17">
        <v>-0.2</v>
      </c>
      <c r="D66" s="17">
        <v>-0.4</v>
      </c>
      <c r="E66" s="17">
        <v>-0.4</v>
      </c>
      <c r="F66" s="17" t="s">
        <v>42</v>
      </c>
      <c r="G66" s="17" t="s">
        <v>42</v>
      </c>
    </row>
    <row r="67" spans="1:255" ht="12" x14ac:dyDescent="0.15">
      <c r="A67" s="4" t="s">
        <v>494</v>
      </c>
      <c r="B67" s="17" t="s">
        <v>42</v>
      </c>
      <c r="C67" s="17">
        <v>-0.4</v>
      </c>
      <c r="D67" s="17" t="s">
        <v>42</v>
      </c>
      <c r="E67" s="17" t="s">
        <v>42</v>
      </c>
      <c r="F67" s="17" t="s">
        <v>42</v>
      </c>
      <c r="G67" s="17" t="s">
        <v>42</v>
      </c>
    </row>
    <row r="68" spans="1:255" ht="12" x14ac:dyDescent="0.15">
      <c r="A68" s="9" t="s">
        <v>504</v>
      </c>
      <c r="B68" s="62">
        <v>-33.9</v>
      </c>
      <c r="C68" s="62">
        <v>-14.6</v>
      </c>
      <c r="D68" s="62">
        <v>-7.6</v>
      </c>
      <c r="E68" s="62">
        <v>-8.3000000000000007</v>
      </c>
      <c r="F68" s="62" t="s">
        <v>42</v>
      </c>
      <c r="G68" s="62" t="s">
        <v>42</v>
      </c>
    </row>
    <row r="69" spans="1:255" x14ac:dyDescent="0.15">
      <c r="A69" s="4"/>
      <c r="B69" s="4"/>
      <c r="C69" s="4"/>
      <c r="D69" s="4"/>
      <c r="E69" s="4"/>
      <c r="F69" s="4"/>
      <c r="G69" s="4"/>
    </row>
    <row r="70" spans="1:255" x14ac:dyDescent="0.15">
      <c r="A70" s="4"/>
      <c r="B70" s="4" t="s">
        <v>32</v>
      </c>
      <c r="C70" s="4" t="s">
        <v>32</v>
      </c>
      <c r="D70" s="4" t="s">
        <v>32</v>
      </c>
      <c r="E70" s="4" t="s">
        <v>32</v>
      </c>
      <c r="F70" s="4" t="s">
        <v>32</v>
      </c>
      <c r="G70" s="4" t="s">
        <v>32</v>
      </c>
    </row>
    <row r="71" spans="1:255" x14ac:dyDescent="0.15">
      <c r="A71" s="4" t="s">
        <v>136</v>
      </c>
      <c r="B71" s="27">
        <v>43910</v>
      </c>
      <c r="C71" s="27">
        <v>44274</v>
      </c>
      <c r="D71" s="27">
        <v>44621</v>
      </c>
      <c r="E71" s="27">
        <v>45002</v>
      </c>
      <c r="F71" s="27">
        <v>45366</v>
      </c>
      <c r="G71" s="27">
        <v>45366</v>
      </c>
    </row>
    <row r="72" spans="1:255" x14ac:dyDescent="0.15">
      <c r="A72" s="11"/>
      <c r="B72" s="11"/>
      <c r="C72" s="11"/>
      <c r="D72" s="11"/>
      <c r="E72" s="11"/>
      <c r="F72" s="11"/>
      <c r="G72" s="11"/>
    </row>
    <row r="74" spans="1:255" x14ac:dyDescent="0.15">
      <c r="A74" s="6" t="s">
        <v>505</v>
      </c>
      <c r="B74" s="6"/>
      <c r="C74" s="6"/>
      <c r="D74" s="6"/>
      <c r="E74" s="6"/>
      <c r="F74" s="6"/>
      <c r="G74" s="6"/>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3"/>
      <c r="CA74" s="63"/>
      <c r="CB74" s="63"/>
      <c r="CC74" s="63"/>
      <c r="CD74" s="63"/>
      <c r="CE74" s="63"/>
      <c r="CF74" s="63"/>
      <c r="CG74" s="63"/>
      <c r="CH74" s="63"/>
      <c r="CI74" s="63"/>
      <c r="CJ74" s="63"/>
      <c r="CK74" s="63"/>
      <c r="CL74" s="63"/>
      <c r="CM74" s="63"/>
      <c r="CN74" s="63"/>
      <c r="CO74" s="63"/>
      <c r="CP74" s="63"/>
      <c r="CQ74" s="63"/>
      <c r="CR74" s="63"/>
      <c r="CS74" s="63"/>
      <c r="CT74" s="63"/>
      <c r="CU74" s="63"/>
      <c r="CV74" s="63"/>
      <c r="CW74" s="63"/>
      <c r="CX74" s="63"/>
      <c r="CY74" s="63"/>
      <c r="CZ74" s="63"/>
      <c r="DA74" s="63"/>
      <c r="DB74" s="63"/>
      <c r="DC74" s="63"/>
      <c r="DD74" s="63"/>
      <c r="DE74" s="63"/>
      <c r="DF74" s="63"/>
      <c r="DG74" s="63"/>
      <c r="DH74" s="63"/>
      <c r="DI74" s="63"/>
      <c r="DJ74" s="63"/>
      <c r="DK74" s="63"/>
      <c r="DL74" s="63"/>
      <c r="DM74" s="63"/>
      <c r="DN74" s="63"/>
      <c r="DO74" s="63"/>
      <c r="DP74" s="63"/>
      <c r="DQ74" s="63"/>
      <c r="DR74" s="63"/>
      <c r="DS74" s="63"/>
      <c r="DT74" s="63"/>
      <c r="DU74" s="63"/>
      <c r="DV74" s="63"/>
      <c r="DW74" s="63"/>
      <c r="DX74" s="63"/>
      <c r="DY74" s="63"/>
      <c r="DZ74" s="63"/>
      <c r="EA74" s="63"/>
      <c r="EB74" s="63"/>
      <c r="EC74" s="63"/>
      <c r="ED74" s="63"/>
      <c r="EE74" s="63"/>
      <c r="EF74" s="63"/>
      <c r="EG74" s="63"/>
      <c r="EH74" s="63"/>
      <c r="EI74" s="63"/>
      <c r="EJ74" s="63"/>
      <c r="EK74" s="63"/>
      <c r="EL74" s="63"/>
      <c r="EM74" s="63"/>
      <c r="EN74" s="63"/>
      <c r="EO74" s="63"/>
      <c r="EP74" s="63"/>
      <c r="EQ74" s="63"/>
      <c r="ER74" s="63"/>
      <c r="ES74" s="63"/>
      <c r="ET74" s="63"/>
      <c r="EU74" s="63"/>
      <c r="EV74" s="63"/>
      <c r="EW74" s="63"/>
      <c r="EX74" s="63"/>
      <c r="EY74" s="63"/>
      <c r="EZ74" s="63"/>
      <c r="FA74" s="63"/>
      <c r="FB74" s="63"/>
      <c r="FC74" s="63"/>
      <c r="FD74" s="63"/>
      <c r="FE74" s="63"/>
      <c r="FF74" s="63"/>
      <c r="FG74" s="63"/>
      <c r="FH74" s="63"/>
      <c r="FI74" s="63"/>
      <c r="FJ74" s="63"/>
      <c r="FK74" s="63"/>
      <c r="FL74" s="63"/>
      <c r="FM74" s="63"/>
      <c r="FN74" s="63"/>
      <c r="FO74" s="63"/>
      <c r="FP74" s="63"/>
      <c r="FQ74" s="63"/>
      <c r="FR74" s="63"/>
      <c r="FS74" s="63"/>
      <c r="FT74" s="63"/>
      <c r="FU74" s="63"/>
      <c r="FV74" s="63"/>
      <c r="FW74" s="63"/>
      <c r="FX74" s="63"/>
      <c r="FY74" s="63"/>
      <c r="FZ74" s="63"/>
      <c r="GA74" s="63"/>
      <c r="GB74" s="63"/>
      <c r="GC74" s="63"/>
      <c r="GD74" s="63"/>
      <c r="GE74" s="63"/>
      <c r="GF74" s="63"/>
      <c r="GG74" s="63"/>
      <c r="GH74" s="63"/>
      <c r="GI74" s="63"/>
      <c r="GJ74" s="63"/>
      <c r="GK74" s="63"/>
      <c r="GL74" s="63"/>
      <c r="GM74" s="63"/>
      <c r="GN74" s="63"/>
      <c r="GO74" s="63"/>
      <c r="GP74" s="63"/>
      <c r="GQ74" s="63"/>
      <c r="GR74" s="63"/>
      <c r="GS74" s="63"/>
      <c r="GT74" s="63"/>
      <c r="GU74" s="63"/>
      <c r="GV74" s="63"/>
      <c r="GW74" s="63"/>
      <c r="GX74" s="63"/>
      <c r="GY74" s="63"/>
      <c r="GZ74" s="63"/>
      <c r="HA74" s="63"/>
      <c r="HB74" s="63"/>
      <c r="HC74" s="63"/>
      <c r="HD74" s="63"/>
      <c r="HE74" s="63"/>
      <c r="HF74" s="63"/>
      <c r="HG74" s="63"/>
      <c r="HH74" s="63"/>
      <c r="HI74" s="63"/>
      <c r="HJ74" s="63"/>
      <c r="HK74" s="63"/>
      <c r="HL74" s="63"/>
      <c r="HM74" s="63"/>
      <c r="HN74" s="63"/>
      <c r="HO74" s="63"/>
      <c r="HP74" s="63"/>
      <c r="HQ74" s="63"/>
      <c r="HR74" s="63"/>
      <c r="HS74" s="63"/>
      <c r="HT74" s="63"/>
      <c r="HU74" s="63"/>
      <c r="HV74" s="63"/>
      <c r="HW74" s="63"/>
      <c r="HX74" s="63"/>
      <c r="HY74" s="63"/>
      <c r="HZ74" s="63"/>
      <c r="IA74" s="63"/>
      <c r="IB74" s="63"/>
      <c r="IC74" s="63"/>
      <c r="ID74" s="63"/>
      <c r="IE74" s="63"/>
      <c r="IF74" s="63"/>
      <c r="IG74" s="63"/>
      <c r="IH74" s="63"/>
      <c r="II74" s="63"/>
      <c r="IJ74" s="63"/>
      <c r="IK74" s="63"/>
      <c r="IL74" s="63"/>
      <c r="IM74" s="63"/>
      <c r="IN74" s="63"/>
      <c r="IO74" s="63"/>
      <c r="IP74" s="63"/>
      <c r="IQ74" s="63"/>
      <c r="IR74" s="63"/>
      <c r="IS74" s="63"/>
      <c r="IT74" s="63"/>
      <c r="IU74" s="63"/>
    </row>
    <row r="75" spans="1:255" ht="36" x14ac:dyDescent="0.15">
      <c r="A75" s="7" t="s">
        <v>16</v>
      </c>
      <c r="B75" s="12" t="s">
        <v>78</v>
      </c>
      <c r="C75" s="12" t="s">
        <v>79</v>
      </c>
      <c r="D75" s="12" t="s">
        <v>80</v>
      </c>
      <c r="E75" s="12" t="s">
        <v>81</v>
      </c>
      <c r="F75" s="12" t="s">
        <v>82</v>
      </c>
      <c r="G75" s="12" t="s">
        <v>83</v>
      </c>
    </row>
    <row r="76" spans="1:255" ht="12" x14ac:dyDescent="0.15">
      <c r="A76" s="8" t="s">
        <v>22</v>
      </c>
      <c r="B76" s="13" t="s">
        <v>23</v>
      </c>
      <c r="C76" s="13" t="s">
        <v>23</v>
      </c>
      <c r="D76" s="13" t="s">
        <v>23</v>
      </c>
      <c r="E76" s="13" t="s">
        <v>23</v>
      </c>
      <c r="F76" s="13" t="s">
        <v>23</v>
      </c>
      <c r="G76" s="13" t="s">
        <v>23</v>
      </c>
    </row>
    <row r="77" spans="1:255" x14ac:dyDescent="0.15">
      <c r="A77" s="9" t="s">
        <v>489</v>
      </c>
      <c r="B77" s="4"/>
      <c r="C77" s="4"/>
      <c r="D77" s="4"/>
      <c r="E77" s="4"/>
      <c r="F77" s="4"/>
      <c r="G77" s="4"/>
    </row>
    <row r="78" spans="1:255" x14ac:dyDescent="0.15">
      <c r="A78" s="4" t="s">
        <v>506</v>
      </c>
      <c r="B78" s="17">
        <v>113.621</v>
      </c>
      <c r="C78" s="17">
        <v>102.67100000000001</v>
      </c>
      <c r="D78" s="17">
        <v>87.292000000000002</v>
      </c>
      <c r="E78" s="17">
        <v>94.632000000000005</v>
      </c>
      <c r="F78" s="17">
        <v>172.63900000000001</v>
      </c>
      <c r="G78" s="17">
        <v>139.624</v>
      </c>
    </row>
    <row r="79" spans="1:255" x14ac:dyDescent="0.15">
      <c r="A79" s="9" t="s">
        <v>495</v>
      </c>
      <c r="B79" s="62">
        <v>113.621</v>
      </c>
      <c r="C79" s="62">
        <v>102.67100000000001</v>
      </c>
      <c r="D79" s="62">
        <v>87.292000000000002</v>
      </c>
      <c r="E79" s="62">
        <v>94.632000000000005</v>
      </c>
      <c r="F79" s="62">
        <v>172.63900000000001</v>
      </c>
      <c r="G79" s="62">
        <v>139.624</v>
      </c>
    </row>
    <row r="80" spans="1:255" x14ac:dyDescent="0.15">
      <c r="A80" s="4"/>
      <c r="B80" s="4"/>
      <c r="C80" s="4"/>
      <c r="D80" s="4"/>
      <c r="E80" s="4"/>
      <c r="F80" s="4"/>
      <c r="G80" s="4"/>
    </row>
    <row r="81" spans="1:7" x14ac:dyDescent="0.15">
      <c r="A81" s="9" t="s">
        <v>496</v>
      </c>
      <c r="B81" s="4"/>
      <c r="C81" s="4"/>
      <c r="D81" s="4"/>
      <c r="E81" s="4"/>
      <c r="F81" s="4"/>
      <c r="G81" s="4"/>
    </row>
    <row r="82" spans="1:7" x14ac:dyDescent="0.15">
      <c r="A82" s="4" t="s">
        <v>506</v>
      </c>
      <c r="B82" s="17">
        <v>19.379000000000001</v>
      </c>
      <c r="C82" s="17">
        <v>18.329999999999998</v>
      </c>
      <c r="D82" s="17">
        <v>32.207000000000001</v>
      </c>
      <c r="E82" s="17">
        <v>15.16</v>
      </c>
      <c r="F82" s="17">
        <v>88.805000000000007</v>
      </c>
      <c r="G82" s="17">
        <v>53.3</v>
      </c>
    </row>
    <row r="83" spans="1:7" x14ac:dyDescent="0.15">
      <c r="A83" s="9" t="s">
        <v>497</v>
      </c>
      <c r="B83" s="62">
        <v>19.379000000000001</v>
      </c>
      <c r="C83" s="62">
        <v>18.329999999999998</v>
      </c>
      <c r="D83" s="62">
        <v>32.207000000000001</v>
      </c>
      <c r="E83" s="62">
        <v>15.16</v>
      </c>
      <c r="F83" s="62">
        <v>88.805000000000007</v>
      </c>
      <c r="G83" s="62">
        <v>53.3</v>
      </c>
    </row>
    <row r="84" spans="1:7" x14ac:dyDescent="0.15">
      <c r="A84" s="4"/>
      <c r="B84" s="4"/>
      <c r="C84" s="4"/>
      <c r="D84" s="4"/>
      <c r="E84" s="4"/>
      <c r="F84" s="4"/>
      <c r="G84" s="4"/>
    </row>
    <row r="85" spans="1:7" x14ac:dyDescent="0.15">
      <c r="A85" s="9" t="s">
        <v>95</v>
      </c>
      <c r="B85" s="4"/>
      <c r="C85" s="4"/>
      <c r="D85" s="4"/>
      <c r="E85" s="4"/>
      <c r="F85" s="4"/>
      <c r="G85" s="4"/>
    </row>
    <row r="86" spans="1:7" x14ac:dyDescent="0.15">
      <c r="A86" s="4" t="s">
        <v>506</v>
      </c>
      <c r="B86" s="17">
        <v>-11.6</v>
      </c>
      <c r="C86" s="17">
        <v>-10.1</v>
      </c>
      <c r="D86" s="17">
        <v>-8.5</v>
      </c>
      <c r="E86" s="17">
        <v>-6.2</v>
      </c>
      <c r="F86" s="17">
        <v>-11.9</v>
      </c>
      <c r="G86" s="17">
        <v>-13.9</v>
      </c>
    </row>
    <row r="87" spans="1:7" x14ac:dyDescent="0.15">
      <c r="A87" s="9" t="s">
        <v>498</v>
      </c>
      <c r="B87" s="62">
        <v>-11.6</v>
      </c>
      <c r="C87" s="62">
        <v>-10.1</v>
      </c>
      <c r="D87" s="62">
        <v>-8.5</v>
      </c>
      <c r="E87" s="62">
        <v>-6.2</v>
      </c>
      <c r="F87" s="62">
        <v>-11.9</v>
      </c>
      <c r="G87" s="62">
        <v>-13.9</v>
      </c>
    </row>
    <row r="88" spans="1:7" x14ac:dyDescent="0.15">
      <c r="A88" s="4"/>
      <c r="B88" s="4"/>
      <c r="C88" s="4"/>
      <c r="D88" s="4"/>
      <c r="E88" s="4"/>
      <c r="F88" s="4"/>
      <c r="G88" s="4"/>
    </row>
    <row r="89" spans="1:7" x14ac:dyDescent="0.15">
      <c r="A89" s="9" t="s">
        <v>499</v>
      </c>
      <c r="B89" s="4"/>
      <c r="C89" s="4"/>
      <c r="D89" s="4"/>
      <c r="E89" s="4"/>
      <c r="F89" s="4"/>
      <c r="G89" s="4"/>
    </row>
    <row r="90" spans="1:7" x14ac:dyDescent="0.15">
      <c r="A90" s="4" t="s">
        <v>506</v>
      </c>
      <c r="B90" s="17">
        <v>16.074000000000002</v>
      </c>
      <c r="C90" s="17">
        <v>10.331</v>
      </c>
      <c r="D90" s="17">
        <v>28.539000000000001</v>
      </c>
      <c r="E90" s="17">
        <v>13.852</v>
      </c>
      <c r="F90" s="17">
        <v>106.393</v>
      </c>
      <c r="G90" s="17">
        <v>41.954000000000001</v>
      </c>
    </row>
    <row r="91" spans="1:7" x14ac:dyDescent="0.15">
      <c r="A91" s="9" t="s">
        <v>500</v>
      </c>
      <c r="B91" s="62">
        <v>16.074000000000002</v>
      </c>
      <c r="C91" s="62">
        <v>10.331</v>
      </c>
      <c r="D91" s="62">
        <v>28.539000000000001</v>
      </c>
      <c r="E91" s="62">
        <v>13.852</v>
      </c>
      <c r="F91" s="62">
        <v>106.393</v>
      </c>
      <c r="G91" s="62">
        <v>41.954000000000001</v>
      </c>
    </row>
    <row r="92" spans="1:7" x14ac:dyDescent="0.15">
      <c r="A92" s="4"/>
      <c r="B92" s="4"/>
      <c r="C92" s="4"/>
      <c r="D92" s="4"/>
      <c r="E92" s="4"/>
      <c r="F92" s="4"/>
      <c r="G92" s="4"/>
    </row>
    <row r="93" spans="1:7" x14ac:dyDescent="0.15">
      <c r="A93" s="9" t="s">
        <v>507</v>
      </c>
      <c r="B93" s="4"/>
      <c r="C93" s="4"/>
      <c r="D93" s="4"/>
      <c r="E93" s="4"/>
      <c r="F93" s="4"/>
      <c r="G93" s="4"/>
    </row>
    <row r="94" spans="1:7" ht="12" x14ac:dyDescent="0.15">
      <c r="A94" s="4" t="s">
        <v>506</v>
      </c>
      <c r="B94" s="17">
        <v>3</v>
      </c>
      <c r="C94" s="17" t="s">
        <v>42</v>
      </c>
      <c r="D94" s="17">
        <v>5.9969999999999999</v>
      </c>
      <c r="E94" s="17">
        <v>3.2909999999999999</v>
      </c>
      <c r="F94" s="17">
        <v>23.481999999999999</v>
      </c>
      <c r="G94" s="17">
        <v>9.1300000000000008</v>
      </c>
    </row>
    <row r="95" spans="1:7" ht="12" x14ac:dyDescent="0.15">
      <c r="A95" s="9" t="s">
        <v>508</v>
      </c>
      <c r="B95" s="62">
        <v>3</v>
      </c>
      <c r="C95" s="62" t="s">
        <v>42</v>
      </c>
      <c r="D95" s="62">
        <v>5.9969999999999999</v>
      </c>
      <c r="E95" s="62">
        <v>3.2909999999999999</v>
      </c>
      <c r="F95" s="62">
        <v>23.481999999999999</v>
      </c>
      <c r="G95" s="62">
        <v>9.1300000000000008</v>
      </c>
    </row>
    <row r="96" spans="1:7" x14ac:dyDescent="0.15">
      <c r="A96" s="4"/>
      <c r="B96" s="4"/>
      <c r="C96" s="4"/>
      <c r="D96" s="4"/>
      <c r="E96" s="4"/>
      <c r="F96" s="4"/>
      <c r="G96" s="4"/>
    </row>
    <row r="97" spans="1:7" x14ac:dyDescent="0.15">
      <c r="A97" s="9" t="s">
        <v>509</v>
      </c>
      <c r="B97" s="4"/>
      <c r="C97" s="4"/>
      <c r="D97" s="4"/>
      <c r="E97" s="4"/>
      <c r="F97" s="4"/>
      <c r="G97" s="4"/>
    </row>
    <row r="98" spans="1:7" x14ac:dyDescent="0.15">
      <c r="A98" s="4" t="s">
        <v>506</v>
      </c>
      <c r="B98" s="17">
        <v>13.074</v>
      </c>
      <c r="C98" s="17">
        <v>10.331</v>
      </c>
      <c r="D98" s="17">
        <v>22.542000000000002</v>
      </c>
      <c r="E98" s="17">
        <v>10.561</v>
      </c>
      <c r="F98" s="17">
        <v>82.911000000000001</v>
      </c>
      <c r="G98" s="17">
        <v>32.823999999999998</v>
      </c>
    </row>
    <row r="99" spans="1:7" x14ac:dyDescent="0.15">
      <c r="A99" s="9" t="s">
        <v>510</v>
      </c>
      <c r="B99" s="62">
        <v>13.074</v>
      </c>
      <c r="C99" s="62">
        <v>10.331</v>
      </c>
      <c r="D99" s="62">
        <v>22.542000000000002</v>
      </c>
      <c r="E99" s="62">
        <v>10.561</v>
      </c>
      <c r="F99" s="62">
        <v>82.911000000000001</v>
      </c>
      <c r="G99" s="62">
        <v>32.823999999999998</v>
      </c>
    </row>
    <row r="100" spans="1:7" x14ac:dyDescent="0.15">
      <c r="A100" s="4"/>
      <c r="B100" s="4"/>
      <c r="C100" s="4"/>
      <c r="D100" s="4"/>
      <c r="E100" s="4"/>
      <c r="F100" s="4"/>
      <c r="G100" s="4"/>
    </row>
    <row r="101" spans="1:7" x14ac:dyDescent="0.15">
      <c r="A101" s="9" t="s">
        <v>501</v>
      </c>
      <c r="B101" s="4"/>
      <c r="C101" s="4"/>
      <c r="D101" s="4"/>
      <c r="E101" s="4"/>
      <c r="F101" s="4"/>
      <c r="G101" s="4"/>
    </row>
    <row r="102" spans="1:7" x14ac:dyDescent="0.15">
      <c r="A102" s="4" t="s">
        <v>506</v>
      </c>
      <c r="B102" s="17">
        <v>606.63699999999994</v>
      </c>
      <c r="C102" s="17">
        <v>612.11900000000003</v>
      </c>
      <c r="D102" s="17">
        <v>619.29600000000005</v>
      </c>
      <c r="E102" s="17">
        <v>612.29600000000005</v>
      </c>
      <c r="F102" s="17">
        <v>705.78499999999997</v>
      </c>
      <c r="G102" s="17">
        <v>731.428</v>
      </c>
    </row>
    <row r="103" spans="1:7" x14ac:dyDescent="0.15">
      <c r="A103" s="9" t="s">
        <v>467</v>
      </c>
      <c r="B103" s="62">
        <v>606.63699999999994</v>
      </c>
      <c r="C103" s="62">
        <v>612.11900000000003</v>
      </c>
      <c r="D103" s="62">
        <v>619.29600000000005</v>
      </c>
      <c r="E103" s="62">
        <v>612.29600000000005</v>
      </c>
      <c r="F103" s="62">
        <v>705.78499999999997</v>
      </c>
      <c r="G103" s="62">
        <v>731.428</v>
      </c>
    </row>
    <row r="104" spans="1:7" x14ac:dyDescent="0.15">
      <c r="A104" s="4"/>
      <c r="B104" s="4"/>
      <c r="C104" s="4"/>
      <c r="D104" s="4"/>
      <c r="E104" s="4"/>
      <c r="F104" s="4"/>
      <c r="G104" s="4"/>
    </row>
    <row r="105" spans="1:7" x14ac:dyDescent="0.15">
      <c r="A105" s="9" t="s">
        <v>502</v>
      </c>
      <c r="B105" s="4"/>
      <c r="C105" s="4"/>
      <c r="D105" s="4"/>
      <c r="E105" s="4"/>
      <c r="F105" s="4"/>
      <c r="G105" s="4"/>
    </row>
    <row r="106" spans="1:7" x14ac:dyDescent="0.15">
      <c r="A106" s="4" t="s">
        <v>506</v>
      </c>
      <c r="B106" s="17">
        <v>7.9550000000000001</v>
      </c>
      <c r="C106" s="17">
        <v>8.1950000000000003</v>
      </c>
      <c r="D106" s="17">
        <v>9.5220000000000002</v>
      </c>
      <c r="E106" s="17">
        <v>9.5470000000000006</v>
      </c>
      <c r="F106" s="17">
        <v>10.670999999999999</v>
      </c>
      <c r="G106" s="17">
        <v>13.257999999999999</v>
      </c>
    </row>
    <row r="107" spans="1:7" x14ac:dyDescent="0.15">
      <c r="A107" s="9" t="s">
        <v>503</v>
      </c>
      <c r="B107" s="62">
        <v>7.9550000000000001</v>
      </c>
      <c r="C107" s="62">
        <v>8.1950000000000003</v>
      </c>
      <c r="D107" s="62">
        <v>9.5220000000000002</v>
      </c>
      <c r="E107" s="62">
        <v>9.5470000000000006</v>
      </c>
      <c r="F107" s="62">
        <v>10.670999999999999</v>
      </c>
      <c r="G107" s="62">
        <v>13.257999999999999</v>
      </c>
    </row>
    <row r="108" spans="1:7" x14ac:dyDescent="0.15">
      <c r="A108" s="4"/>
      <c r="B108" s="4"/>
      <c r="C108" s="4"/>
      <c r="D108" s="4"/>
      <c r="E108" s="4"/>
      <c r="F108" s="4"/>
      <c r="G108" s="4"/>
    </row>
    <row r="109" spans="1:7" x14ac:dyDescent="0.15">
      <c r="A109" s="9" t="s">
        <v>242</v>
      </c>
      <c r="B109" s="4"/>
      <c r="C109" s="4"/>
      <c r="D109" s="4"/>
      <c r="E109" s="4"/>
      <c r="F109" s="4"/>
      <c r="G109" s="4"/>
    </row>
    <row r="110" spans="1:7" x14ac:dyDescent="0.15">
      <c r="A110" s="4" t="s">
        <v>506</v>
      </c>
      <c r="B110" s="17">
        <v>-34</v>
      </c>
      <c r="C110" s="17">
        <v>-14.5</v>
      </c>
      <c r="D110" s="17">
        <v>-7.6</v>
      </c>
      <c r="E110" s="17">
        <v>-8.3000000000000007</v>
      </c>
      <c r="F110" s="17">
        <v>-9.9</v>
      </c>
      <c r="G110" s="17">
        <v>-5.6</v>
      </c>
    </row>
    <row r="111" spans="1:7" x14ac:dyDescent="0.15">
      <c r="A111" s="9" t="s">
        <v>504</v>
      </c>
      <c r="B111" s="62">
        <v>-34</v>
      </c>
      <c r="C111" s="62">
        <v>-14.5</v>
      </c>
      <c r="D111" s="62">
        <v>-7.6</v>
      </c>
      <c r="E111" s="62">
        <v>-8.3000000000000007</v>
      </c>
      <c r="F111" s="62">
        <v>-9.9</v>
      </c>
      <c r="G111" s="62">
        <v>-5.6</v>
      </c>
    </row>
    <row r="112" spans="1:7" x14ac:dyDescent="0.15">
      <c r="A112" s="4"/>
      <c r="B112" s="4"/>
      <c r="C112" s="4"/>
      <c r="D112" s="4"/>
      <c r="E112" s="4"/>
      <c r="F112" s="4"/>
      <c r="G112" s="4"/>
    </row>
    <row r="113" spans="1:7" x14ac:dyDescent="0.15">
      <c r="A113" s="4"/>
      <c r="B113" s="4" t="s">
        <v>32</v>
      </c>
      <c r="C113" s="4" t="s">
        <v>32</v>
      </c>
      <c r="D113" s="4" t="s">
        <v>32</v>
      </c>
      <c r="E113" s="4" t="s">
        <v>32</v>
      </c>
      <c r="F113" s="4" t="s">
        <v>32</v>
      </c>
      <c r="G113" s="4" t="s">
        <v>32</v>
      </c>
    </row>
    <row r="114" spans="1:7" x14ac:dyDescent="0.15">
      <c r="A114" s="4" t="s">
        <v>136</v>
      </c>
      <c r="B114" s="27">
        <v>43910</v>
      </c>
      <c r="C114" s="27">
        <v>44274</v>
      </c>
      <c r="D114" s="27">
        <v>44621</v>
      </c>
      <c r="E114" s="27">
        <v>45002</v>
      </c>
      <c r="F114" s="27">
        <v>45366</v>
      </c>
      <c r="G114" s="27">
        <v>45366</v>
      </c>
    </row>
    <row r="115" spans="1:7" x14ac:dyDescent="0.15">
      <c r="A115" s="11"/>
      <c r="B115" s="11"/>
      <c r="C115" s="11"/>
      <c r="D115" s="11"/>
      <c r="E115" s="11"/>
      <c r="F115" s="11"/>
      <c r="G115" s="11"/>
    </row>
    <row r="116" spans="1:7" x14ac:dyDescent="0.15">
      <c r="A116" s="22" t="s">
        <v>60</v>
      </c>
    </row>
  </sheetData>
  <phoneticPr fontId="0" type="noConversion"/>
  <pageMargins left="0.2" right="0.2" top="0.5" bottom="0.5" header="0.5" footer="0.5"/>
  <pageSetup fitToWidth="0" fitToHeight="0"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Key Stats</vt:lpstr>
      <vt:lpstr>Income Statement</vt:lpstr>
      <vt:lpstr>Balance Sheet</vt:lpstr>
      <vt:lpstr>Cash Flow</vt:lpstr>
      <vt:lpstr>Multiples</vt:lpstr>
      <vt:lpstr>Historical Capitalization</vt:lpstr>
      <vt:lpstr>Capital Structure Summary</vt:lpstr>
      <vt:lpstr>Capital Structure Details</vt:lpstr>
      <vt:lpstr>Ratios</vt:lpstr>
      <vt:lpstr>Segments</vt:lpstr>
      <vt:lpstr>fcff</vt:lpstr>
      <vt:lpstr>'Key Stats'!Print_Area</vt:lpstr>
      <vt:lpstr>'Balance Sheet'!Print_Titles</vt:lpstr>
      <vt:lpstr>'Capital Structure Details'!Print_Titles</vt:lpstr>
      <vt:lpstr>'Capital Structure Summary'!Print_Titles</vt:lpstr>
      <vt:lpstr>'Cash Flow'!Print_Titles</vt:lpstr>
      <vt:lpstr>'Historical Capitalization'!Print_Titles</vt:lpstr>
      <vt:lpstr>'Income Statement'!Print_Titles</vt:lpstr>
      <vt:lpstr>'Key Stats'!Print_Titles</vt:lpstr>
      <vt:lpstr>Multiples!Print_Titles</vt:lpstr>
      <vt:lpstr>Ratios!Print_Titles</vt:lpstr>
      <vt:lpstr>Segments!Print_Titles</vt:lpstr>
      <vt:lpstr>tgr</vt:lpstr>
      <vt:lpstr>wacc</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2004-07-20T21:40:42Z</dcterms:created>
  <dcterms:modified xsi:type="dcterms:W3CDTF">2024-08-05T20:00:45Z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8.6.2.281 (http://officewriter.softartisans.com)</vt:lpwstr>
  </property>
</Properties>
</file>