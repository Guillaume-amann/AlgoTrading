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/Downloads/Imperial/QT Capital/Equity/"/>
    </mc:Choice>
  </mc:AlternateContent>
  <xr:revisionPtr revIDLastSave="0" documentId="8_{D5A2C99C-50AC-F142-BC84-D4B2E5C4E275}" xr6:coauthVersionLast="47" xr6:coauthVersionMax="47" xr10:uidLastSave="{00000000-0000-0000-0000-000000000000}"/>
  <bookViews>
    <workbookView xWindow="0" yWindow="500" windowWidth="28800" windowHeight="15840" activeTab="6" xr2:uid="{00000000-000D-0000-FFFF-FFFF00000000}"/>
  </bookViews>
  <sheets>
    <sheet name="DCF" sheetId="1" r:id="rId1"/>
    <sheet name="CCA" sheetId="2" r:id="rId2"/>
    <sheet name="Summary" sheetId="7" r:id="rId3"/>
    <sheet name="IS" sheetId="4" r:id="rId4"/>
    <sheet name="BS" sheetId="5" r:id="rId5"/>
    <sheet name="CF" sheetId="6" r:id="rId6"/>
    <sheet name="Graphs" sheetId="3" r:id="rId7"/>
    <sheet name="Rev. segments" sheetId="8" r:id="rId8"/>
  </sheets>
  <definedNames>
    <definedName name="cash">DCF!$C$24</definedName>
    <definedName name="debt">DCF!$C$25</definedName>
    <definedName name="ebi">CCA!$L$20:$L$24,CCA!$L$26:$L$30</definedName>
    <definedName name="fcff">DCF!$L$18</definedName>
    <definedName name="_xlnm.Print_Area" localSheetId="1">CCA!$A$1:$O$41</definedName>
    <definedName name="_xlnm.Print_Area" localSheetId="0">DCF!$A$1:$M$31</definedName>
    <definedName name="_xlnm.Print_Area" localSheetId="6">Graphs!$A$1:$L$98</definedName>
    <definedName name="reve">CCA!$J$20:$J$23,CCA!$J$25:$J$30</definedName>
    <definedName name="tgr">DCF!$I$22</definedName>
    <definedName name="wacc">DCF!$I$21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5" i="3" l="1"/>
  <c r="O65" i="3" s="1"/>
  <c r="N66" i="3"/>
  <c r="O66" i="3" s="1"/>
  <c r="Y23" i="8" l="1"/>
  <c r="Z23" i="8"/>
  <c r="AA23" i="8"/>
  <c r="H22" i="2"/>
  <c r="Z57" i="3"/>
  <c r="Y57" i="3"/>
  <c r="X57" i="3"/>
  <c r="W57" i="3"/>
  <c r="V57" i="3"/>
  <c r="Z56" i="3"/>
  <c r="Y56" i="3"/>
  <c r="X56" i="3"/>
  <c r="W56" i="3"/>
  <c r="V56" i="3"/>
  <c r="H15" i="1"/>
  <c r="J13" i="1"/>
  <c r="I13" i="1"/>
  <c r="H13" i="1"/>
  <c r="L12" i="1"/>
  <c r="L14" i="1" s="1"/>
  <c r="K12" i="1"/>
  <c r="K14" i="1" s="1"/>
  <c r="J12" i="1"/>
  <c r="J14" i="1" s="1"/>
  <c r="J15" i="1" s="1"/>
  <c r="J11" i="1"/>
  <c r="I11" i="1"/>
  <c r="H11" i="1"/>
  <c r="I15" i="1"/>
  <c r="J7" i="1"/>
  <c r="I7" i="1"/>
  <c r="H7" i="1"/>
  <c r="L6" i="1"/>
  <c r="L13" i="1" s="1"/>
  <c r="K6" i="1"/>
  <c r="K7" i="1" s="1"/>
  <c r="J6" i="1"/>
  <c r="F29" i="1"/>
  <c r="K13" i="1" l="1"/>
  <c r="L7" i="1"/>
  <c r="L15" i="1"/>
  <c r="K15" i="1"/>
  <c r="J10" i="1"/>
  <c r="J18" i="1"/>
  <c r="K11" i="1" l="1"/>
  <c r="I21" i="1"/>
  <c r="L18" i="1"/>
  <c r="K18" i="1"/>
  <c r="P22" i="1"/>
  <c r="L27" i="2"/>
  <c r="L30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1" i="2"/>
  <c r="M21" i="2"/>
  <c r="L21" i="2"/>
  <c r="K21" i="2"/>
  <c r="J21" i="2"/>
  <c r="I21" i="2"/>
  <c r="H21" i="2"/>
  <c r="G21" i="2"/>
  <c r="F21" i="2"/>
  <c r="E21" i="2"/>
  <c r="D21" i="2"/>
  <c r="C21" i="2"/>
  <c r="J6" i="2"/>
  <c r="I6" i="2"/>
  <c r="H6" i="2"/>
  <c r="Q5" i="7" a="1"/>
  <c r="Q5" i="7" s="1"/>
  <c r="Q3" i="3" a="1"/>
  <c r="Q3" i="3" s="1"/>
  <c r="P3" i="3" a="1"/>
  <c r="P3" i="3" s="1"/>
  <c r="C24" i="1"/>
  <c r="BV16" i="7" a="1"/>
  <c r="BV16" i="7" s="1"/>
  <c r="F26" i="1"/>
  <c r="H19" i="1" s="1"/>
  <c r="F24" i="1"/>
  <c r="F22" i="1"/>
  <c r="D6" i="2"/>
  <c r="G6" i="2"/>
  <c r="F6" i="2"/>
  <c r="N6" i="2"/>
  <c r="M6" i="2"/>
  <c r="L6" i="2"/>
  <c r="K6" i="2"/>
  <c r="C25" i="1"/>
  <c r="L11" i="1" l="1"/>
  <c r="L10" i="1" s="1"/>
  <c r="K10" i="1"/>
  <c r="C21" i="1"/>
  <c r="C22" i="1" s="1"/>
  <c r="R26" i="1"/>
  <c r="F30" i="1"/>
  <c r="F21" i="1" s="1"/>
  <c r="N30" i="2"/>
  <c r="M30" i="2"/>
  <c r="K30" i="2"/>
  <c r="J30" i="2"/>
  <c r="I30" i="2"/>
  <c r="H30" i="2"/>
  <c r="G30" i="2"/>
  <c r="F30" i="2"/>
  <c r="E30" i="2"/>
  <c r="D30" i="2"/>
  <c r="C30" i="2"/>
  <c r="I29" i="2"/>
  <c r="N29" i="2"/>
  <c r="M29" i="2"/>
  <c r="L29" i="2"/>
  <c r="K29" i="2"/>
  <c r="J29" i="2"/>
  <c r="H29" i="2"/>
  <c r="G29" i="2"/>
  <c r="F29" i="2"/>
  <c r="E29" i="2"/>
  <c r="D29" i="2"/>
  <c r="C29" i="2"/>
  <c r="L20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K27" i="2"/>
  <c r="J27" i="2"/>
  <c r="I27" i="2"/>
  <c r="H27" i="2"/>
  <c r="G27" i="2"/>
  <c r="F27" i="2"/>
  <c r="E27" i="2"/>
  <c r="D27" i="2"/>
  <c r="C27" i="2"/>
  <c r="F25" i="1" l="1"/>
  <c r="M20" i="2"/>
  <c r="E6" i="2"/>
  <c r="O29" i="1" l="1"/>
  <c r="O28" i="1" l="1"/>
  <c r="O30" i="1"/>
  <c r="E20" i="2"/>
  <c r="I20" i="2"/>
  <c r="K20" i="2"/>
  <c r="G20" i="2"/>
  <c r="N20" i="2"/>
  <c r="O31" i="1" l="1"/>
  <c r="O27" i="1"/>
  <c r="I4" i="1"/>
  <c r="I19" i="1" l="1"/>
  <c r="B4" i="3" a="1"/>
  <c r="B4" i="3" s="1"/>
  <c r="J4" i="1"/>
  <c r="C20" i="2"/>
  <c r="C22" i="2"/>
  <c r="I22" i="2"/>
  <c r="J19" i="1" l="1"/>
  <c r="K4" i="1"/>
  <c r="D22" i="2"/>
  <c r="J22" i="2"/>
  <c r="D40" i="2" s="1"/>
  <c r="K19" i="1" l="1"/>
  <c r="L4" i="1"/>
  <c r="J20" i="2"/>
  <c r="D20" i="2"/>
  <c r="F20" i="2"/>
  <c r="H20" i="2"/>
  <c r="E22" i="2"/>
  <c r="K22" i="2"/>
  <c r="L19" i="1" l="1"/>
  <c r="R30" i="1" s="1"/>
  <c r="R28" i="1"/>
  <c r="R27" i="1"/>
  <c r="R31" i="1"/>
  <c r="D34" i="2"/>
  <c r="G34" i="2" s="1"/>
  <c r="J34" i="2" s="1"/>
  <c r="D35" i="2"/>
  <c r="G35" i="2" s="1"/>
  <c r="J35" i="2" s="1"/>
  <c r="D39" i="2"/>
  <c r="G39" i="2" s="1"/>
  <c r="J39" i="2" s="1"/>
  <c r="D37" i="2"/>
  <c r="G40" i="2"/>
  <c r="J40" i="2" s="1"/>
  <c r="F22" i="2"/>
  <c r="L22" i="2"/>
  <c r="C23" i="1" l="1"/>
  <c r="C26" i="1" s="1"/>
  <c r="C28" i="1" s="1"/>
  <c r="R29" i="1"/>
  <c r="E37" i="2"/>
  <c r="E35" i="2"/>
  <c r="H35" i="2" s="1"/>
  <c r="E34" i="2"/>
  <c r="H34" i="2" s="1"/>
  <c r="K34" i="2" s="1"/>
  <c r="M34" i="2" s="1"/>
  <c r="E39" i="2"/>
  <c r="H39" i="2" s="1"/>
  <c r="D36" i="2"/>
  <c r="G36" i="2" s="1"/>
  <c r="J36" i="2" s="1"/>
  <c r="D38" i="2"/>
  <c r="G38" i="2" s="1"/>
  <c r="J38" i="2" s="1"/>
  <c r="E40" i="2"/>
  <c r="G37" i="2"/>
  <c r="J37" i="2" s="1"/>
  <c r="G22" i="2"/>
  <c r="M22" i="2"/>
  <c r="E38" i="2" l="1"/>
  <c r="H38" i="2" s="1"/>
  <c r="K38" i="2" s="1"/>
  <c r="M38" i="2" s="1"/>
  <c r="E36" i="2"/>
  <c r="H36" i="2" s="1"/>
  <c r="K36" i="2" s="1"/>
  <c r="M36" i="2" s="1"/>
  <c r="H37" i="2"/>
  <c r="K37" i="2" s="1"/>
  <c r="M37" i="2" s="1"/>
  <c r="K39" i="2"/>
  <c r="M39" i="2" s="1"/>
  <c r="K35" i="2"/>
  <c r="M35" i="2" s="1"/>
  <c r="H40" i="2"/>
  <c r="N22" i="2"/>
  <c r="F34" i="2" s="1"/>
  <c r="F40" i="2" l="1"/>
  <c r="I40" i="2" s="1"/>
  <c r="L40" i="2" s="1"/>
  <c r="F35" i="2"/>
  <c r="I35" i="2" s="1"/>
  <c r="F39" i="2"/>
  <c r="I39" i="2" s="1"/>
  <c r="F37" i="2"/>
  <c r="K40" i="2"/>
  <c r="M40" i="2" s="1"/>
  <c r="F38" i="2" l="1"/>
  <c r="I38" i="2" s="1"/>
  <c r="L38" i="2" s="1"/>
  <c r="F36" i="2"/>
  <c r="I36" i="2" s="1"/>
  <c r="L36" i="2" s="1"/>
  <c r="I37" i="2"/>
  <c r="L37" i="2" s="1"/>
  <c r="I34" i="2"/>
  <c r="L34" i="2" s="1"/>
  <c r="L35" i="2"/>
  <c r="L39" i="2"/>
  <c r="Q26" i="1" l="1"/>
  <c r="S26" i="1"/>
  <c r="S29" i="1" l="1"/>
  <c r="S30" i="1"/>
  <c r="S28" i="1"/>
  <c r="S31" i="1"/>
  <c r="S27" i="1"/>
  <c r="Q29" i="1"/>
  <c r="Q28" i="1"/>
  <c r="Q30" i="1"/>
  <c r="Q31" i="1"/>
  <c r="Q27" i="1"/>
  <c r="T26" i="1"/>
  <c r="P26" i="1"/>
  <c r="T29" i="1" l="1"/>
  <c r="T30" i="1"/>
  <c r="T28" i="1"/>
  <c r="T27" i="1"/>
  <c r="T31" i="1"/>
  <c r="P29" i="1"/>
  <c r="P30" i="1"/>
  <c r="P28" i="1"/>
  <c r="P31" i="1"/>
  <c r="P27" i="1"/>
  <c r="C3" i="3" a="1"/>
  <c r="C3" i="3" s="1"/>
  <c r="C4" i="3" l="1" a="1"/>
  <c r="C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<sst xmlns="http://schemas.openxmlformats.org/spreadsheetml/2006/main" count="2075" uniqueCount="784">
  <si>
    <t>Discounted Cash Flow Analysis</t>
  </si>
  <si>
    <t>CSX Corp. (CSX)</t>
  </si>
  <si>
    <t>Perpetuity Approach</t>
  </si>
  <si>
    <t>$M</t>
  </si>
  <si>
    <t>Python -&gt;</t>
  </si>
  <si>
    <t>% Debt</t>
  </si>
  <si>
    <t>WACC 
(% Equity x Cost of Equity) + (% Debt x Cost of Debt x (1 -Tax rate))</t>
  </si>
  <si>
    <t>← from Bloomberg</t>
  </si>
  <si>
    <t>Share Price on</t>
  </si>
  <si>
    <t>Enterprise Value</t>
  </si>
  <si>
    <t>Cost of Debt</t>
  </si>
  <si>
    <t>TGR</t>
  </si>
  <si>
    <t>Upside in 2026</t>
  </si>
  <si>
    <t xml:space="preserve">   + Cash</t>
  </si>
  <si>
    <t>Tax Rate</t>
  </si>
  <si>
    <t xml:space="preserve">   - Debt</t>
  </si>
  <si>
    <t>Equity Value</t>
  </si>
  <si>
    <t>% Equity</t>
  </si>
  <si>
    <t>Terminal Growth Rate</t>
  </si>
  <si>
    <t>Shares</t>
  </si>
  <si>
    <t>Cost of Equity
Risk Free Rate + (Beta x (Expected Market Return - Risk Free Rate))</t>
  </si>
  <si>
    <t>Share Price</t>
  </si>
  <si>
    <t>Risk Free Rate</t>
  </si>
  <si>
    <t>from US10Y</t>
  </si>
  <si>
    <t>WACC</t>
  </si>
  <si>
    <t>Beta</t>
  </si>
  <si>
    <t>Market Risk Premium 
= Market return - Risk free return</t>
  </si>
  <si>
    <t>Debt + Equity</t>
  </si>
  <si>
    <t>Comparable Company Analysis</t>
  </si>
  <si>
    <r>
      <t>Revenue</t>
    </r>
    <r>
      <rPr>
        <sz val="8"/>
        <color theme="1"/>
        <rFont val="Calibri (Body)"/>
      </rPr>
      <t xml:space="preserve"> (in million USDs)</t>
    </r>
  </si>
  <si>
    <r>
      <t xml:space="preserve">EBITDA  </t>
    </r>
    <r>
      <rPr>
        <sz val="8"/>
        <color theme="1"/>
        <rFont val="Calibri (Body)"/>
      </rPr>
      <t>(in million USDs)</t>
    </r>
  </si>
  <si>
    <r>
      <t xml:space="preserve">Net Income </t>
    </r>
    <r>
      <rPr>
        <sz val="8"/>
        <color theme="1"/>
        <rFont val="Calibri (Body)"/>
      </rPr>
      <t>(in millions)</t>
    </r>
  </si>
  <si>
    <t>Ticker</t>
  </si>
  <si>
    <t>Company</t>
  </si>
  <si>
    <t>nbr of Shares</t>
  </si>
  <si>
    <t>Market Cap</t>
  </si>
  <si>
    <t>WAB</t>
  </si>
  <si>
    <t>WAB Tech</t>
  </si>
  <si>
    <t>JBHT</t>
  </si>
  <si>
    <t>`J.B. Hunt</t>
  </si>
  <si>
    <t>KTK</t>
  </si>
  <si>
    <t>KTK Group</t>
  </si>
  <si>
    <t>ODFL</t>
  </si>
  <si>
    <t>Old Dominion Freight Line</t>
  </si>
  <si>
    <t>SRAIL</t>
  </si>
  <si>
    <t>Stadler Rail</t>
  </si>
  <si>
    <t>CP</t>
  </si>
  <si>
    <t>Canadian Pacific</t>
  </si>
  <si>
    <t>CNR</t>
  </si>
  <si>
    <t>Canadian National Railways</t>
  </si>
  <si>
    <t>NSC</t>
  </si>
  <si>
    <t>Norfolk Southern</t>
  </si>
  <si>
    <t>TRN</t>
  </si>
  <si>
    <t>Trinity Industres</t>
  </si>
  <si>
    <t>UNP</t>
  </si>
  <si>
    <t>Union Pacific</t>
  </si>
  <si>
    <t>GET</t>
  </si>
  <si>
    <t>Getlink</t>
  </si>
  <si>
    <t>Revenue Growth</t>
  </si>
  <si>
    <t>EBITDA Margin</t>
  </si>
  <si>
    <t>Profit Margin</t>
  </si>
  <si>
    <t>EV / Revenue</t>
  </si>
  <si>
    <t>EV / EBITDA</t>
  </si>
  <si>
    <t>P / E</t>
  </si>
  <si>
    <t>2023 Trading Multiple</t>
  </si>
  <si>
    <t>Implied Share Price</t>
  </si>
  <si>
    <t>Revenue</t>
  </si>
  <si>
    <t>EBITDA</t>
  </si>
  <si>
    <t>P/E</t>
  </si>
  <si>
    <t>Net Income</t>
  </si>
  <si>
    <t>Minimum</t>
  </si>
  <si>
    <t>1st Quartile</t>
  </si>
  <si>
    <t>Lower Limit 75%</t>
  </si>
  <si>
    <t>Mean</t>
  </si>
  <si>
    <t>Upper Limit 75%</t>
  </si>
  <si>
    <t>3rd Quartile</t>
  </si>
  <si>
    <t>Maximum</t>
  </si>
  <si>
    <t>CSX Corp (CSX US) - BBG Adj Highlights</t>
  </si>
  <si>
    <t>CSX Corp (CSX US) - Growth</t>
  </si>
  <si>
    <t>CSX Corp (CSX US) - L#1518025</t>
  </si>
  <si>
    <t>In Millions of USD</t>
  </si>
  <si>
    <t>FY 2018</t>
  </si>
  <si>
    <t>FY 2019</t>
  </si>
  <si>
    <t>FY 2020</t>
  </si>
  <si>
    <t>FY 2021</t>
  </si>
  <si>
    <t>FY 2022</t>
  </si>
  <si>
    <t>Current/LTM</t>
  </si>
  <si>
    <t>FY 2023 Est</t>
  </si>
  <si>
    <t>FY 2024 Est</t>
  </si>
  <si>
    <t>In Millions of USD except Per Share</t>
  </si>
  <si>
    <t>FY 1988</t>
  </si>
  <si>
    <t>FY 1989</t>
  </si>
  <si>
    <t>FY 1990</t>
  </si>
  <si>
    <t>FY 1991</t>
  </si>
  <si>
    <t>FY 1992</t>
  </si>
  <si>
    <t>FY 1993</t>
  </si>
  <si>
    <t>FY 1994</t>
  </si>
  <si>
    <t>FY 1995</t>
  </si>
  <si>
    <t>FY 1996</t>
  </si>
  <si>
    <t>FY 1997</t>
  </si>
  <si>
    <t>FY 1998</t>
  </si>
  <si>
    <t>FY 1999</t>
  </si>
  <si>
    <t>FY 2000</t>
  </si>
  <si>
    <t>FY 2001</t>
  </si>
  <si>
    <t>FY 2002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</si>
  <si>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</si>
  <si>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</si>
  <si>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</si>
  <si>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</si>
  <si>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</si>
  <si>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</si>
  <si>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</si>
  <si>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</si>
  <si>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</si>
  <si>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</si>
  <si>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</si>
  <si>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</si>
  <si>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</si>
  <si>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</si>
  <si>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</si>
  <si>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WACC History</t>
  </si>
  <si>
    <t>12 Months Ending</t>
  </si>
  <si>
    <t>12/31/2018</t>
  </si>
  <si>
    <t>12/31/2019</t>
  </si>
  <si>
    <t>12/31/2020</t>
  </si>
  <si>
    <t>12/31/2021</t>
  </si>
  <si>
    <t>12/31/2022</t>
  </si>
  <si>
    <t>09/30/2023</t>
  </si>
  <si>
    <t>12/31/2023</t>
  </si>
  <si>
    <t>12/31/2024</t>
  </si>
  <si>
    <t>12/31/1988</t>
  </si>
  <si>
    <t>12/31/1989</t>
  </si>
  <si>
    <t>12/31/1990</t>
  </si>
  <si>
    <t>12/31/1991</t>
  </si>
  <si>
    <t>12/31/1992</t>
  </si>
  <si>
    <t>12/31/1993</t>
  </si>
  <si>
    <t>12/30/1994</t>
  </si>
  <si>
    <t>12/30/1995</t>
  </si>
  <si>
    <t>12/31/1996</t>
  </si>
  <si>
    <t>12/26/1997</t>
  </si>
  <si>
    <t>12/31/1998</t>
  </si>
  <si>
    <t>12/31/1999</t>
  </si>
  <si>
    <t>12/29/2000</t>
  </si>
  <si>
    <t>12/28/2001</t>
  </si>
  <si>
    <t>12/27/2002</t>
  </si>
  <si>
    <t>12/26/2003</t>
  </si>
  <si>
    <t>12/31/2004</t>
  </si>
  <si>
    <t>12/30/2005</t>
  </si>
  <si>
    <t>12/29/2006</t>
  </si>
  <si>
    <t>12/28/2007</t>
  </si>
  <si>
    <t>12/26/2008</t>
  </si>
  <si>
    <t>12/25/2009</t>
  </si>
  <si>
    <t>12/31/2010</t>
  </si>
  <si>
    <t>12/30/2011</t>
  </si>
  <si>
    <t>12/28/2012</t>
  </si>
  <si>
    <t>12/27/2013</t>
  </si>
  <si>
    <t>12/26/2014</t>
  </si>
  <si>
    <t>12/25/2015</t>
  </si>
  <si>
    <t>12/30/2016</t>
  </si>
  <si>
    <t>12/31/2017</t>
  </si>
  <si>
    <t>Market Capitalization</t>
  </si>
  <si>
    <t>HISTORICAL_MARKET_CAP</t>
  </si>
  <si>
    <t>1 Year Growth</t>
  </si>
  <si>
    <t>Equity</t>
  </si>
  <si>
    <t>- Cash &amp; Equivalents</t>
  </si>
  <si>
    <t>CASH_AND_MARKETABLE_SECURITIES</t>
  </si>
  <si>
    <t>SALES_GROWTH</t>
  </si>
  <si>
    <t>Cost of Equity</t>
  </si>
  <si>
    <t>WACC_COST_EQUITY</t>
  </si>
  <si>
    <t>+ Preferred &amp; Other</t>
  </si>
  <si>
    <t>PFD_EQTY_MINORTY_INTEREST</t>
  </si>
  <si>
    <t>EBITDA_GROWTH</t>
  </si>
  <si>
    <t>Weight of Equity</t>
  </si>
  <si>
    <t>WACC_WEIGHT_OF_EQUITY</t>
  </si>
  <si>
    <t>+ Total Debt</t>
  </si>
  <si>
    <t>SHORT_AND_LONG_TERM_DEBT</t>
  </si>
  <si>
    <t>Operating Income</t>
  </si>
  <si>
    <t>OPER_INC_GROWTH</t>
  </si>
  <si>
    <t>+ Debt</t>
  </si>
  <si>
    <t>ENTERPRISE_VALUE</t>
  </si>
  <si>
    <t>Net Income to Common</t>
  </si>
  <si>
    <t>EARN_FOR_COM_GROWTH</t>
  </si>
  <si>
    <t>—</t>
  </si>
  <si>
    <t>WACC_COST_DEBT</t>
  </si>
  <si>
    <t>EPS Diluted</t>
  </si>
  <si>
    <t>DILUTED_EPS_AFT_XO_ITEMS_GROWTH</t>
  </si>
  <si>
    <t>Weight of Debt</t>
  </si>
  <si>
    <t>WACC_WEIGHT_OF_DEBT</t>
  </si>
  <si>
    <t>Revenue, Adj</t>
  </si>
  <si>
    <t>SALES_REV_TURN</t>
  </si>
  <si>
    <t>EPS Diluted before XO</t>
  </si>
  <si>
    <t>DILUTED_EPS_BEF_XO_ITEMS_GROWTH</t>
  </si>
  <si>
    <t>+ Preferred Equity</t>
  </si>
  <si>
    <t xml:space="preserve">  Growth %, YoY</t>
  </si>
  <si>
    <t>EPS Diluted before Abnormal</t>
  </si>
  <si>
    <t>RR_DIL_EPS_CONT_OPS_GROWTH</t>
  </si>
  <si>
    <t>Cost of Pref. Equity</t>
  </si>
  <si>
    <t>WACC_COST_PFD</t>
  </si>
  <si>
    <t>Gross Profit, Adj</t>
  </si>
  <si>
    <t>GROSS_PROFIT</t>
  </si>
  <si>
    <t>Dividend per Share</t>
  </si>
  <si>
    <t>DIVIDEND_PER_SHARE_1_YEAR_GROWTH</t>
  </si>
  <si>
    <t>Weight of Pref. Equity</t>
  </si>
  <si>
    <t>WACC_WEIGHT_OF_PREFERRED_EQUITY</t>
  </si>
  <si>
    <t xml:space="preserve">  Margin %</t>
  </si>
  <si>
    <t>EBITDA, Adj</t>
  </si>
  <si>
    <t>Accounts Receivable</t>
  </si>
  <si>
    <t>ACCOUNTS_RECEIVABLE_GROWTH</t>
  </si>
  <si>
    <t>Inventory</t>
  </si>
  <si>
    <t>INVENTORY_GROWTH</t>
  </si>
  <si>
    <t>Capital Structure</t>
  </si>
  <si>
    <t>Net Income, Adj</t>
  </si>
  <si>
    <t>EARN_FOR_COMMON</t>
  </si>
  <si>
    <t>Fixed Assets</t>
  </si>
  <si>
    <t>NET_FIXED_ASSETS_1_YEAR_GROWTH</t>
  </si>
  <si>
    <t>+ Historical Market Cap</t>
  </si>
  <si>
    <t>Total Assets</t>
  </si>
  <si>
    <t>ASSET_GROWTH</t>
  </si>
  <si>
    <t>+ Short Term Debt</t>
  </si>
  <si>
    <t>BS_ST_BORROW</t>
  </si>
  <si>
    <t>EPS, Adj</t>
  </si>
  <si>
    <t>IS_DIL_EPS_CONT_OPS</t>
  </si>
  <si>
    <t>Modified Working Capital</t>
  </si>
  <si>
    <t>MODIFIED_WORK_CAP_GROWTH</t>
  </si>
  <si>
    <t>+ Long Term Debt</t>
  </si>
  <si>
    <t>BS_LT_BORROW</t>
  </si>
  <si>
    <t>Working Capital</t>
  </si>
  <si>
    <t>WORK_CAP_GROWTH</t>
  </si>
  <si>
    <t>+ Preferred Equity and Hybrid Capital</t>
  </si>
  <si>
    <t>PFD_EQTY_HYBRID_CAPITAL</t>
  </si>
  <si>
    <t>Employees</t>
  </si>
  <si>
    <t>EMPL_GROWTH</t>
  </si>
  <si>
    <t>Total Capital</t>
  </si>
  <si>
    <t>WACC_TOTAL_CAPITAL</t>
  </si>
  <si>
    <t>Cash from Operations</t>
  </si>
  <si>
    <t>CF_CASH_FROM_OPER</t>
  </si>
  <si>
    <t>Accounts Payable</t>
  </si>
  <si>
    <t>ACCOUNTS_PAYABLE_GROWTH_1YR</t>
  </si>
  <si>
    <t>Capital Expenditures</t>
  </si>
  <si>
    <t>CAPITAL_EXPEND</t>
  </si>
  <si>
    <t>Short-Term Debt</t>
  </si>
  <si>
    <t>SHORT_TERM_DEBT_1_YEAR_GROWTH</t>
  </si>
  <si>
    <t>EVA</t>
  </si>
  <si>
    <t>Free Cash Flow</t>
  </si>
  <si>
    <t>CF_FREE_CASH_FLOW</t>
  </si>
  <si>
    <t>Total Debt</t>
  </si>
  <si>
    <t>TOTAL_DEBT_1_YEAR_GROWTH</t>
  </si>
  <si>
    <t>+ Net Op. Profit</t>
  </si>
  <si>
    <t>WACC_NET_OPER_PROFIT</t>
  </si>
  <si>
    <t>Source: Bloomberg</t>
  </si>
  <si>
    <t>Total Equity</t>
  </si>
  <si>
    <t>TOTAL_EQUITY_1_YEAR_GROWTH</t>
  </si>
  <si>
    <t>- Cash Op. Taxes</t>
  </si>
  <si>
    <t>WACC_CASH_OPER_TAXES</t>
  </si>
  <si>
    <t>Capital</t>
  </si>
  <si>
    <t>GROWTH_IN_CAP</t>
  </si>
  <si>
    <t>+ NOPAT</t>
  </si>
  <si>
    <t>WACC_NOPAT</t>
  </si>
  <si>
    <t>Book Value per Share</t>
  </si>
  <si>
    <t>BVPS_GROWTH</t>
  </si>
  <si>
    <t>Total Invested Capital</t>
  </si>
  <si>
    <t>WACC_TOTAL_INV_CAPITAL</t>
  </si>
  <si>
    <t>Cash From Operations</t>
  </si>
  <si>
    <t>CASH_FLOW_GROWTH</t>
  </si>
  <si>
    <t>- Capital Charge</t>
  </si>
  <si>
    <t>WACC_CAPITAL_CHARGE</t>
  </si>
  <si>
    <t>TOT_CAP_EXPEND_GROWTH</t>
  </si>
  <si>
    <t>Economic Value Added</t>
  </si>
  <si>
    <t>WACC_ECON_VALUE_ADDED</t>
  </si>
  <si>
    <t>Net Change In Cash</t>
  </si>
  <si>
    <t>NET_CHANGE_IN_CASH_1_YEAR_GROWTH</t>
  </si>
  <si>
    <t>ROIC</t>
  </si>
  <si>
    <t>WACC_RETURN_ON_INV_CAPITAL</t>
  </si>
  <si>
    <t>FREE_CASH_FLOW_1_YEAR_GROWTH</t>
  </si>
  <si>
    <t>EVA Spread</t>
  </si>
  <si>
    <t>WACC_EVA_SPREAD</t>
  </si>
  <si>
    <t>Cash Flow to Firm</t>
  </si>
  <si>
    <t>CASH_FLOW_TO_FIRM_1_YEAR_GROWTH</t>
  </si>
  <si>
    <t>Right click to show data transparency (not supported for all values)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</si>
  <si>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</si>
  <si>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</si>
  <si>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</si>
  <si>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</si>
  <si>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</si>
  <si>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</si>
  <si>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</si>
  <si>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</si>
  <si>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</si>
  <si>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</si>
  <si>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</si>
  <si>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</si>
  <si>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</si>
  <si>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</si>
  <si>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</si>
  <si>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</si>
  <si>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</si>
  <si>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</si>
  <si>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</si>
  <si>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</si>
  <si>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</si>
  <si>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</si>
  <si>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</si>
  <si>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</si>
  <si>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</si>
  <si>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</si>
  <si>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</si>
  <si>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</si>
  <si>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</si>
  <si>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</si>
  <si>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</si>
  <si>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</si>
  <si>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</si>
  <si>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</si>
  <si>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</si>
  <si>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</si>
  <si>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</si>
  <si>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</si>
  <si>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</si>
  <si>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</si>
  <si>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</si>
  <si>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</si>
  <si>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</si>
  <si>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</si>
  <si>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</si>
  <si>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</si>
  <si>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</si>
  <si>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</si>
  <si>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</si>
  <si>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</si>
  <si>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</si>
  <si>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</si>
  <si>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</si>
  <si>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</si>
  <si>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</si>
  <si>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</si>
  <si>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</si>
  <si>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CSX Corp (CSX US) - BBG Adjusted</t>
  </si>
  <si>
    <t>Last 12M</t>
  </si>
  <si>
    <t xml:space="preserve">    + Sales &amp; Services Revenue</t>
  </si>
  <si>
    <t>IS_SALES_AND_SERVICES_REVENUES</t>
  </si>
  <si>
    <t xml:space="preserve">    + Other Revenue</t>
  </si>
  <si>
    <t>IS_OTHER_REVENUE</t>
  </si>
  <si>
    <t>Gross 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</si>
  <si>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</si>
  <si>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</si>
  <si>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</si>
  <si>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</si>
  <si>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Research &amp; Development</t>
  </si>
  <si>
    <t>IS_OPERATING_EXPENSES_RD</t>
  </si>
  <si>
    <t xml:space="preserve">    + Depreciation &amp; Amortization</t>
  </si>
  <si>
    <t>IS_DEPRECIATION_AND_AMORTIZATION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</si>
  <si>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</si>
  <si>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</si>
  <si>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</si>
  <si>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</si>
  <si>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</si>
  <si>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</si>
  <si>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</si>
  <si>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</si>
  <si>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</si>
  <si>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</si>
  <si>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</si>
  <si>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</si>
  <si>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</si>
  <si>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</si>
  <si>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</si>
  <si>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</si>
  <si>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</si>
  <si>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</si>
  <si>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</si>
  <si>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</si>
  <si>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Disposal of Assets</t>
  </si>
  <si>
    <t>IS_GAIN_LOSS_DISPOSAL_ASSETS</t>
  </si>
  <si>
    <t xml:space="preserve">    + Early Extinguishment of Debt</t>
  </si>
  <si>
    <t>IS_G_L_ON_EXT_DBT_OR_SETTLE_DBT</t>
  </si>
  <si>
    <t xml:space="preserve">    + Asset Write-Down</t>
  </si>
  <si>
    <t>IS_IMPAIRMENT_ASSETS</t>
  </si>
  <si>
    <t xml:space="preserve">    + Restructuring</t>
  </si>
  <si>
    <t>IS_RESTRUCTURING_EXPENSES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</si>
  <si>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</si>
  <si>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</si>
  <si>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</si>
  <si>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</si>
  <si>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</si>
  <si>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</si>
  <si>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</si>
  <si>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</si>
  <si>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</si>
  <si>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</si>
  <si>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</si>
  <si>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</si>
  <si>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</si>
  <si>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</si>
  <si>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</si>
  <si>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</si>
  <si>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</si>
  <si>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</si>
  <si>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</si>
  <si>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</si>
  <si>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</si>
  <si>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</si>
  <si>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</si>
  <si>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</si>
  <si>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</si>
  <si>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</si>
  <si>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</si>
  <si>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</si>
  <si>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</si>
  <si>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</si>
  <si>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</si>
  <si>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</si>
  <si>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</si>
  <si>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</si>
  <si>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</si>
  <si>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</si>
  <si>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</si>
  <si>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</si>
  <si>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</si>
  <si>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</si>
  <si>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</si>
  <si>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</si>
  <si>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</si>
  <si>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</si>
  <si>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</si>
  <si>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</si>
  <si>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</si>
  <si>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Reference Items</t>
  </si>
  <si>
    <t>Accounting Standard</t>
  </si>
  <si>
    <t>ACCOUNTING_STANDARD</t>
  </si>
  <si>
    <t>US GAAP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</si>
  <si>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</si>
  <si>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</si>
  <si>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</si>
  <si>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</si>
  <si>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</si>
  <si>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</si>
  <si>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</si>
  <si>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</si>
  <si>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</si>
  <si>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</si>
  <si>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</si>
  <si>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</si>
  <si>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</si>
  <si>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</si>
  <si>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</si>
  <si>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Personnel Expenses</t>
  </si>
  <si>
    <t>IS_PERSONNEL_EXP</t>
  </si>
  <si>
    <t>Depreciation Expense</t>
  </si>
  <si>
    <t>IS_DEPR_EXP</t>
  </si>
  <si>
    <t>Rental Expense</t>
  </si>
  <si>
    <t>BS_CURR_RENTAL_EXPENSE</t>
  </si>
  <si>
    <t>CSX Corp (CSX US) - Standardized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</si>
  <si>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</si>
  <si>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</si>
  <si>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</si>
  <si>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</si>
  <si>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</si>
  <si>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</si>
  <si>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</si>
  <si>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</si>
  <si>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</si>
  <si>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</si>
  <si>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</si>
  <si>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</si>
  <si>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</si>
  <si>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</si>
  <si>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</si>
  <si>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</si>
  <si>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</si>
  <si>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</si>
  <si>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</si>
  <si>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</si>
  <si>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</si>
  <si>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</si>
  <si>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</si>
  <si>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</si>
  <si>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</si>
  <si>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</si>
  <si>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</si>
  <si>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</si>
  <si>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</si>
  <si>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</si>
  <si>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</si>
  <si>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</si>
  <si>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</si>
  <si>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</si>
  <si>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</si>
  <si>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</si>
  <si>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</si>
  <si>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</si>
  <si>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BS_DERIV_HEDGING_ASST_LT</t>
  </si>
  <si>
    <t xml:space="preserve">    + Prepaid Pension Costs</t>
  </si>
  <si>
    <t>BS_PREPAID_PENSION_COSTS_LT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</si>
  <si>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</si>
  <si>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</si>
  <si>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</si>
  <si>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</si>
  <si>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</si>
  <si>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</si>
  <si>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</si>
  <si>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</si>
  <si>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</si>
  <si>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</si>
  <si>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</si>
  <si>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</si>
  <si>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</si>
  <si>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</si>
  <si>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</si>
  <si>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</si>
  <si>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</si>
  <si>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</si>
  <si>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</si>
  <si>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</si>
  <si>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</si>
  <si>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</si>
  <si>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</si>
  <si>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</si>
  <si>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</si>
  <si>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</si>
  <si>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</si>
  <si>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</si>
  <si>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</si>
  <si>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</si>
  <si>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</si>
  <si>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</si>
  <si>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</si>
  <si>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</si>
  <si>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</si>
  <si>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</si>
  <si>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</si>
  <si>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</si>
  <si>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</si>
  <si>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</si>
  <si>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</si>
  <si>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</si>
  <si>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</si>
  <si>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</si>
  <si>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</si>
  <si>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</si>
  <si>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</si>
  <si>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</si>
  <si>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</si>
  <si>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</si>
  <si>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</si>
  <si>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</si>
  <si>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</si>
  <si>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</si>
  <si>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</si>
  <si>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</si>
  <si>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</si>
  <si>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</si>
  <si>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</si>
  <si>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</si>
  <si>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</si>
  <si>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</si>
  <si>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</si>
  <si>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</si>
  <si>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</si>
  <si>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</si>
  <si>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</si>
  <si>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</si>
  <si>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</si>
  <si>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</si>
  <si>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</si>
  <si>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</si>
  <si>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</si>
  <si>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</si>
  <si>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</si>
  <si>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</si>
  <si>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</si>
  <si>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</si>
  <si>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</si>
  <si>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</si>
  <si>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</si>
  <si>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TOTAL_EQUITY</t>
  </si>
  <si>
    <t>Total Liabilities &amp; Equity</t>
  </si>
  <si>
    <t>TOT_LIAB_AND_EQY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</si>
  <si>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</si>
  <si>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</si>
  <si>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</si>
  <si>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</si>
  <si>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</si>
  <si>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</si>
  <si>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</si>
  <si>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</si>
  <si>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</si>
  <si>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</si>
  <si>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</si>
  <si>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</si>
  <si>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</si>
  <si>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</si>
  <si>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</si>
  <si>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</si>
  <si>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</si>
  <si>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</si>
  <si>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</si>
  <si>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</si>
  <si>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</si>
  <si>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</si>
  <si>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</si>
  <si>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</si>
  <si>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</si>
  <si>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</si>
  <si>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</si>
  <si>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</si>
  <si>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</si>
  <si>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</si>
  <si>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</si>
  <si>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</si>
  <si>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</si>
  <si>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</si>
  <si>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</si>
  <si>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</si>
  <si>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</si>
  <si>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</si>
  <si>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</si>
  <si>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</si>
  <si>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</si>
  <si>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</si>
  <si>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</si>
  <si>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</si>
  <si>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</si>
  <si>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</si>
  <si>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</si>
  <si>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</si>
  <si>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</si>
  <si>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</si>
  <si>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</si>
  <si>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</si>
  <si>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</si>
  <si>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</si>
  <si>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</si>
  <si>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</si>
  <si>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</si>
  <si>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</si>
  <si>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</si>
  <si>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</si>
  <si>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</si>
  <si>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</si>
  <si>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</si>
  <si>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</si>
  <si>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</si>
  <si>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</si>
  <si>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</si>
  <si>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</si>
  <si>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</si>
  <si>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</si>
  <si>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</si>
  <si>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</si>
  <si>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</si>
  <si>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</si>
  <si>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</si>
  <si>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</si>
  <si>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</si>
  <si>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</si>
  <si>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</si>
  <si>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</si>
  <si>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</si>
  <si>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</si>
  <si>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</si>
  <si>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</si>
  <si>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</si>
  <si>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</si>
  <si>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</si>
  <si>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</si>
  <si>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</si>
  <si>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</si>
  <si>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</si>
  <si>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</si>
  <si>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NET_CAP_STOCK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</si>
  <si>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</si>
  <si>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</si>
  <si>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</si>
  <si>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</si>
  <si>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</si>
  <si>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</si>
  <si>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</si>
  <si>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</si>
  <si>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</si>
  <si>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</si>
  <si>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</si>
  <si>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</si>
  <si>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</si>
  <si>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</si>
  <si>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</si>
  <si>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</si>
  <si>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</si>
  <si>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Net Cash Paid for Acquisitions</t>
  </si>
  <si>
    <t>CF_NET_CASH_PAID_FOR_AQUIS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</si>
  <si>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</si>
  <si>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</si>
  <si>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</si>
  <si>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</si>
  <si>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</si>
  <si>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</si>
  <si>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</si>
  <si>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</si>
  <si>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</si>
  <si>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Merchandise</t>
  </si>
  <si>
    <t>Intermodal</t>
  </si>
  <si>
    <t>Trucking</t>
  </si>
  <si>
    <t>Other</t>
  </si>
  <si>
    <t>Coal</t>
  </si>
  <si>
    <t>Metric</t>
  </si>
  <si>
    <t>Score</t>
  </si>
  <si>
    <t>Peer rank</t>
  </si>
  <si>
    <t>Environment</t>
  </si>
  <si>
    <t>Leading</t>
  </si>
  <si>
    <t>Energy Management</t>
  </si>
  <si>
    <t>NAV valuation</t>
  </si>
  <si>
    <t>China</t>
  </si>
  <si>
    <t>GHG Emission Management</t>
  </si>
  <si>
    <t>Above Median</t>
  </si>
  <si>
    <t>North America</t>
  </si>
  <si>
    <t>India</t>
  </si>
  <si>
    <t>Social</t>
  </si>
  <si>
    <t>Europe</t>
  </si>
  <si>
    <t>Operational Risk Management</t>
  </si>
  <si>
    <t>Russia</t>
  </si>
  <si>
    <t>Occupational Health &amp; Safety Management</t>
  </si>
  <si>
    <t>Japan</t>
  </si>
  <si>
    <t>Ethics &amp; Compliance</t>
  </si>
  <si>
    <t>Product Quality Management</t>
  </si>
  <si>
    <t>Governance</t>
  </si>
  <si>
    <t>Board Composition</t>
  </si>
  <si>
    <t>Executive Compensation</t>
  </si>
  <si>
    <t>Shareholder Rights</t>
  </si>
  <si>
    <t>Below Median</t>
  </si>
  <si>
    <t>Audit</t>
  </si>
  <si>
    <t>CSX Corp (CSX US) - By Measure</t>
  </si>
  <si>
    <t xml:space="preserve">  Merchandise</t>
  </si>
  <si>
    <t xml:space="preserve">    Chemicals</t>
  </si>
  <si>
    <t xml:space="preserve">    Agriculture &amp; Food Product</t>
  </si>
  <si>
    <t xml:space="preserve">    Automotive</t>
  </si>
  <si>
    <t xml:space="preserve">    Forest Products</t>
  </si>
  <si>
    <t xml:space="preserve">    Metal &amp; Equipment</t>
  </si>
  <si>
    <t xml:space="preserve">    Minerals</t>
  </si>
  <si>
    <t xml:space="preserve">    Fertilizers</t>
  </si>
  <si>
    <t xml:space="preserve">    Housing and Construction</t>
  </si>
  <si>
    <t xml:space="preserve">      Waste &amp; Equipment</t>
  </si>
  <si>
    <t xml:space="preserve">    Agricultural</t>
  </si>
  <si>
    <t xml:space="preserve">      Food and Consumer</t>
  </si>
  <si>
    <t xml:space="preserve">      Agriculture  Products</t>
  </si>
  <si>
    <t xml:space="preserve">    Industrial</t>
  </si>
  <si>
    <t xml:space="preserve">      Metals</t>
  </si>
  <si>
    <t xml:space="preserve">  Coal</t>
  </si>
  <si>
    <t xml:space="preserve">  Intermodal</t>
  </si>
  <si>
    <t xml:space="preserve">  Trucking</t>
  </si>
  <si>
    <t xml:space="preserve">  Other</t>
  </si>
  <si>
    <t>Sales Volume</t>
  </si>
  <si>
    <t>Revenue Per Unit</t>
  </si>
  <si>
    <t xml:space="preserve">    Waste &amp; Equipment</t>
  </si>
  <si>
    <t xml:space="preserve">    Metals</t>
  </si>
  <si>
    <t xml:space="preserve">    Food and Consumer</t>
  </si>
  <si>
    <t xml:space="preserve">    Agriculture  Products</t>
  </si>
  <si>
    <t>Revenue Per Unit Growth %</t>
  </si>
  <si>
    <t>Revenue Growth %</t>
  </si>
  <si>
    <t>Transportation Fuel</t>
  </si>
  <si>
    <t xml:space="preserve">  Locomotive</t>
  </si>
  <si>
    <t xml:space="preserve">  Non - Locomotive</t>
  </si>
  <si>
    <t>Sales Change - Volume %</t>
  </si>
  <si>
    <t>Cargo Tonnes</t>
  </si>
  <si>
    <t xml:space="preserve">    Domestic</t>
  </si>
  <si>
    <t xml:space="preserve">      Coke and Iron Ore, Other</t>
  </si>
  <si>
    <t xml:space="preserve">      Utility</t>
  </si>
  <si>
    <t xml:space="preserve">    Export</t>
  </si>
  <si>
    <t xml:space="preserve">      Thermal</t>
  </si>
  <si>
    <t xml:space="preserve">      Metallurgical</t>
  </si>
  <si>
    <t>Carloads/Unit Volumes</t>
  </si>
  <si>
    <t>Revenue Ton-Miles / Kms</t>
  </si>
  <si>
    <t>Total Miles (Kilometers)</t>
  </si>
  <si>
    <t xml:space="preserve">  Mainline Track</t>
  </si>
  <si>
    <t xml:space="preserve">  Terminals and Switching Yards</t>
  </si>
  <si>
    <t xml:space="preserve">  Passing Sidings and Turnouts</t>
  </si>
  <si>
    <t>Average Age of Locomotives</t>
  </si>
  <si>
    <t xml:space="preserve">  Switching</t>
  </si>
  <si>
    <t xml:space="preserve">  Auxiliary Units</t>
  </si>
  <si>
    <t xml:space="preserve">  Freight</t>
  </si>
  <si>
    <t>Terminal Value in Y5</t>
  </si>
  <si>
    <t>Present value of TV</t>
  </si>
  <si>
    <t>GOAL</t>
  </si>
  <si>
    <t>Present value of FCF</t>
  </si>
  <si>
    <t>REvenue per Carload</t>
  </si>
  <si>
    <t>Carload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</si>
</sst>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$-409]#,##0.00"/>
    <numFmt numFmtId="165" formatCode="&quot;Y&quot;#"/>
    <numFmt numFmtId="166" formatCode="0%;\(0%\)"/>
    <numFmt numFmtId="167" formatCode="0.0\x"/>
    <numFmt numFmtId="168" formatCode="0.0%"/>
    <numFmt numFmtId="169" formatCode="#,##0.0"/>
    <numFmt numFmtId="170" formatCode="0.0000%"/>
    <numFmt numFmtId="171" formatCode="yyyy"/>
    <numFmt numFmtId="172" formatCode="0.000"/>
  </numFmts>
  <fonts count="3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8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 (Body)"/>
    </font>
    <font>
      <b/>
      <sz val="11"/>
      <color theme="1"/>
      <name val="Calibri"/>
      <family val="2"/>
      <scheme val="minor"/>
    </font>
    <font>
      <b/>
      <sz val="11"/>
      <color rgb="FFEE2027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i/>
      <sz val="10"/>
      <color rgb="FF333333"/>
      <name val="Arial"/>
      <family val="2"/>
    </font>
    <font>
      <i/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theme="6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theme="6" tint="0.79998168889431442"/>
      </patternFill>
    </fill>
    <fill>
      <patternFill patternType="solid">
        <fgColor rgb="FF5195D3"/>
        <bgColor indexed="64"/>
      </patternFill>
    </fill>
  </fills>
  <borders count="9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 style="medium">
        <color theme="1"/>
      </right>
      <top/>
      <bottom style="thin">
        <color theme="6" tint="0.39997558519241921"/>
      </bottom>
      <diagonal/>
    </border>
    <border>
      <left/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medium">
        <color theme="1"/>
      </bottom>
      <diagonal/>
    </border>
    <border>
      <left/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 style="medium">
        <color theme="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medium">
        <color theme="1"/>
      </left>
      <right/>
      <top/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medium">
        <color theme="1"/>
      </bottom>
      <diagonal/>
    </border>
    <border>
      <left style="thin">
        <color theme="6" tint="0.3999755851924192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medium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/>
      <diagonal/>
    </border>
    <border>
      <left style="dotted">
        <color theme="1"/>
      </left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dotted">
        <color theme="1"/>
      </left>
      <right style="medium">
        <color theme="1"/>
      </right>
      <top/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 style="medium">
        <color theme="1"/>
      </left>
      <right/>
      <top style="thin">
        <color theme="6" tint="0.39997558519241921"/>
      </top>
      <bottom/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medium">
        <color theme="1"/>
      </right>
      <top style="thin">
        <color theme="6" tint="0.39997558519241921"/>
      </top>
      <bottom/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 style="mediumDashed">
        <color theme="1"/>
      </left>
      <right/>
      <top style="mediumDashed">
        <color theme="1"/>
      </top>
      <bottom style="mediumDashed">
        <color theme="1"/>
      </bottom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/>
      <diagonal/>
    </border>
    <border>
      <left style="mediumDashed">
        <color theme="1"/>
      </left>
      <right/>
      <top style="mediumDashed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theme="1"/>
      </bottom>
      <diagonal/>
    </border>
    <border>
      <left style="medium">
        <color indexed="64"/>
      </left>
      <right/>
      <top style="dotted">
        <color theme="1"/>
      </top>
      <bottom style="dotted">
        <color theme="1"/>
      </bottom>
      <diagonal/>
    </border>
    <border>
      <left style="medium">
        <color indexed="64"/>
      </left>
      <right/>
      <top style="dotted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 style="medium">
        <color rgb="FF0070C0"/>
      </bottom>
      <diagonal/>
    </border>
    <border>
      <left/>
      <right style="mediumDashed">
        <color theme="1"/>
      </right>
      <top/>
      <bottom style="mediumDashed">
        <color theme="1"/>
      </bottom>
      <diagonal/>
    </border>
    <border>
      <left style="mediumDashed">
        <color theme="1"/>
      </left>
      <right style="mediumDashed">
        <color theme="1"/>
      </right>
      <top/>
      <bottom style="mediumDashed">
        <color theme="1"/>
      </bottom>
      <diagonal/>
    </border>
    <border>
      <left style="mediumDashed">
        <color theme="1"/>
      </left>
      <right/>
      <top/>
      <bottom style="mediumDashed">
        <color theme="1"/>
      </bottom>
      <diagonal/>
    </border>
    <border>
      <left style="thick">
        <color rgb="FF0070C0"/>
      </left>
      <right style="medium">
        <color rgb="FF0070C0"/>
      </right>
      <top/>
      <bottom/>
      <diagonal/>
    </border>
    <border>
      <left/>
      <right style="mediumDashed">
        <color auto="1"/>
      </right>
      <top/>
      <bottom style="mediumDashed">
        <color theme="1"/>
      </bottom>
      <diagonal/>
    </border>
    <border>
      <left/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/>
      <right style="mediumDashed">
        <color theme="1"/>
      </right>
      <top style="mediumDashed">
        <color theme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theme="6" tint="-0.2499465926084170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</borders>
  <cellStyleXfs count="38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14" fillId="10" borderId="1" applyNumberFormat="0" applyProtection="0">
      <alignment horizontal="left" vertical="center" readingOrder="1"/>
    </xf>
    <xf numFmtId="0" fontId="16" fillId="10" borderId="44">
      <alignment horizontal="right"/>
    </xf>
    <xf numFmtId="0" fontId="15" fillId="11" borderId="0" applyNumberFormat="0" applyBorder="0" applyProtection="0">
      <alignment horizontal="center"/>
    </xf>
    <xf numFmtId="0" fontId="16" fillId="10" borderId="45">
      <alignment horizontal="left"/>
    </xf>
    <xf numFmtId="0" fontId="16" fillId="10" borderId="45">
      <alignment horizontal="right"/>
    </xf>
    <xf numFmtId="0" fontId="16" fillId="10" borderId="44">
      <alignment horizontal="left"/>
    </xf>
    <xf numFmtId="0" fontId="17" fillId="11" borderId="46"/>
    <xf numFmtId="169" fontId="17" fillId="11" borderId="47">
      <alignment horizontal="right"/>
    </xf>
    <xf numFmtId="169" fontId="17" fillId="12" borderId="47">
      <alignment horizontal="right"/>
    </xf>
    <xf numFmtId="0" fontId="18" fillId="11" borderId="46"/>
    <xf numFmtId="169" fontId="19" fillId="11" borderId="47">
      <alignment horizontal="right"/>
    </xf>
    <xf numFmtId="169" fontId="19" fillId="12" borderId="47">
      <alignment horizontal="right"/>
    </xf>
    <xf numFmtId="0" fontId="20" fillId="11" borderId="46"/>
    <xf numFmtId="169" fontId="21" fillId="11" borderId="47">
      <alignment horizontal="right"/>
    </xf>
    <xf numFmtId="169" fontId="21" fillId="12" borderId="47">
      <alignment horizontal="right"/>
    </xf>
    <xf numFmtId="3" fontId="17" fillId="11" borderId="47">
      <alignment horizontal="right"/>
    </xf>
    <xf numFmtId="3" fontId="17" fillId="12" borderId="47">
      <alignment horizontal="right"/>
    </xf>
    <xf numFmtId="4" fontId="17" fillId="11" borderId="47">
      <alignment horizontal="right"/>
    </xf>
    <xf numFmtId="4" fontId="17" fillId="12" borderId="47">
      <alignment horizontal="right"/>
    </xf>
    <xf numFmtId="3" fontId="19" fillId="11" borderId="47">
      <alignment horizontal="right"/>
    </xf>
    <xf numFmtId="4" fontId="19" fillId="11" borderId="47">
      <alignment horizontal="right"/>
    </xf>
    <xf numFmtId="4" fontId="19" fillId="12" borderId="47">
      <alignment horizontal="right"/>
    </xf>
    <xf numFmtId="0" fontId="21" fillId="13" borderId="48" applyNumberFormat="0" applyAlignment="0" applyProtection="0"/>
    <xf numFmtId="0" fontId="29" fillId="10" borderId="0"/>
    <xf numFmtId="3" fontId="19" fillId="12" borderId="47">
      <alignment horizontal="right"/>
    </xf>
    <xf numFmtId="0" fontId="16" fillId="10" borderId="45">
      <alignment horizontal="centerContinuous"/>
    </xf>
    <xf numFmtId="0" fontId="16" fillId="10" borderId="44">
      <alignment horizontal="centerContinuous"/>
    </xf>
    <xf numFmtId="169" fontId="17" fillId="11" borderId="46">
      <alignment horizontal="right"/>
    </xf>
    <xf numFmtId="168" fontId="17" fillId="11" borderId="64">
      <alignment horizontal="right"/>
    </xf>
    <xf numFmtId="169" fontId="19" fillId="11" borderId="46">
      <alignment horizontal="right"/>
    </xf>
    <xf numFmtId="168" fontId="19" fillId="11" borderId="64">
      <alignment horizontal="right"/>
    </xf>
    <xf numFmtId="4" fontId="17" fillId="11" borderId="46">
      <alignment horizontal="right"/>
    </xf>
    <xf numFmtId="10" fontId="17" fillId="11" borderId="64">
      <alignment horizontal="right"/>
    </xf>
    <xf numFmtId="4" fontId="19" fillId="11" borderId="46">
      <alignment horizontal="right"/>
    </xf>
    <xf numFmtId="10" fontId="19" fillId="11" borderId="64">
      <alignment horizontal="right"/>
    </xf>
  </cellStyleXfs>
  <cellXfs count="278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165" fontId="4" fillId="2" borderId="0" xfId="0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/>
    </xf>
    <xf numFmtId="0" fontId="0" fillId="0" borderId="9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right" vertical="center"/>
    </xf>
    <xf numFmtId="1" fontId="9" fillId="5" borderId="31" xfId="0" applyNumberFormat="1" applyFont="1" applyFill="1" applyBorder="1" applyAlignment="1">
      <alignment horizontal="left" vertical="center"/>
    </xf>
    <xf numFmtId="1" fontId="9" fillId="5" borderId="17" xfId="0" applyNumberFormat="1" applyFont="1" applyFill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center" vertical="center"/>
    </xf>
    <xf numFmtId="1" fontId="9" fillId="5" borderId="18" xfId="0" applyNumberFormat="1" applyFont="1" applyFill="1" applyBorder="1" applyAlignment="1">
      <alignment horizontal="center" vertical="center"/>
    </xf>
    <xf numFmtId="3" fontId="0" fillId="2" borderId="32" xfId="0" applyNumberFormat="1" applyFill="1" applyBorder="1" applyAlignment="1">
      <alignment vertical="center"/>
    </xf>
    <xf numFmtId="164" fontId="0" fillId="2" borderId="14" xfId="0" applyNumberFormat="1" applyFill="1" applyBorder="1" applyAlignment="1">
      <alignment horizontal="center" vertical="center"/>
    </xf>
    <xf numFmtId="3" fontId="0" fillId="2" borderId="28" xfId="0" applyNumberForma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3" fontId="0" fillId="2" borderId="24" xfId="0" applyNumberFormat="1" applyFill="1" applyBorder="1" applyAlignment="1">
      <alignment horizontal="center" vertical="center"/>
    </xf>
    <xf numFmtId="3" fontId="0" fillId="2" borderId="19" xfId="0" applyNumberFormat="1" applyFill="1" applyBorder="1" applyAlignment="1">
      <alignment horizontal="center" vertical="center"/>
    </xf>
    <xf numFmtId="10" fontId="0" fillId="4" borderId="33" xfId="0" applyNumberFormat="1" applyFill="1" applyBorder="1" applyAlignment="1">
      <alignment vertical="center"/>
    </xf>
    <xf numFmtId="164" fontId="0" fillId="4" borderId="13" xfId="0" applyNumberFormat="1" applyFill="1" applyBorder="1" applyAlignment="1">
      <alignment horizontal="center" vertical="center"/>
    </xf>
    <xf numFmtId="3" fontId="0" fillId="4" borderId="29" xfId="0" applyNumberFormat="1" applyFill="1" applyBorder="1" applyAlignment="1">
      <alignment horizontal="center" vertical="center"/>
    </xf>
    <xf numFmtId="3" fontId="0" fillId="4" borderId="13" xfId="0" applyNumberFormat="1" applyFill="1" applyBorder="1" applyAlignment="1">
      <alignment horizontal="center" vertical="center"/>
    </xf>
    <xf numFmtId="3" fontId="0" fillId="4" borderId="25" xfId="0" applyNumberFormat="1" applyFill="1" applyBorder="1" applyAlignment="1">
      <alignment horizontal="center" vertical="center"/>
    </xf>
    <xf numFmtId="3" fontId="0" fillId="4" borderId="20" xfId="0" applyNumberFormat="1" applyFill="1" applyBorder="1" applyAlignment="1">
      <alignment horizontal="center" vertical="center"/>
    </xf>
    <xf numFmtId="10" fontId="0" fillId="4" borderId="34" xfId="0" applyNumberFormat="1" applyFill="1" applyBorder="1" applyAlignment="1">
      <alignment vertical="center"/>
    </xf>
    <xf numFmtId="164" fontId="0" fillId="4" borderId="4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0" fillId="4" borderId="26" xfId="0" applyNumberFormat="1" applyFill="1" applyBorder="1" applyAlignment="1">
      <alignment horizontal="center" vertical="center"/>
    </xf>
    <xf numFmtId="3" fontId="0" fillId="4" borderId="21" xfId="0" applyNumberFormat="1" applyFill="1" applyBorder="1" applyAlignment="1">
      <alignment horizontal="center" vertical="center"/>
    </xf>
    <xf numFmtId="10" fontId="0" fillId="4" borderId="35" xfId="0" applyNumberFormat="1" applyFill="1" applyBorder="1" applyAlignment="1">
      <alignment vertical="center"/>
    </xf>
    <xf numFmtId="164" fontId="0" fillId="4" borderId="22" xfId="0" applyNumberFormat="1" applyFill="1" applyBorder="1" applyAlignment="1">
      <alignment horizontal="center" vertical="center"/>
    </xf>
    <xf numFmtId="3" fontId="0" fillId="4" borderId="30" xfId="0" applyNumberFormat="1" applyFill="1" applyBorder="1" applyAlignment="1">
      <alignment horizontal="center" vertical="center"/>
    </xf>
    <xf numFmtId="3" fontId="0" fillId="4" borderId="22" xfId="0" applyNumberFormat="1" applyFill="1" applyBorder="1" applyAlignment="1">
      <alignment horizontal="center" vertical="center"/>
    </xf>
    <xf numFmtId="3" fontId="0" fillId="4" borderId="27" xfId="0" applyNumberFormat="1" applyFill="1" applyBorder="1" applyAlignment="1">
      <alignment horizontal="center" vertical="center"/>
    </xf>
    <xf numFmtId="3" fontId="0" fillId="4" borderId="23" xfId="0" applyNumberFormat="1" applyFill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166" fontId="0" fillId="2" borderId="15" xfId="1" applyNumberFormat="1" applyFont="1" applyFill="1" applyBorder="1" applyAlignment="1">
      <alignment horizontal="center" vertical="center"/>
    </xf>
    <xf numFmtId="167" fontId="0" fillId="2" borderId="15" xfId="0" applyNumberForma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24" xfId="0" applyFill="1" applyBorder="1" applyAlignment="1">
      <alignment horizontal="right" vertical="center" indent="1"/>
    </xf>
    <xf numFmtId="0" fontId="0" fillId="4" borderId="25" xfId="0" applyFill="1" applyBorder="1" applyAlignment="1">
      <alignment horizontal="right" vertical="center" indent="1"/>
    </xf>
    <xf numFmtId="0" fontId="0" fillId="4" borderId="26" xfId="0" applyFill="1" applyBorder="1" applyAlignment="1">
      <alignment horizontal="right" vertical="center" indent="1"/>
    </xf>
    <xf numFmtId="0" fontId="0" fillId="4" borderId="27" xfId="0" applyFill="1" applyBorder="1" applyAlignment="1">
      <alignment horizontal="right" vertical="center" indent="1"/>
    </xf>
    <xf numFmtId="10" fontId="0" fillId="2" borderId="0" xfId="0" applyNumberFormat="1" applyFill="1" applyAlignment="1">
      <alignment horizontal="center" vertical="center"/>
    </xf>
    <xf numFmtId="0" fontId="0" fillId="4" borderId="36" xfId="0" applyFill="1" applyBorder="1" applyAlignment="1">
      <alignment horizontal="right" vertical="center" indent="1"/>
    </xf>
    <xf numFmtId="10" fontId="0" fillId="4" borderId="37" xfId="0" applyNumberFormat="1" applyFill="1" applyBorder="1" applyAlignment="1">
      <alignment vertical="center"/>
    </xf>
    <xf numFmtId="164" fontId="0" fillId="4" borderId="5" xfId="0" applyNumberFormat="1" applyFill="1" applyBorder="1" applyAlignment="1">
      <alignment horizontal="center" vertical="center"/>
    </xf>
    <xf numFmtId="3" fontId="0" fillId="4" borderId="38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0" fillId="4" borderId="36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164" fontId="0" fillId="2" borderId="0" xfId="0" applyNumberFormat="1" applyFill="1"/>
    <xf numFmtId="10" fontId="0" fillId="3" borderId="2" xfId="0" applyNumberFormat="1" applyFill="1" applyBorder="1"/>
    <xf numFmtId="0" fontId="0" fillId="2" borderId="0" xfId="0" applyFill="1" applyAlignment="1">
      <alignment horizontal="right"/>
    </xf>
    <xf numFmtId="0" fontId="22" fillId="14" borderId="46" xfId="9" applyFont="1" applyFill="1"/>
    <xf numFmtId="3" fontId="22" fillId="14" borderId="47" xfId="18" applyFont="1" applyFill="1">
      <alignment horizontal="right"/>
    </xf>
    <xf numFmtId="0" fontId="23" fillId="14" borderId="46" xfId="12" applyFont="1" applyFill="1"/>
    <xf numFmtId="169" fontId="24" fillId="14" borderId="47" xfId="13" applyFont="1" applyFill="1">
      <alignment horizontal="right"/>
    </xf>
    <xf numFmtId="169" fontId="22" fillId="14" borderId="47" xfId="10" applyFont="1" applyFill="1">
      <alignment horizontal="right"/>
    </xf>
    <xf numFmtId="0" fontId="25" fillId="14" borderId="46" xfId="15" applyFont="1" applyFill="1"/>
    <xf numFmtId="169" fontId="26" fillId="14" borderId="47" xfId="16" applyFont="1" applyFill="1">
      <alignment horizontal="right"/>
    </xf>
    <xf numFmtId="3" fontId="24" fillId="14" borderId="47" xfId="22" applyFont="1" applyFill="1">
      <alignment horizontal="right"/>
    </xf>
    <xf numFmtId="4" fontId="24" fillId="14" borderId="47" xfId="23" applyFont="1" applyFill="1">
      <alignment horizontal="right"/>
    </xf>
    <xf numFmtId="0" fontId="26" fillId="15" borderId="48" xfId="25" applyFont="1" applyFill="1"/>
    <xf numFmtId="3" fontId="22" fillId="16" borderId="47" xfId="19" applyFont="1" applyFill="1">
      <alignment horizontal="right"/>
    </xf>
    <xf numFmtId="169" fontId="24" fillId="16" borderId="47" xfId="14" applyFont="1" applyFill="1">
      <alignment horizontal="right"/>
    </xf>
    <xf numFmtId="169" fontId="22" fillId="16" borderId="47" xfId="11" applyFont="1" applyFill="1">
      <alignment horizontal="right"/>
    </xf>
    <xf numFmtId="169" fontId="26" fillId="16" borderId="47" xfId="17" applyFont="1" applyFill="1">
      <alignment horizontal="right"/>
    </xf>
    <xf numFmtId="4" fontId="24" fillId="16" borderId="47" xfId="24" applyFont="1" applyFill="1">
      <alignment horizontal="right"/>
    </xf>
    <xf numFmtId="0" fontId="12" fillId="2" borderId="0" xfId="0" applyFont="1" applyFill="1"/>
    <xf numFmtId="4" fontId="22" fillId="14" borderId="47" xfId="20" applyFont="1" applyFill="1">
      <alignment horizontal="right"/>
    </xf>
    <xf numFmtId="4" fontId="22" fillId="16" borderId="47" xfId="21" applyFont="1" applyFill="1">
      <alignment horizontal="right"/>
    </xf>
    <xf numFmtId="170" fontId="0" fillId="0" borderId="0" xfId="0" applyNumberFormat="1"/>
    <xf numFmtId="9" fontId="27" fillId="9" borderId="40" xfId="0" applyNumberFormat="1" applyFont="1" applyFill="1" applyBorder="1" applyAlignment="1">
      <alignment horizontal="center" vertical="center"/>
    </xf>
    <xf numFmtId="9" fontId="27" fillId="2" borderId="41" xfId="0" applyNumberFormat="1" applyFont="1" applyFill="1" applyBorder="1" applyAlignment="1">
      <alignment horizontal="center" vertical="center"/>
    </xf>
    <xf numFmtId="9" fontId="28" fillId="8" borderId="40" xfId="0" applyNumberFormat="1" applyFont="1" applyFill="1" applyBorder="1" applyAlignment="1">
      <alignment horizontal="center" vertical="center"/>
    </xf>
    <xf numFmtId="9" fontId="27" fillId="2" borderId="42" xfId="0" applyNumberFormat="1" applyFont="1" applyFill="1" applyBorder="1" applyAlignment="1">
      <alignment horizontal="center" vertical="center"/>
    </xf>
    <xf numFmtId="9" fontId="27" fillId="2" borderId="43" xfId="0" applyNumberFormat="1" applyFont="1" applyFill="1" applyBorder="1" applyAlignment="1">
      <alignment horizontal="center" vertical="center"/>
    </xf>
    <xf numFmtId="3" fontId="0" fillId="2" borderId="0" xfId="0" applyNumberFormat="1" applyFill="1"/>
    <xf numFmtId="10" fontId="0" fillId="3" borderId="0" xfId="0" applyNumberFormat="1" applyFill="1"/>
    <xf numFmtId="9" fontId="13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quotePrefix="1" applyFill="1"/>
    <xf numFmtId="1" fontId="0" fillId="2" borderId="0" xfId="0" applyNumberFormat="1" applyFill="1"/>
    <xf numFmtId="0" fontId="0" fillId="2" borderId="49" xfId="0" applyFill="1" applyBorder="1"/>
    <xf numFmtId="10" fontId="0" fillId="2" borderId="50" xfId="0" applyNumberFormat="1" applyFill="1" applyBorder="1"/>
    <xf numFmtId="0" fontId="0" fillId="2" borderId="51" xfId="0" applyFill="1" applyBorder="1"/>
    <xf numFmtId="10" fontId="0" fillId="2" borderId="52" xfId="0" applyNumberFormat="1" applyFill="1" applyBorder="1"/>
    <xf numFmtId="3" fontId="0" fillId="2" borderId="52" xfId="0" applyNumberFormat="1" applyFill="1" applyBorder="1"/>
    <xf numFmtId="0" fontId="0" fillId="2" borderId="51" xfId="0" applyFill="1" applyBorder="1" applyAlignment="1">
      <alignment wrapText="1"/>
    </xf>
    <xf numFmtId="4" fontId="0" fillId="2" borderId="52" xfId="0" applyNumberFormat="1" applyFill="1" applyBorder="1"/>
    <xf numFmtId="0" fontId="0" fillId="2" borderId="53" xfId="0" applyFill="1" applyBorder="1"/>
    <xf numFmtId="3" fontId="0" fillId="2" borderId="54" xfId="0" applyNumberFormat="1" applyFill="1" applyBorder="1"/>
    <xf numFmtId="0" fontId="0" fillId="2" borderId="0" xfId="0" applyFill="1" applyAlignment="1">
      <alignment horizontal="right" wrapText="1"/>
    </xf>
    <xf numFmtId="166" fontId="0" fillId="2" borderId="6" xfId="1" applyNumberFormat="1" applyFont="1" applyFill="1" applyBorder="1" applyAlignment="1">
      <alignment horizontal="center" vertical="center"/>
    </xf>
    <xf numFmtId="166" fontId="0" fillId="2" borderId="12" xfId="1" applyNumberFormat="1" applyFont="1" applyFill="1" applyBorder="1" applyAlignment="1">
      <alignment horizontal="center" vertical="center"/>
    </xf>
    <xf numFmtId="167" fontId="0" fillId="2" borderId="6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 vertical="center"/>
    </xf>
    <xf numFmtId="167" fontId="0" fillId="2" borderId="11" xfId="0" applyNumberFormat="1" applyFill="1" applyBorder="1" applyAlignment="1">
      <alignment horizontal="center" vertical="center"/>
    </xf>
    <xf numFmtId="167" fontId="0" fillId="2" borderId="10" xfId="0" applyNumberFormat="1" applyFill="1" applyBorder="1" applyAlignment="1">
      <alignment horizontal="center" vertical="center"/>
    </xf>
    <xf numFmtId="166" fontId="0" fillId="2" borderId="56" xfId="1" applyNumberFormat="1" applyFont="1" applyFill="1" applyBorder="1" applyAlignment="1">
      <alignment horizontal="center" vertical="center"/>
    </xf>
    <xf numFmtId="167" fontId="0" fillId="2" borderId="56" xfId="0" applyNumberFormat="1" applyFill="1" applyBorder="1" applyAlignment="1">
      <alignment horizontal="center" vertical="center"/>
    </xf>
    <xf numFmtId="166" fontId="0" fillId="2" borderId="57" xfId="1" applyNumberFormat="1" applyFont="1" applyFill="1" applyBorder="1" applyAlignment="1">
      <alignment horizontal="center" vertical="center"/>
    </xf>
    <xf numFmtId="167" fontId="0" fillId="2" borderId="57" xfId="0" applyNumberFormat="1" applyFill="1" applyBorder="1" applyAlignment="1">
      <alignment horizontal="center" vertical="center"/>
    </xf>
    <xf numFmtId="166" fontId="0" fillId="2" borderId="58" xfId="1" applyNumberFormat="1" applyFont="1" applyFill="1" applyBorder="1" applyAlignment="1">
      <alignment horizontal="center" vertical="center"/>
    </xf>
    <xf numFmtId="167" fontId="0" fillId="2" borderId="58" xfId="0" applyNumberFormat="1" applyFill="1" applyBorder="1" applyAlignment="1">
      <alignment horizontal="center" vertical="center"/>
    </xf>
    <xf numFmtId="167" fontId="0" fillId="2" borderId="59" xfId="0" applyNumberFormat="1" applyFill="1" applyBorder="1" applyAlignment="1">
      <alignment horizontal="center" vertical="center"/>
    </xf>
    <xf numFmtId="166" fontId="0" fillId="2" borderId="50" xfId="1" applyNumberFormat="1" applyFont="1" applyFill="1" applyBorder="1" applyAlignment="1">
      <alignment horizontal="center" vertical="center"/>
    </xf>
    <xf numFmtId="166" fontId="0" fillId="2" borderId="60" xfId="1" applyNumberFormat="1" applyFont="1" applyFill="1" applyBorder="1" applyAlignment="1">
      <alignment horizontal="center" vertical="center"/>
    </xf>
    <xf numFmtId="166" fontId="0" fillId="2" borderId="52" xfId="1" applyNumberFormat="1" applyFont="1" applyFill="1" applyBorder="1" applyAlignment="1">
      <alignment horizontal="center" vertical="center"/>
    </xf>
    <xf numFmtId="166" fontId="0" fillId="2" borderId="61" xfId="1" applyNumberFormat="1" applyFont="1" applyFill="1" applyBorder="1" applyAlignment="1">
      <alignment horizontal="center" vertical="center"/>
    </xf>
    <xf numFmtId="166" fontId="0" fillId="2" borderId="54" xfId="1" applyNumberFormat="1" applyFont="1" applyFill="1" applyBorder="1" applyAlignment="1">
      <alignment horizontal="center" vertical="center"/>
    </xf>
    <xf numFmtId="166" fontId="0" fillId="2" borderId="62" xfId="1" applyNumberFormat="1" applyFont="1" applyFill="1" applyBorder="1" applyAlignment="1">
      <alignment horizontal="center" vertical="center"/>
    </xf>
    <xf numFmtId="2" fontId="0" fillId="2" borderId="0" xfId="0" applyNumberFormat="1" applyFill="1"/>
    <xf numFmtId="0" fontId="9" fillId="2" borderId="0" xfId="0" applyFont="1" applyFill="1" applyAlignment="1">
      <alignment horizontal="center" vertical="center"/>
    </xf>
    <xf numFmtId="0" fontId="30" fillId="17" borderId="1" xfId="3" applyFont="1" applyFill="1">
      <alignment horizontal="left" vertical="center" readingOrder="1"/>
    </xf>
    <xf numFmtId="0" fontId="15" fillId="14" borderId="0" xfId="5" applyFill="1" applyBorder="1">
      <alignment horizontal="center"/>
    </xf>
    <xf numFmtId="0" fontId="31" fillId="17" borderId="45" xfId="6" applyFont="1" applyFill="1">
      <alignment horizontal="left"/>
    </xf>
    <xf numFmtId="0" fontId="31" fillId="17" borderId="45" xfId="7" applyFont="1" applyFill="1">
      <alignment horizontal="right"/>
    </xf>
    <xf numFmtId="0" fontId="31" fillId="17" borderId="44" xfId="8" applyFont="1" applyFill="1">
      <alignment horizontal="left"/>
    </xf>
    <xf numFmtId="0" fontId="31" fillId="17" borderId="44" xfId="4" applyFont="1" applyFill="1">
      <alignment horizontal="right"/>
    </xf>
    <xf numFmtId="3" fontId="24" fillId="16" borderId="47" xfId="27" applyFont="1" applyFill="1">
      <alignment horizontal="right"/>
    </xf>
    <xf numFmtId="0" fontId="31" fillId="17" borderId="45" xfId="28" applyFont="1" applyFill="1">
      <alignment horizontal="centerContinuous"/>
    </xf>
    <xf numFmtId="0" fontId="31" fillId="17" borderId="44" xfId="29" applyFont="1" applyFill="1">
      <alignment horizontal="centerContinuous"/>
    </xf>
    <xf numFmtId="169" fontId="22" fillId="14" borderId="46" xfId="30" applyFont="1" applyFill="1">
      <alignment horizontal="right"/>
    </xf>
    <xf numFmtId="168" fontId="22" fillId="14" borderId="64" xfId="31" applyFont="1" applyFill="1">
      <alignment horizontal="right"/>
    </xf>
    <xf numFmtId="169" fontId="24" fillId="14" borderId="46" xfId="32" applyFont="1" applyFill="1">
      <alignment horizontal="right"/>
    </xf>
    <xf numFmtId="168" fontId="24" fillId="14" borderId="64" xfId="33" applyFont="1" applyFill="1">
      <alignment horizontal="right"/>
    </xf>
    <xf numFmtId="4" fontId="22" fillId="14" borderId="46" xfId="34" applyFont="1" applyFill="1">
      <alignment horizontal="right"/>
    </xf>
    <xf numFmtId="10" fontId="22" fillId="14" borderId="64" xfId="35" applyFont="1" applyFill="1">
      <alignment horizontal="right"/>
    </xf>
    <xf numFmtId="4" fontId="24" fillId="14" borderId="46" xfId="36" applyFont="1" applyFill="1">
      <alignment horizontal="right"/>
    </xf>
    <xf numFmtId="10" fontId="24" fillId="14" borderId="64" xfId="37" applyFont="1" applyFill="1">
      <alignment horizontal="right"/>
    </xf>
    <xf numFmtId="10" fontId="0" fillId="2" borderId="2" xfId="0" applyNumberFormat="1" applyFill="1" applyBorder="1"/>
    <xf numFmtId="14" fontId="0" fillId="2" borderId="1" xfId="0" applyNumberFormat="1" applyFill="1" applyBorder="1"/>
    <xf numFmtId="164" fontId="0" fillId="3" borderId="2" xfId="0" applyNumberFormat="1" applyFill="1" applyBorder="1"/>
    <xf numFmtId="10" fontId="22" fillId="14" borderId="47" xfId="18" applyNumberFormat="1" applyFont="1" applyFill="1">
      <alignment horizontal="right"/>
    </xf>
    <xf numFmtId="0" fontId="0" fillId="2" borderId="65" xfId="0" applyFill="1" applyBorder="1"/>
    <xf numFmtId="9" fontId="27" fillId="2" borderId="67" xfId="0" applyNumberFormat="1" applyFont="1" applyFill="1" applyBorder="1" applyAlignment="1">
      <alignment horizontal="center" vertical="center"/>
    </xf>
    <xf numFmtId="9" fontId="27" fillId="2" borderId="68" xfId="0" applyNumberFormat="1" applyFont="1" applyFill="1" applyBorder="1" applyAlignment="1">
      <alignment horizontal="center" vertical="center"/>
    </xf>
    <xf numFmtId="9" fontId="27" fillId="2" borderId="69" xfId="0" applyNumberFormat="1" applyFont="1" applyFill="1" applyBorder="1" applyAlignment="1">
      <alignment horizontal="center" vertical="center"/>
    </xf>
    <xf numFmtId="10" fontId="0" fillId="2" borderId="66" xfId="0" applyNumberFormat="1" applyFill="1" applyBorder="1" applyAlignment="1">
      <alignment horizontal="center" vertical="center"/>
    </xf>
    <xf numFmtId="10" fontId="11" fillId="2" borderId="66" xfId="0" applyNumberFormat="1" applyFont="1" applyFill="1" applyBorder="1" applyAlignment="1">
      <alignment horizontal="center" vertical="center"/>
    </xf>
    <xf numFmtId="9" fontId="27" fillId="2" borderId="71" xfId="0" applyNumberFormat="1" applyFont="1" applyFill="1" applyBorder="1" applyAlignment="1">
      <alignment horizontal="center" vertical="center"/>
    </xf>
    <xf numFmtId="9" fontId="27" fillId="2" borderId="72" xfId="0" applyNumberFormat="1" applyFont="1" applyFill="1" applyBorder="1" applyAlignment="1">
      <alignment horizontal="center" vertical="center"/>
    </xf>
    <xf numFmtId="9" fontId="27" fillId="2" borderId="73" xfId="0" applyNumberFormat="1" applyFont="1" applyFill="1" applyBorder="1" applyAlignment="1">
      <alignment horizontal="center" vertical="center"/>
    </xf>
    <xf numFmtId="168" fontId="0" fillId="2" borderId="70" xfId="0" applyNumberFormat="1" applyFill="1" applyBorder="1" applyAlignment="1">
      <alignment horizontal="right" vertical="center"/>
    </xf>
    <xf numFmtId="168" fontId="11" fillId="2" borderId="70" xfId="0" applyNumberFormat="1" applyFont="1" applyFill="1" applyBorder="1" applyAlignment="1">
      <alignment horizontal="right" vertical="center"/>
    </xf>
    <xf numFmtId="171" fontId="31" fillId="17" borderId="44" xfId="4" applyNumberFormat="1" applyFont="1" applyFill="1">
      <alignment horizontal="right"/>
    </xf>
    <xf numFmtId="2" fontId="0" fillId="0" borderId="0" xfId="0" applyNumberFormat="1"/>
    <xf numFmtId="10" fontId="0" fillId="0" borderId="0" xfId="0" applyNumberFormat="1"/>
    <xf numFmtId="0" fontId="35" fillId="21" borderId="0" xfId="0" applyFont="1" applyFill="1"/>
    <xf numFmtId="0" fontId="3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/>
    </xf>
    <xf numFmtId="0" fontId="35" fillId="21" borderId="0" xfId="0" applyFont="1" applyFill="1" applyAlignment="1">
      <alignment horizontal="left" indent="1"/>
    </xf>
    <xf numFmtId="9" fontId="27" fillId="2" borderId="40" xfId="0" applyNumberFormat="1" applyFont="1" applyFill="1" applyBorder="1" applyAlignment="1">
      <alignment horizontal="center" vertical="center"/>
    </xf>
    <xf numFmtId="9" fontId="28" fillId="2" borderId="40" xfId="0" applyNumberFormat="1" applyFont="1" applyFill="1" applyBorder="1" applyAlignment="1">
      <alignment horizontal="center" vertical="center"/>
    </xf>
    <xf numFmtId="10" fontId="0" fillId="22" borderId="0" xfId="0" applyNumberFormat="1" applyFill="1" applyAlignment="1">
      <alignment horizontal="center"/>
    </xf>
    <xf numFmtId="164" fontId="0" fillId="2" borderId="0" xfId="0" applyNumberFormat="1" applyFill="1" applyAlignment="1">
      <alignment vertical="center"/>
    </xf>
    <xf numFmtId="0" fontId="37" fillId="2" borderId="0" xfId="0" applyFont="1" applyFill="1"/>
    <xf numFmtId="0" fontId="0" fillId="0" borderId="0" xfId="0" applyAlignment="1">
      <alignment horizontal="right"/>
    </xf>
    <xf numFmtId="0" fontId="0" fillId="2" borderId="2" xfId="0" applyFill="1" applyBorder="1"/>
    <xf numFmtId="169" fontId="26" fillId="14" borderId="64" xfId="16" applyFont="1" applyFill="1" applyBorder="1">
      <alignment horizontal="right"/>
    </xf>
    <xf numFmtId="0" fontId="35" fillId="21" borderId="0" xfId="0" applyFont="1" applyFill="1" applyAlignment="1">
      <alignment horizontal="left"/>
    </xf>
    <xf numFmtId="0" fontId="0" fillId="0" borderId="0" xfId="0" applyAlignment="1">
      <alignment horizontal="left"/>
    </xf>
    <xf numFmtId="169" fontId="26" fillId="14" borderId="0" xfId="16" applyFont="1" applyFill="1" applyBorder="1">
      <alignment horizontal="right"/>
    </xf>
    <xf numFmtId="10" fontId="22" fillId="14" borderId="0" xfId="10" applyNumberFormat="1" applyFont="1" applyFill="1" applyBorder="1">
      <alignment horizontal="right"/>
    </xf>
    <xf numFmtId="172" fontId="0" fillId="2" borderId="0" xfId="0" applyNumberFormat="1" applyFill="1"/>
    <xf numFmtId="0" fontId="0" fillId="2" borderId="74" xfId="0" applyFill="1" applyBorder="1"/>
    <xf numFmtId="3" fontId="0" fillId="2" borderId="75" xfId="0" applyNumberFormat="1" applyFill="1" applyBorder="1"/>
    <xf numFmtId="0" fontId="0" fillId="0" borderId="76" xfId="0" applyBorder="1"/>
    <xf numFmtId="3" fontId="0" fillId="2" borderId="77" xfId="0" applyNumberFormat="1" applyFill="1" applyBorder="1"/>
    <xf numFmtId="0" fontId="0" fillId="2" borderId="76" xfId="0" applyFill="1" applyBorder="1"/>
    <xf numFmtId="0" fontId="0" fillId="2" borderId="78" xfId="0" applyFill="1" applyBorder="1"/>
    <xf numFmtId="164" fontId="0" fillId="2" borderId="79" xfId="0" applyNumberFormat="1" applyFill="1" applyBorder="1"/>
    <xf numFmtId="169" fontId="24" fillId="14" borderId="0" xfId="10" applyFont="1" applyFill="1" applyBorder="1">
      <alignment horizontal="right"/>
    </xf>
    <xf numFmtId="4" fontId="24" fillId="14" borderId="0" xfId="20" applyFont="1" applyFill="1" applyBorder="1">
      <alignment horizontal="right"/>
    </xf>
    <xf numFmtId="169" fontId="24" fillId="14" borderId="64" xfId="10" applyFont="1" applyFill="1" applyBorder="1">
      <alignment horizontal="right"/>
    </xf>
    <xf numFmtId="4" fontId="24" fillId="14" borderId="64" xfId="20" applyFont="1" applyFill="1" applyBorder="1">
      <alignment horizontal="right"/>
    </xf>
    <xf numFmtId="1" fontId="3" fillId="5" borderId="80" xfId="0" applyNumberFormat="1" applyFont="1" applyFill="1" applyBorder="1"/>
    <xf numFmtId="1" fontId="3" fillId="5" borderId="15" xfId="0" applyNumberFormat="1" applyFont="1" applyFill="1" applyBorder="1"/>
    <xf numFmtId="1" fontId="3" fillId="5" borderId="81" xfId="0" applyNumberFormat="1" applyFont="1" applyFill="1" applyBorder="1"/>
    <xf numFmtId="1" fontId="3" fillId="5" borderId="8" xfId="0" applyNumberFormat="1" applyFont="1" applyFill="1" applyBorder="1"/>
    <xf numFmtId="169" fontId="24" fillId="14" borderId="63" xfId="10" applyFont="1" applyFill="1" applyBorder="1">
      <alignment horizontal="right"/>
    </xf>
    <xf numFmtId="169" fontId="26" fillId="14" borderId="63" xfId="16" applyFont="1" applyFill="1" applyBorder="1">
      <alignment horizontal="right"/>
    </xf>
    <xf numFmtId="0" fontId="0" fillId="2" borderId="84" xfId="0" applyFill="1" applyBorder="1"/>
    <xf numFmtId="0" fontId="7" fillId="2" borderId="84" xfId="0" applyFont="1" applyFill="1" applyBorder="1" applyAlignment="1">
      <alignment horizontal="right"/>
    </xf>
    <xf numFmtId="0" fontId="0" fillId="2" borderId="85" xfId="0" applyFill="1" applyBorder="1"/>
    <xf numFmtId="0" fontId="22" fillId="14" borderId="82" xfId="9" applyFont="1" applyFill="1" applyBorder="1" applyAlignment="1">
      <alignment horizontal="left" indent="1"/>
    </xf>
    <xf numFmtId="0" fontId="25" fillId="14" borderId="82" xfId="15" applyFont="1" applyFill="1" applyBorder="1" applyAlignment="1">
      <alignment horizontal="left" indent="1"/>
    </xf>
    <xf numFmtId="0" fontId="22" fillId="14" borderId="83" xfId="9" applyFont="1" applyFill="1" applyBorder="1" applyAlignment="1">
      <alignment horizontal="left" indent="1"/>
    </xf>
    <xf numFmtId="10" fontId="0" fillId="2" borderId="0" xfId="0" applyNumberFormat="1" applyFill="1" applyAlignment="1">
      <alignment horizontal="left" vertical="center" indent="1"/>
    </xf>
    <xf numFmtId="4" fontId="24" fillId="14" borderId="63" xfId="20" applyFont="1" applyFill="1" applyBorder="1">
      <alignment horizontal="right"/>
    </xf>
    <xf numFmtId="169" fontId="0" fillId="0" borderId="0" xfId="0" applyNumberFormat="1"/>
    <xf numFmtId="3" fontId="0" fillId="2" borderId="0" xfId="0" applyNumberFormat="1" applyFill="1" applyAlignment="1">
      <alignment horizontal="center" vertical="center"/>
    </xf>
    <xf numFmtId="0" fontId="0" fillId="25" borderId="0" xfId="0" applyFill="1" applyAlignment="1">
      <alignment horizontal="right" vertical="center"/>
    </xf>
    <xf numFmtId="167" fontId="0" fillId="26" borderId="0" xfId="0" applyNumberFormat="1" applyFill="1" applyAlignment="1">
      <alignment horizontal="center" vertical="center"/>
    </xf>
    <xf numFmtId="3" fontId="0" fillId="25" borderId="0" xfId="0" applyNumberFormat="1" applyFill="1" applyAlignment="1">
      <alignment horizontal="center" vertical="center"/>
    </xf>
    <xf numFmtId="0" fontId="0" fillId="23" borderId="0" xfId="0" applyFill="1" applyAlignment="1">
      <alignment horizontal="right" vertical="center"/>
    </xf>
    <xf numFmtId="167" fontId="0" fillId="24" borderId="0" xfId="0" applyNumberFormat="1" applyFill="1" applyAlignment="1">
      <alignment horizontal="center" vertical="center"/>
    </xf>
    <xf numFmtId="3" fontId="0" fillId="24" borderId="0" xfId="0" applyNumberFormat="1" applyFill="1" applyAlignment="1">
      <alignment horizontal="center" vertical="center"/>
    </xf>
    <xf numFmtId="0" fontId="0" fillId="27" borderId="0" xfId="0" applyFill="1" applyAlignment="1">
      <alignment horizontal="right" vertical="center"/>
    </xf>
    <xf numFmtId="167" fontId="0" fillId="22" borderId="0" xfId="0" applyNumberFormat="1" applyFill="1" applyAlignment="1">
      <alignment horizontal="center" vertical="center"/>
    </xf>
    <xf numFmtId="3" fontId="0" fillId="22" borderId="0" xfId="0" applyNumberFormat="1" applyFill="1" applyAlignment="1">
      <alignment horizontal="center" vertical="center"/>
    </xf>
    <xf numFmtId="0" fontId="0" fillId="28" borderId="0" xfId="0" applyFill="1" applyAlignment="1">
      <alignment horizontal="right" vertical="center"/>
    </xf>
    <xf numFmtId="167" fontId="0" fillId="28" borderId="0" xfId="0" applyNumberFormat="1" applyFill="1" applyAlignment="1">
      <alignment horizontal="center" vertical="center"/>
    </xf>
    <xf numFmtId="3" fontId="0" fillId="28" borderId="0" xfId="0" applyNumberFormat="1" applyFill="1" applyAlignment="1">
      <alignment horizontal="center" vertical="center"/>
    </xf>
    <xf numFmtId="0" fontId="0" fillId="22" borderId="0" xfId="0" applyFill="1" applyAlignment="1">
      <alignment horizontal="right" vertical="center"/>
    </xf>
    <xf numFmtId="0" fontId="0" fillId="26" borderId="0" xfId="0" applyFill="1" applyAlignment="1">
      <alignment horizontal="right" vertical="center"/>
    </xf>
    <xf numFmtId="1" fontId="3" fillId="7" borderId="0" xfId="0" applyNumberFormat="1" applyFont="1" applyFill="1" applyAlignment="1">
      <alignment vertical="center"/>
    </xf>
    <xf numFmtId="3" fontId="0" fillId="2" borderId="9" xfId="0" applyNumberFormat="1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167" fontId="0" fillId="26" borderId="9" xfId="0" applyNumberFormat="1" applyFill="1" applyBorder="1" applyAlignment="1">
      <alignment horizontal="center" vertical="center"/>
    </xf>
    <xf numFmtId="167" fontId="0" fillId="26" borderId="63" xfId="0" applyNumberFormat="1" applyFill="1" applyBorder="1" applyAlignment="1">
      <alignment horizontal="center" vertical="center"/>
    </xf>
    <xf numFmtId="167" fontId="0" fillId="24" borderId="9" xfId="0" applyNumberFormat="1" applyFill="1" applyBorder="1" applyAlignment="1">
      <alignment horizontal="center" vertical="center"/>
    </xf>
    <xf numFmtId="167" fontId="0" fillId="24" borderId="63" xfId="0" applyNumberFormat="1" applyFill="1" applyBorder="1" applyAlignment="1">
      <alignment horizontal="center" vertical="center"/>
    </xf>
    <xf numFmtId="167" fontId="0" fillId="22" borderId="9" xfId="0" applyNumberFormat="1" applyFill="1" applyBorder="1" applyAlignment="1">
      <alignment horizontal="center" vertical="center"/>
    </xf>
    <xf numFmtId="167" fontId="0" fillId="22" borderId="63" xfId="0" applyNumberFormat="1" applyFill="1" applyBorder="1" applyAlignment="1">
      <alignment horizontal="center" vertical="center"/>
    </xf>
    <xf numFmtId="167" fontId="0" fillId="28" borderId="9" xfId="0" applyNumberFormat="1" applyFill="1" applyBorder="1" applyAlignment="1">
      <alignment horizontal="center" vertical="center"/>
    </xf>
    <xf numFmtId="167" fontId="0" fillId="28" borderId="63" xfId="0" applyNumberFormat="1" applyFill="1" applyBorder="1" applyAlignment="1">
      <alignment horizontal="center" vertical="center"/>
    </xf>
    <xf numFmtId="167" fontId="0" fillId="26" borderId="87" xfId="0" applyNumberFormat="1" applyFill="1" applyBorder="1" applyAlignment="1">
      <alignment horizontal="center" vertical="center"/>
    </xf>
    <xf numFmtId="167" fontId="0" fillId="26" borderId="84" xfId="0" applyNumberFormat="1" applyFill="1" applyBorder="1" applyAlignment="1">
      <alignment horizontal="center" vertical="center"/>
    </xf>
    <xf numFmtId="167" fontId="0" fillId="26" borderId="86" xfId="0" applyNumberFormat="1" applyFill="1" applyBorder="1" applyAlignment="1">
      <alignment horizontal="center" vertical="center"/>
    </xf>
    <xf numFmtId="3" fontId="0" fillId="2" borderId="63" xfId="0" applyNumberFormat="1" applyFill="1" applyBorder="1" applyAlignment="1">
      <alignment horizontal="center" vertical="center"/>
    </xf>
    <xf numFmtId="3" fontId="0" fillId="25" borderId="9" xfId="0" applyNumberFormat="1" applyFill="1" applyBorder="1" applyAlignment="1">
      <alignment horizontal="center" vertical="center"/>
    </xf>
    <xf numFmtId="3" fontId="0" fillId="25" borderId="63" xfId="0" applyNumberFormat="1" applyFill="1" applyBorder="1" applyAlignment="1">
      <alignment horizontal="center" vertical="center"/>
    </xf>
    <xf numFmtId="3" fontId="0" fillId="23" borderId="9" xfId="0" applyNumberFormat="1" applyFill="1" applyBorder="1" applyAlignment="1">
      <alignment horizontal="center" vertical="center"/>
    </xf>
    <xf numFmtId="3" fontId="0" fillId="24" borderId="63" xfId="0" applyNumberFormat="1" applyFill="1" applyBorder="1" applyAlignment="1">
      <alignment horizontal="center" vertical="center"/>
    </xf>
    <xf numFmtId="3" fontId="0" fillId="27" borderId="9" xfId="0" applyNumberFormat="1" applyFill="1" applyBorder="1" applyAlignment="1">
      <alignment horizontal="center" vertical="center"/>
    </xf>
    <xf numFmtId="3" fontId="0" fillId="22" borderId="63" xfId="0" applyNumberFormat="1" applyFill="1" applyBorder="1" applyAlignment="1">
      <alignment horizontal="center" vertical="center"/>
    </xf>
    <xf numFmtId="3" fontId="0" fillId="28" borderId="9" xfId="0" applyNumberFormat="1" applyFill="1" applyBorder="1" applyAlignment="1">
      <alignment horizontal="center" vertical="center"/>
    </xf>
    <xf numFmtId="3" fontId="0" fillId="28" borderId="63" xfId="0" applyNumberFormat="1" applyFill="1" applyBorder="1" applyAlignment="1">
      <alignment horizontal="center" vertical="center"/>
    </xf>
    <xf numFmtId="3" fontId="0" fillId="22" borderId="9" xfId="0" applyNumberFormat="1" applyFill="1" applyBorder="1" applyAlignment="1">
      <alignment horizontal="center" vertical="center"/>
    </xf>
    <xf numFmtId="3" fontId="0" fillId="26" borderId="87" xfId="0" applyNumberFormat="1" applyFill="1" applyBorder="1" applyAlignment="1">
      <alignment horizontal="center" vertical="center"/>
    </xf>
    <xf numFmtId="3" fontId="0" fillId="26" borderId="84" xfId="0" applyNumberFormat="1" applyFill="1" applyBorder="1" applyAlignment="1">
      <alignment horizontal="center" vertical="center"/>
    </xf>
    <xf numFmtId="3" fontId="0" fillId="26" borderId="86" xfId="0" applyNumberFormat="1" applyFill="1" applyBorder="1" applyAlignment="1">
      <alignment horizontal="center" vertical="center"/>
    </xf>
    <xf numFmtId="3" fontId="0" fillId="24" borderId="9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55" xfId="0" applyNumberFormat="1" applyFill="1" applyBorder="1" applyAlignment="1">
      <alignment horizontal="center" vertical="center"/>
    </xf>
    <xf numFmtId="164" fontId="0" fillId="25" borderId="88" xfId="0" applyNumberFormat="1" applyFill="1" applyBorder="1" applyAlignment="1">
      <alignment horizontal="center" vertical="center"/>
    </xf>
    <xf numFmtId="164" fontId="0" fillId="24" borderId="88" xfId="0" applyNumberFormat="1" applyFill="1" applyBorder="1" applyAlignment="1">
      <alignment horizontal="center" vertical="center"/>
    </xf>
    <xf numFmtId="164" fontId="0" fillId="22" borderId="88" xfId="0" applyNumberFormat="1" applyFill="1" applyBorder="1" applyAlignment="1">
      <alignment horizontal="center" vertical="center"/>
    </xf>
    <xf numFmtId="164" fontId="0" fillId="28" borderId="88" xfId="0" applyNumberFormat="1" applyFill="1" applyBorder="1" applyAlignment="1">
      <alignment horizontal="center" vertical="center"/>
    </xf>
    <xf numFmtId="164" fontId="0" fillId="26" borderId="89" xfId="0" applyNumberFormat="1" applyFill="1" applyBorder="1" applyAlignment="1">
      <alignment horizontal="center" vertical="center"/>
    </xf>
    <xf numFmtId="169" fontId="24" fillId="14" borderId="84" xfId="10" applyFont="1" applyFill="1" applyBorder="1">
      <alignment horizontal="right"/>
    </xf>
    <xf numFmtId="169" fontId="24" fillId="14" borderId="86" xfId="10" applyFont="1" applyFill="1" applyBorder="1">
      <alignment horizontal="right"/>
    </xf>
    <xf numFmtId="0" fontId="0" fillId="0" borderId="0" xfId="0" quotePrefix="1" applyAlignment="1">
      <alignment horizontal="center" vertical="center"/>
    </xf>
    <xf numFmtId="0" fontId="0" fillId="2" borderId="90" xfId="0" applyFill="1" applyBorder="1" applyAlignment="1">
      <alignment horizontal="right" vertical="center" indent="1"/>
    </xf>
    <xf numFmtId="167" fontId="0" fillId="2" borderId="0" xfId="0" applyNumberFormat="1" applyFill="1" applyAlignment="1">
      <alignment horizontal="center" vertical="center"/>
    </xf>
    <xf numFmtId="4" fontId="0" fillId="0" borderId="0" xfId="0" applyNumberFormat="1"/>
    <xf numFmtId="0" fontId="32" fillId="2" borderId="0" xfId="0" applyFont="1" applyFill="1" applyAlignment="1">
      <alignment horizontal="center"/>
    </xf>
    <xf numFmtId="0" fontId="32" fillId="2" borderId="0" xfId="0" applyFont="1" applyFill="1" applyAlignment="1">
      <alignment horizontal="right" vertical="center" textRotation="90"/>
    </xf>
    <xf numFmtId="1" fontId="9" fillId="5" borderId="91" xfId="0" applyNumberFormat="1" applyFont="1" applyFill="1" applyBorder="1" applyAlignment="1">
      <alignment horizontal="center" vertical="center"/>
    </xf>
    <xf numFmtId="1" fontId="9" fillId="5" borderId="9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" fontId="3" fillId="5" borderId="15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18" borderId="0" xfId="0" applyFont="1" applyFill="1" applyBorder="1" applyAlignment="1">
      <alignment horizontal="left" vertical="center"/>
    </xf>
    <xf numFmtId="0" fontId="3" fillId="19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indent="2"/>
    </xf>
    <xf numFmtId="0" fontId="38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indent="1"/>
    </xf>
    <xf numFmtId="0" fontId="3" fillId="2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indent="3"/>
    </xf>
    <xf numFmtId="0" fontId="34" fillId="24" borderId="0" xfId="0" applyFont="1" applyFill="1" applyBorder="1" applyAlignment="1">
      <alignment horizontal="left" indent="2"/>
    </xf>
    <xf numFmtId="0" fontId="38" fillId="24" borderId="0" xfId="0" applyFont="1" applyFill="1" applyBorder="1" applyAlignment="1">
      <alignment horizontal="left" vertical="center" indent="1"/>
    </xf>
  </cellXfs>
  <cellStyles count="38">
    <cellStyle name="blp_column_header" xfId="26" xr:uid="{0644E47A-BBF3-4320-967E-60914A1A33EF}"/>
    <cellStyle name="blp_title_header_row_left" xfId="3" xr:uid="{97DB8782-AD68-4E52-916F-1E7A42A8AB93}"/>
    <cellStyle name="fa_column_header_bottom" xfId="4" xr:uid="{D9CAD33D-F096-48FC-9389-58467A2B1222}"/>
    <cellStyle name="fa_column_header_bottom_centered" xfId="29" xr:uid="{A2B7D0FC-0580-48C0-984C-642FBB77DFFE}"/>
    <cellStyle name="fa_column_header_bottom_left" xfId="8" xr:uid="{D18CDAC1-333F-46FF-9906-19290D080C5A}"/>
    <cellStyle name="fa_column_header_empty" xfId="5" xr:uid="{E15FCF8C-A48F-4EBE-9D48-D718F075359B}"/>
    <cellStyle name="fa_column_header_top" xfId="7" xr:uid="{DFDC3DFA-FD96-492B-9B74-D506CF52D4F3}"/>
    <cellStyle name="fa_column_header_top_centered" xfId="28" xr:uid="{E4F1A196-E95F-4482-B9CB-E14C5AA573BC}"/>
    <cellStyle name="fa_column_header_top_left" xfId="6" xr:uid="{9330BF3C-3676-4D2E-83AA-B887B6007BE9}"/>
    <cellStyle name="fa_data_bold_0_grouped" xfId="18" xr:uid="{D9418596-690B-47B8-8D5E-296F4CE38297}"/>
    <cellStyle name="fa_data_bold_1_grouped" xfId="10" xr:uid="{7CADBD03-8883-4B0A-BBE5-40A753674D92}"/>
    <cellStyle name="fa_data_bold_1_grouped_single_border" xfId="30" xr:uid="{36ABA091-7BCC-4DB1-85CE-C2BF78D1FE3E}"/>
    <cellStyle name="fa_data_bold_1_percent_single_border" xfId="31" xr:uid="{7256F1B9-79F5-4A91-A04F-92127EF58E43}"/>
    <cellStyle name="fa_data_bold_2_grouped" xfId="20" xr:uid="{CD5084C8-47E3-4EED-9023-BC4B48232FB5}"/>
    <cellStyle name="fa_data_bold_2_grouped_single_border" xfId="34" xr:uid="{7422E43F-C5AE-472B-85F0-781424B6AB02}"/>
    <cellStyle name="fa_data_bold_2_percent_single_border" xfId="35" xr:uid="{5D8A0316-CF8B-4B91-9358-1BF4A95C1D26}"/>
    <cellStyle name="fa_data_current_bold_0_grouped" xfId="19" xr:uid="{631DC164-945A-42F8-BEFE-2EBCF554B6D9}"/>
    <cellStyle name="fa_data_current_bold_1_grouped" xfId="11" xr:uid="{D584F516-BCE1-490E-A07B-3E5AEB04058E}"/>
    <cellStyle name="fa_data_current_bold_2_grouped" xfId="21" xr:uid="{6B81EB0F-BFC7-4F3B-B5F3-420D6891399A}"/>
    <cellStyle name="fa_data_current_italic_1_grouped" xfId="17" xr:uid="{83B101D2-FB55-4A6F-B2A5-32630BFE8098}"/>
    <cellStyle name="fa_data_current_standard_0_grouped" xfId="27" xr:uid="{754126A9-5988-4077-9F91-A32805487CD9}"/>
    <cellStyle name="fa_data_current_standard_1_grouped" xfId="14" xr:uid="{81AD7441-4BA7-4C0F-9E32-ABC2F51AF0E8}"/>
    <cellStyle name="fa_data_current_standard_2_grouped" xfId="24" xr:uid="{A9EC6E7E-923E-4C6B-A3A2-79C7947252AD}"/>
    <cellStyle name="fa_data_italic_1_grouped" xfId="16" xr:uid="{DC0CD586-0B46-49C1-9380-48CA4FA86208}"/>
    <cellStyle name="fa_data_standard_0_grouped" xfId="22" xr:uid="{0D48543F-18A1-4444-9846-F9C477FEE8C0}"/>
    <cellStyle name="fa_data_standard_1_grouped" xfId="13" xr:uid="{9A1C6F76-0E18-4908-8B92-79D69A9ADD00}"/>
    <cellStyle name="fa_data_standard_1_grouped_single_border" xfId="32" xr:uid="{14048D56-CB56-40B3-BC8C-0A71170242AD}"/>
    <cellStyle name="fa_data_standard_1_percent_single_border" xfId="33" xr:uid="{0FE14164-D232-4BFF-8195-B77458260045}"/>
    <cellStyle name="fa_data_standard_2_grouped" xfId="23" xr:uid="{C834FEB7-4A14-4092-8B8E-4EAB154EB758}"/>
    <cellStyle name="fa_data_standard_2_grouped_single_border" xfId="36" xr:uid="{26DCC697-9B11-47AB-A6F2-C00709E21145}"/>
    <cellStyle name="fa_data_standard_2_percent_single_border" xfId="37" xr:uid="{EA11B34B-8282-4449-A504-64C3F9A5DE57}"/>
    <cellStyle name="fa_footer_italic" xfId="25" xr:uid="{2588CD13-5450-4C04-8341-A4E1DA729D1A}"/>
    <cellStyle name="fa_row_header_bold" xfId="9" xr:uid="{019A23B0-7181-4282-9673-3027AC87361C}"/>
    <cellStyle name="fa_row_header_italic" xfId="15" xr:uid="{929B632C-2067-4844-89B5-27B14DDD5A72}"/>
    <cellStyle name="fa_row_header_standard" xfId="12" xr:uid="{B65A9784-8C23-4143-A9D3-314A4FEFD30C}"/>
    <cellStyle name="Normal" xfId="0" builtinId="0"/>
    <cellStyle name="Normal 2" xfId="2" xr:uid="{35EF5890-8843-2249-B2E9-07876A0801C3}"/>
    <cellStyle name="Per cent" xfId="1" builtinId="5"/>
  </cellStyles>
  <dxfs count="6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Medium9"/>
  <colors>
    <mruColors>
      <color rgb="FF000000"/>
      <color rgb="FF5195D3"/>
      <color rgb="FF007635"/>
      <color rgb="FFEE20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lt1"/>
            </a:solidFill>
            <a:ln w="25400"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86-467B-9FA9-BD3B1220E858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86-467B-9FA9-BD3B1220E858}"/>
              </c:ext>
            </c:extLst>
          </c:dPt>
          <c:dPt>
            <c:idx val="2"/>
            <c:bubble3D val="0"/>
            <c:spPr>
              <a:solidFill>
                <a:srgbClr val="5195D3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4CB-6040-B129-E7C6670AE3D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E2-486D-B2A6-94E75F1C3E8D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EE2-486D-B2A6-94E75F1C3E8D}"/>
              </c:ext>
            </c:extLst>
          </c:dPt>
          <c:dLbls>
            <c:dLbl>
              <c:idx val="0"/>
              <c:layout>
                <c:manualLayout>
                  <c:x val="0.19874721211739199"/>
                  <c:y val="-2.77873805908427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199B58-FC7C-4CB7-B686-B1A02F497969}" type="CATEGORYNAME">
                      <a:rPr lang="en-US" sz="1600">
                        <a:solidFill>
                          <a:srgbClr val="002060"/>
                        </a:solidFill>
                      </a:rPr>
                      <a:pPr>
                        <a:defRPr sz="1100">
                          <a:solidFill>
                            <a:srgbClr val="002060"/>
                          </a:solidFill>
                        </a:defRPr>
                      </a:pPr>
                      <a:t>[CATEGORY NAME]</a:t>
                    </a:fld>
                    <a:r>
                      <a:rPr lang="en-US" sz="1800" baseline="0">
                        <a:solidFill>
                          <a:srgbClr val="002060"/>
                        </a:solidFill>
                      </a:rPr>
                      <a:t>
</a:t>
                    </a:r>
                    <a:fld id="{37A71064-9C85-4D4B-A74A-2DC9EF58457E}" type="PERCENTAGE">
                      <a:rPr lang="en-US" sz="1400" baseline="0">
                        <a:solidFill>
                          <a:srgbClr val="002060"/>
                        </a:solidFill>
                      </a:rPr>
                      <a:pPr>
                        <a:defRPr sz="1100">
                          <a:solidFill>
                            <a:srgbClr val="002060"/>
                          </a:solidFill>
                        </a:defRPr>
                      </a:pPr>
                      <a:t>[PERCENTAGE]</a:t>
                    </a:fld>
                    <a:endParaRPr lang="en-US" sz="1800" baseline="0">
                      <a:solidFill>
                        <a:srgbClr val="00206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38171822504591"/>
                      <c:h val="0.27722543369464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86-467B-9FA9-BD3B1220E858}"/>
                </c:ext>
              </c:extLst>
            </c:dLbl>
            <c:dLbl>
              <c:idx val="1"/>
              <c:layout>
                <c:manualLayout>
                  <c:x val="-0.137073593193206"/>
                  <c:y val="0.1481993631511617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accent5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F9D40B-CD9C-41B8-8E73-F52225000613}" type="CATEGORYNAME">
                      <a:rPr lang="en-US" sz="140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>
                        <a:defRPr sz="1100">
                          <a:solidFill>
                            <a:schemeClr val="accent5">
                              <a:lumMod val="75000"/>
                            </a:schemeClr>
                          </a:solidFill>
                        </a:defRPr>
                      </a:pPr>
                      <a:t>[CATEGORY NAME]</a:t>
                    </a:fld>
                    <a:r>
                      <a:rPr lang="en-US" sz="1400" baseline="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t>
</a:t>
                    </a:r>
                    <a:fld id="{CEDA5C39-07DD-43D2-829D-9B75C8F7CFC7}" type="PERCENTAGE">
                      <a:rPr lang="en-US" sz="1400" baseline="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>
                        <a:defRPr sz="1100">
                          <a:solidFill>
                            <a:schemeClr val="accent5">
                              <a:lumMod val="7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sz="1400" baseline="0">
                      <a:solidFill>
                        <a:schemeClr val="accent5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386-467B-9FA9-BD3B1220E858}"/>
                </c:ext>
              </c:extLst>
            </c:dLbl>
            <c:dLbl>
              <c:idx val="2"/>
              <c:layout>
                <c:manualLayout>
                  <c:x val="-0.14529800878479834"/>
                  <c:y val="4.936891284973080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498B6F-9562-411E-91A5-F4E986699942}" type="CATEGORYNAME">
                      <a:rPr lang="en-US" sz="1400">
                        <a:solidFill>
                          <a:srgbClr val="5195D3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400" baseline="0">
                        <a:solidFill>
                          <a:srgbClr val="5195D3"/>
                        </a:solidFill>
                      </a:rPr>
                      <a:t>
</a:t>
                    </a:r>
                    <a:fld id="{DA536483-376B-4F87-915C-7CC181BA695B}" type="PERCENTAGE">
                      <a:rPr lang="en-US" sz="1400" baseline="0">
                        <a:solidFill>
                          <a:srgbClr val="5195D3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400" baseline="0">
                      <a:solidFill>
                        <a:srgbClr val="5195D3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4CB-6040-B129-E7C6670AE3D9}"/>
                </c:ext>
              </c:extLst>
            </c:dLbl>
            <c:dLbl>
              <c:idx val="3"/>
              <c:layout>
                <c:manualLayout>
                  <c:x val="-0.12884917760161366"/>
                  <c:y val="-5.557476118168575E-2"/>
                </c:manualLayout>
              </c:layout>
              <c:tx>
                <c:rich>
                  <a:bodyPr/>
                  <a:lstStyle/>
                  <a:p>
                    <a:fld id="{C07CFDF4-0950-44B2-9696-59481C0EABC1}" type="CATEGORYNAME">
                      <a:rPr lang="en-US" sz="1400">
                        <a:solidFill>
                          <a:srgbClr val="00B0F0"/>
                        </a:solidFill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rgbClr val="00B0F0"/>
                        </a:solidFill>
                      </a:rPr>
                      <a:t>
</a:t>
                    </a:r>
                    <a:fld id="{00CB2F64-AB4B-4BD7-8DBE-733549E03BE8}" type="PERCENTAGE">
                      <a:rPr lang="en-US" sz="1400" baseline="0">
                        <a:solidFill>
                          <a:srgbClr val="00B0F0"/>
                        </a:solidFill>
                      </a:rPr>
                      <a:pPr/>
                      <a:t>[PERCENTAGE]</a:t>
                    </a:fld>
                    <a:endParaRPr lang="en-US" sz="1400" baseline="0">
                      <a:solidFill>
                        <a:srgbClr val="00B0F0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EE2-486D-B2A6-94E75F1C3E8D}"/>
                </c:ext>
              </c:extLst>
            </c:dLbl>
            <c:dLbl>
              <c:idx val="4"/>
              <c:layout>
                <c:manualLayout>
                  <c:x val="-0.11240034641842896"/>
                  <c:y val="-0.13430567285574047"/>
                </c:manualLayout>
              </c:layout>
              <c:tx>
                <c:rich>
                  <a:bodyPr/>
                  <a:lstStyle/>
                  <a:p>
                    <a:fld id="{13EDFAF0-7377-416F-83D6-AB4A97312FFA}" type="CATEGORYNAME">
                      <a:rPr lang="en-US" sz="140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chemeClr val="tx1"/>
                        </a:solidFill>
                      </a:rPr>
                      <a:t>
</a:t>
                    </a:r>
                    <a:fld id="{D87EE65D-CFE4-4472-8827-A5ACB2F7D4C3}" type="PERCENTAGE">
                      <a:rPr lang="en-US" sz="14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sz="1400" baseline="0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EE2-486D-B2A6-94E75F1C3E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Graphs!$P$11:$P$15</c:f>
              <c:strCache>
                <c:ptCount val="5"/>
                <c:pt idx="0">
                  <c:v>Merchandise</c:v>
                </c:pt>
                <c:pt idx="1">
                  <c:v>Intermodal</c:v>
                </c:pt>
                <c:pt idx="2">
                  <c:v>Trucking</c:v>
                </c:pt>
                <c:pt idx="3">
                  <c:v>Other</c:v>
                </c:pt>
                <c:pt idx="4">
                  <c:v>Coal</c:v>
                </c:pt>
              </c:strCache>
            </c:strRef>
          </c:cat>
          <c:val>
            <c:numRef>
              <c:f>Graphs!$Q$11:$Q$15</c:f>
              <c:numCache>
                <c:formatCode>General</c:formatCode>
                <c:ptCount val="5"/>
                <c:pt idx="0">
                  <c:v>55.5</c:v>
                </c:pt>
                <c:pt idx="1">
                  <c:v>15.5</c:v>
                </c:pt>
                <c:pt idx="2">
                  <c:v>6.5</c:v>
                </c:pt>
                <c:pt idx="3">
                  <c:v>6.1</c:v>
                </c:pt>
                <c:pt idx="4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6-467B-9FA9-BD3B1220E8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81421901218356"/>
          <c:y val="5.0968055555555551E-2"/>
          <c:w val="0.88132742394397023"/>
          <c:h val="0.81495509259259258"/>
        </c:manualLayout>
      </c:layout>
      <c:barChart>
        <c:barDir val="col"/>
        <c:grouping val="clustered"/>
        <c:varyColors val="0"/>
        <c:ser>
          <c:idx val="0"/>
          <c:order val="0"/>
          <c:tx>
            <c:v>Bear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Graphs!$P$34:$P$39</c:f>
              <c:strCache>
                <c:ptCount val="6"/>
                <c:pt idx="0">
                  <c:v>China</c:v>
                </c:pt>
                <c:pt idx="1">
                  <c:v>North America</c:v>
                </c:pt>
                <c:pt idx="2">
                  <c:v>India</c:v>
                </c:pt>
                <c:pt idx="3">
                  <c:v>Europe</c:v>
                </c:pt>
                <c:pt idx="4">
                  <c:v>Russia</c:v>
                </c:pt>
                <c:pt idx="5">
                  <c:v>Japan</c:v>
                </c:pt>
              </c:strCache>
            </c:strRef>
          </c:cat>
          <c:val>
            <c:numRef>
              <c:f>Graphs!$Q$34:$Q$39</c:f>
              <c:numCache>
                <c:formatCode>General</c:formatCode>
                <c:ptCount val="6"/>
                <c:pt idx="0">
                  <c:v>12.5</c:v>
                </c:pt>
                <c:pt idx="1">
                  <c:v>15</c:v>
                </c:pt>
                <c:pt idx="2">
                  <c:v>4</c:v>
                </c:pt>
                <c:pt idx="3">
                  <c:v>7</c:v>
                </c:pt>
                <c:pt idx="4">
                  <c:v>5.5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C-41F1-8052-297FF9A34FA5}"/>
            </c:ext>
          </c:extLst>
        </c:ser>
        <c:ser>
          <c:idx val="1"/>
          <c:order val="1"/>
          <c:tx>
            <c:v>Base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Graphs!$P$34:$P$39</c:f>
              <c:strCache>
                <c:ptCount val="6"/>
                <c:pt idx="0">
                  <c:v>China</c:v>
                </c:pt>
                <c:pt idx="1">
                  <c:v>North America</c:v>
                </c:pt>
                <c:pt idx="2">
                  <c:v>India</c:v>
                </c:pt>
                <c:pt idx="3">
                  <c:v>Europe</c:v>
                </c:pt>
                <c:pt idx="4">
                  <c:v>Russia</c:v>
                </c:pt>
                <c:pt idx="5">
                  <c:v>Japan</c:v>
                </c:pt>
              </c:strCache>
            </c:strRef>
          </c:cat>
          <c:val>
            <c:numRef>
              <c:f>Graphs!$R$34:$R$39</c:f>
              <c:numCache>
                <c:formatCode>General</c:formatCode>
                <c:ptCount val="6"/>
                <c:pt idx="0">
                  <c:v>24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7.5</c:v>
                </c:pt>
                <c:pt idx="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C-41F1-8052-297FF9A34FA5}"/>
            </c:ext>
          </c:extLst>
        </c:ser>
        <c:ser>
          <c:idx val="2"/>
          <c:order val="2"/>
          <c:tx>
            <c:v>Bull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Graphs!$P$34:$P$39</c:f>
              <c:strCache>
                <c:ptCount val="6"/>
                <c:pt idx="0">
                  <c:v>China</c:v>
                </c:pt>
                <c:pt idx="1">
                  <c:v>North America</c:v>
                </c:pt>
                <c:pt idx="2">
                  <c:v>India</c:v>
                </c:pt>
                <c:pt idx="3">
                  <c:v>Europe</c:v>
                </c:pt>
                <c:pt idx="4">
                  <c:v>Russia</c:v>
                </c:pt>
                <c:pt idx="5">
                  <c:v>Japan</c:v>
                </c:pt>
              </c:strCache>
            </c:strRef>
          </c:cat>
          <c:val>
            <c:numRef>
              <c:f>Graphs!$S$34:$S$39</c:f>
              <c:numCache>
                <c:formatCode>General</c:formatCode>
                <c:ptCount val="6"/>
                <c:pt idx="0">
                  <c:v>32.5</c:v>
                </c:pt>
                <c:pt idx="1">
                  <c:v>23</c:v>
                </c:pt>
                <c:pt idx="2">
                  <c:v>13.5</c:v>
                </c:pt>
                <c:pt idx="3">
                  <c:v>12</c:v>
                </c:pt>
                <c:pt idx="4">
                  <c:v>8</c:v>
                </c:pt>
                <c:pt idx="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C-41F1-8052-297FF9A34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763904"/>
        <c:axId val="968765704"/>
      </c:barChart>
      <c:catAx>
        <c:axId val="96876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68765704"/>
        <c:crosses val="autoZero"/>
        <c:auto val="1"/>
        <c:lblAlgn val="ctr"/>
        <c:lblOffset val="100"/>
        <c:tickMarkSkip val="1"/>
        <c:noMultiLvlLbl val="0"/>
      </c:catAx>
      <c:valAx>
        <c:axId val="968765704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&quot; 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687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647752070366106"/>
          <c:y val="6.414305555555555E-2"/>
          <c:w val="0.43110400229092649"/>
          <c:h val="8.7209912714399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9096811847962E-2"/>
          <c:y val="6.8311049638850471E-2"/>
          <c:w val="0.80392956153790029"/>
          <c:h val="0.7864461349316122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 from Coal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Graphs!$M$3:$M$5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Graphs!$N$3:$N$5</c:f>
              <c:numCache>
                <c:formatCode>General</c:formatCode>
                <c:ptCount val="3"/>
                <c:pt idx="0">
                  <c:v>1397</c:v>
                </c:pt>
                <c:pt idx="1">
                  <c:v>1790</c:v>
                </c:pt>
                <c:pt idx="2">
                  <c:v>2434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6-4056-95E0-E79754B3A9C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Graphs!$M$3:$M$5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Graphs!$Q$3:$Q$5</c:f>
              <c:numCache>
                <c:formatCode>General</c:formatCode>
                <c:ptCount val="3"/>
                <c:pt idx="0">
                  <c:v>737</c:v>
                </c:pt>
                <c:pt idx="1">
                  <c:v>706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6-4056-95E0-E79754B3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5345903"/>
        <c:axId val="1151185535"/>
      </c:barChart>
      <c:barChart>
        <c:barDir val="col"/>
        <c:grouping val="clustered"/>
        <c:varyColors val="0"/>
        <c:ser>
          <c:idx val="1"/>
          <c:order val="1"/>
          <c:tx>
            <c:v>k</c:v>
          </c:tx>
          <c:spPr>
            <a:noFill/>
            <a:ln>
              <a:noFill/>
            </a:ln>
            <a:effectLst/>
          </c:spPr>
          <c:invertIfNegative val="0"/>
          <c:cat>
            <c:numRef>
              <c:f>Graphs!$M$3:$M$5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Graphs!$O$3:$O$5</c:f>
              <c:numCache>
                <c:formatCode>General</c:formatCode>
                <c:ptCount val="3"/>
                <c:pt idx="0">
                  <c:v>737</c:v>
                </c:pt>
                <c:pt idx="1">
                  <c:v>706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6-4056-95E0-E79754B3A9CB}"/>
            </c:ext>
          </c:extLst>
        </c:ser>
        <c:ser>
          <c:idx val="2"/>
          <c:order val="2"/>
          <c:tx>
            <c:v>Tons transported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Graphs!$M$3:$M$5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Graphs!$Q$3:$Q$5</c:f>
              <c:numCache>
                <c:formatCode>General</c:formatCode>
                <c:ptCount val="3"/>
                <c:pt idx="0">
                  <c:v>737</c:v>
                </c:pt>
                <c:pt idx="1">
                  <c:v>706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6-4056-95E0-E79754B3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4229263"/>
        <c:axId val="1342665343"/>
      </c:barChart>
      <c:catAx>
        <c:axId val="13153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51185535"/>
        <c:crosses val="autoZero"/>
        <c:auto val="1"/>
        <c:lblAlgn val="ctr"/>
        <c:lblOffset val="100"/>
        <c:noMultiLvlLbl val="0"/>
      </c:catAx>
      <c:valAx>
        <c:axId val="1151185535"/>
        <c:scaling>
          <c:orientation val="minMax"/>
          <c:max val="27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15345903"/>
        <c:crosses val="autoZero"/>
        <c:crossBetween val="between"/>
        <c:majorUnit val="1000"/>
      </c:valAx>
      <c:valAx>
        <c:axId val="1342665343"/>
        <c:scaling>
          <c:orientation val="minMax"/>
          <c:max val="770"/>
          <c:min val="660"/>
        </c:scaling>
        <c:delete val="0"/>
        <c:axPos val="r"/>
        <c:numFmt formatCode="#,##0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434229263"/>
        <c:crosses val="max"/>
        <c:crossBetween val="between"/>
        <c:majorUnit val="50"/>
        <c:minorUnit val="50"/>
      </c:valAx>
      <c:catAx>
        <c:axId val="1434229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2665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002155163539607"/>
          <c:y val="2.2079698369055979E-2"/>
          <c:w val="0.80186115073084852"/>
          <c:h val="0.111006608268019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86149412708835"/>
          <c:y val="4.2042855423137113E-2"/>
          <c:w val="0.8616588239585613"/>
          <c:h val="0.83631435377286001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Summary!$C$3:$G$3</c:f>
              <c:strCache>
                <c:ptCount val="5"/>
                <c:pt idx="0">
                  <c:v>FY 2018</c:v>
                </c:pt>
                <c:pt idx="1">
                  <c:v>FY 2019</c:v>
                </c:pt>
                <c:pt idx="2">
                  <c:v>FY 2020</c:v>
                </c:pt>
                <c:pt idx="3">
                  <c:v>FY 2021</c:v>
                </c:pt>
                <c:pt idx="4">
                  <c:v>FY 2022</c:v>
                </c:pt>
              </c:strCache>
            </c:strRef>
          </c:cat>
          <c:val>
            <c:numRef>
              <c:f>Summary!$C$11:$G$11</c:f>
              <c:numCache>
                <c:formatCode>#,##0.0</c:formatCode>
                <c:ptCount val="5"/>
                <c:pt idx="0">
                  <c:v>12250</c:v>
                </c:pt>
                <c:pt idx="1">
                  <c:v>11937</c:v>
                </c:pt>
                <c:pt idx="2">
                  <c:v>10583</c:v>
                </c:pt>
                <c:pt idx="3">
                  <c:v>12522</c:v>
                </c:pt>
                <c:pt idx="4">
                  <c:v>14853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7-47EF-BB27-EA28E422AF18}"/>
            </c:ext>
          </c:extLst>
        </c:ser>
        <c:ser>
          <c:idx val="1"/>
          <c:order val="1"/>
          <c:tx>
            <c:v>EBITDA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Summary!$C$3:$G$3</c:f>
              <c:strCache>
                <c:ptCount val="5"/>
                <c:pt idx="0">
                  <c:v>FY 2018</c:v>
                </c:pt>
                <c:pt idx="1">
                  <c:v>FY 2019</c:v>
                </c:pt>
                <c:pt idx="2">
                  <c:v>FY 2020</c:v>
                </c:pt>
                <c:pt idx="3">
                  <c:v>FY 2021</c:v>
                </c:pt>
                <c:pt idx="4">
                  <c:v>FY 2022</c:v>
                </c:pt>
              </c:strCache>
            </c:strRef>
          </c:cat>
          <c:val>
            <c:numRef>
              <c:f>Summary!$C$15:$G$15</c:f>
              <c:numCache>
                <c:formatCode>#,##0.0</c:formatCode>
                <c:ptCount val="5"/>
                <c:pt idx="0">
                  <c:v>6046</c:v>
                </c:pt>
                <c:pt idx="1">
                  <c:v>6269</c:v>
                </c:pt>
                <c:pt idx="2">
                  <c:v>5792</c:v>
                </c:pt>
                <c:pt idx="3">
                  <c:v>6649</c:v>
                </c:pt>
                <c:pt idx="4">
                  <c:v>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7-47EF-BB27-EA28E422A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5133599"/>
        <c:axId val="1180065967"/>
      </c:barChart>
      <c:lineChart>
        <c:grouping val="standard"/>
        <c:varyColors val="0"/>
        <c:ser>
          <c:idx val="2"/>
          <c:order val="2"/>
          <c:tx>
            <c:v>Peers avg.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Graphs!$O$62:$O$66</c:f>
              <c:numCache>
                <c:formatCode>General</c:formatCode>
                <c:ptCount val="5"/>
                <c:pt idx="0">
                  <c:v>2200</c:v>
                </c:pt>
                <c:pt idx="1">
                  <c:v>3100</c:v>
                </c:pt>
                <c:pt idx="2">
                  <c:v>2900</c:v>
                </c:pt>
                <c:pt idx="3">
                  <c:v>3342.9908457073902</c:v>
                </c:pt>
                <c:pt idx="4">
                  <c:v>2748.4929143168829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C-1448-9F99-3DEC3C86C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133599"/>
        <c:axId val="1180065967"/>
      </c:lineChart>
      <c:catAx>
        <c:axId val="12051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80065967"/>
        <c:crosses val="autoZero"/>
        <c:auto val="1"/>
        <c:lblAlgn val="ctr"/>
        <c:lblOffset val="100"/>
        <c:noMultiLvlLbl val="0"/>
      </c:catAx>
      <c:valAx>
        <c:axId val="1180065967"/>
        <c:scaling>
          <c:orientation val="minMax"/>
          <c:max val="18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2051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641515284161374"/>
          <c:y val="3.967150760719225E-2"/>
          <c:w val="0.48759249236605928"/>
          <c:h val="0.13521597323877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9-AF4E-AD0B-1A2D76CEDA3E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9-AF4E-AD0B-1A2D76CEDA3E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9-AF4E-AD0B-1A2D76CEDA3E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89-AF4E-AD0B-1A2D76CEDA3E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9-AF4E-AD0B-1A2D76CEDA3E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989-AF4E-AD0B-1A2D76CEDA3E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84-1F40-843F-48AFC92A2919}"/>
              </c:ext>
            </c:extLst>
          </c:dPt>
          <c:val>
            <c:numRef>
              <c:f>Graphs!$N$14:$N$20</c:f>
              <c:numCache>
                <c:formatCode>General</c:formatCode>
                <c:ptCount val="7"/>
                <c:pt idx="0">
                  <c:v>17</c:v>
                </c:pt>
                <c:pt idx="1">
                  <c:v>22.5</c:v>
                </c:pt>
                <c:pt idx="2">
                  <c:v>23</c:v>
                </c:pt>
                <c:pt idx="3">
                  <c:v>24.5</c:v>
                </c:pt>
                <c:pt idx="4">
                  <c:v>24.5</c:v>
                </c:pt>
                <c:pt idx="5">
                  <c:v>27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9-AF4E-AD0B-1A2D76CE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8827136"/>
        <c:axId val="2010516687"/>
      </c:barChart>
      <c:catAx>
        <c:axId val="1888827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516687"/>
        <c:crosses val="autoZero"/>
        <c:auto val="1"/>
        <c:lblAlgn val="ctr"/>
        <c:lblOffset val="100"/>
        <c:noMultiLvlLbl val="0"/>
      </c:catAx>
      <c:valAx>
        <c:axId val="2010516687"/>
        <c:scaling>
          <c:orientation val="minMax"/>
          <c:max val="36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88882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81232017677991"/>
          <c:y val="5.4311251749931656E-2"/>
          <c:w val="0.81433567412664543"/>
          <c:h val="0.794371225739113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DCF!$C$5:$L$5</c:f>
              <c:numCache>
                <c:formatCode>0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xVal>
          <c:yVal>
            <c:numRef>
              <c:f>DCF!$C$18:$L$18</c:f>
              <c:numCache>
                <c:formatCode>#,##0.0</c:formatCode>
                <c:ptCount val="10"/>
                <c:pt idx="0">
                  <c:v>2896</c:v>
                </c:pt>
                <c:pt idx="1">
                  <c:v>3193</c:v>
                </c:pt>
                <c:pt idx="2">
                  <c:v>2637</c:v>
                </c:pt>
                <c:pt idx="3">
                  <c:v>3308</c:v>
                </c:pt>
                <c:pt idx="4">
                  <c:v>3486</c:v>
                </c:pt>
                <c:pt idx="5">
                  <c:v>3130.9270000000001</c:v>
                </c:pt>
                <c:pt idx="6">
                  <c:v>3480.17</c:v>
                </c:pt>
                <c:pt idx="7">
                  <c:v>3938.25</c:v>
                </c:pt>
                <c:pt idx="8">
                  <c:v>4006.2600000000093</c:v>
                </c:pt>
                <c:pt idx="9">
                  <c:v>4201.0400000000373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4-AD4B-BF71-8825092F0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11200"/>
        <c:axId val="520413200"/>
      </c:scatterChart>
      <c:valAx>
        <c:axId val="520411200"/>
        <c:scaling>
          <c:orientation val="minMax"/>
          <c:max val="2028"/>
          <c:min val="2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0413200"/>
        <c:crosses val="autoZero"/>
        <c:crossBetween val="midCat"/>
      </c:valAx>
      <c:valAx>
        <c:axId val="520413200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.0,&quot; B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041120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110956504657291E-2"/>
          <c:y val="3.4757007687206361E-2"/>
          <c:w val="0.90972891122497401"/>
          <c:h val="0.84818451648622051"/>
        </c:manualLayout>
      </c:layout>
      <c:barChart>
        <c:barDir val="col"/>
        <c:grouping val="stacked"/>
        <c:varyColors val="0"/>
        <c:ser>
          <c:idx val="0"/>
          <c:order val="0"/>
          <c:tx>
            <c:v>Revenue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Graphs!$P$55:$T$55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Graphs!$V$56:$Z$56</c:f>
              <c:numCache>
                <c:formatCode>#,##0.0</c:formatCode>
                <c:ptCount val="5"/>
                <c:pt idx="0">
                  <c:v>4334.0450000000001</c:v>
                </c:pt>
                <c:pt idx="1">
                  <c:v>4098.1759999999995</c:v>
                </c:pt>
                <c:pt idx="2">
                  <c:v>4257.9689345616971</c:v>
                </c:pt>
                <c:pt idx="3">
                  <c:v>5651.5053815997926</c:v>
                </c:pt>
                <c:pt idx="4">
                  <c:v>5293.75568754714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2-2443-B0E3-12978E9D8D5A}"/>
            </c:ext>
          </c:extLst>
        </c:ser>
        <c:ser>
          <c:idx val="1"/>
          <c:order val="1"/>
          <c:tx>
            <c:v>EBITDA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Graphs!$P$55:$T$55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Graphs!$V$57:$Z$57</c:f>
              <c:numCache>
                <c:formatCode>#,##0.0</c:formatCode>
                <c:ptCount val="5"/>
                <c:pt idx="0">
                  <c:v>4018.2549999999997</c:v>
                </c:pt>
                <c:pt idx="1">
                  <c:v>3937.33</c:v>
                </c:pt>
                <c:pt idx="2">
                  <c:v>4660.5310654383029</c:v>
                </c:pt>
                <c:pt idx="3">
                  <c:v>5843.5746183998162</c:v>
                </c:pt>
                <c:pt idx="4">
                  <c:v>5282.7643124528786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2-2443-B0E3-12978E9D8D5A}"/>
            </c:ext>
          </c:extLst>
        </c:ser>
        <c:ser>
          <c:idx val="2"/>
          <c:order val="2"/>
          <c:tx>
            <c:v>Net Income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Graphs!$P$55:$T$55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Graphs!$P$58:$T$58</c:f>
              <c:numCache>
                <c:formatCode>#,##0.0</c:formatCode>
                <c:ptCount val="5"/>
                <c:pt idx="0">
                  <c:v>3130.9270000000001</c:v>
                </c:pt>
                <c:pt idx="1">
                  <c:v>3480.17</c:v>
                </c:pt>
                <c:pt idx="2">
                  <c:v>3938.25</c:v>
                </c:pt>
                <c:pt idx="3">
                  <c:v>4006.2600000000093</c:v>
                </c:pt>
                <c:pt idx="4">
                  <c:v>4201.0400000000373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2-2443-B0E3-12978E9D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088240"/>
        <c:axId val="378131488"/>
      </c:barChart>
      <c:catAx>
        <c:axId val="37808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78131488"/>
        <c:crosses val="autoZero"/>
        <c:auto val="1"/>
        <c:lblAlgn val="ctr"/>
        <c:lblOffset val="100"/>
        <c:noMultiLvlLbl val="0"/>
      </c:catAx>
      <c:valAx>
        <c:axId val="378131488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7808824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64350843878403"/>
          <c:y val="4.2624646284448814E-2"/>
          <c:w val="0.43494540573280732"/>
          <c:h val="0.10011495755413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575265759172328E-2"/>
          <c:y val="2.4659476925809245E-2"/>
          <c:w val="0.9330388279846622"/>
          <c:h val="0.934269139470988"/>
        </c:manualLayout>
      </c:layout>
      <c:scatterChart>
        <c:scatterStyle val="lineMarker"/>
        <c:varyColors val="0"/>
        <c:ser>
          <c:idx val="0"/>
          <c:order val="0"/>
          <c:tx>
            <c:v>Coal Revenues ($M)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Graphs!$R$64:$R$87</c:f>
              <c:numCache>
                <c:formatCode>General</c:formatCode>
                <c:ptCount val="24"/>
                <c:pt idx="0">
                  <c:v>2017.5</c:v>
                </c:pt>
                <c:pt idx="1">
                  <c:v>2017.75</c:v>
                </c:pt>
                <c:pt idx="2">
                  <c:v>2018</c:v>
                </c:pt>
                <c:pt idx="3">
                  <c:v>2018.25</c:v>
                </c:pt>
                <c:pt idx="4">
                  <c:v>2018.5</c:v>
                </c:pt>
                <c:pt idx="5">
                  <c:v>2018.75</c:v>
                </c:pt>
                <c:pt idx="6">
                  <c:v>2019</c:v>
                </c:pt>
                <c:pt idx="7">
                  <c:v>2019.25</c:v>
                </c:pt>
                <c:pt idx="8">
                  <c:v>2019.5</c:v>
                </c:pt>
                <c:pt idx="9">
                  <c:v>2019.75</c:v>
                </c:pt>
                <c:pt idx="10">
                  <c:v>2020</c:v>
                </c:pt>
                <c:pt idx="11">
                  <c:v>2020.25</c:v>
                </c:pt>
                <c:pt idx="12">
                  <c:v>2020.5</c:v>
                </c:pt>
                <c:pt idx="13">
                  <c:v>2020.75</c:v>
                </c:pt>
                <c:pt idx="14">
                  <c:v>2021</c:v>
                </c:pt>
                <c:pt idx="15">
                  <c:v>2021.25</c:v>
                </c:pt>
                <c:pt idx="16">
                  <c:v>2021.5</c:v>
                </c:pt>
                <c:pt idx="17">
                  <c:v>2021.75</c:v>
                </c:pt>
                <c:pt idx="18">
                  <c:v>2022</c:v>
                </c:pt>
                <c:pt idx="19">
                  <c:v>2022.25</c:v>
                </c:pt>
                <c:pt idx="20">
                  <c:v>2022.5</c:v>
                </c:pt>
                <c:pt idx="21">
                  <c:v>2022.75</c:v>
                </c:pt>
                <c:pt idx="22">
                  <c:v>2023</c:v>
                </c:pt>
                <c:pt idx="23">
                  <c:v>2023.25</c:v>
                </c:pt>
              </c:numCache>
            </c:numRef>
          </c:xVal>
          <c:yVal>
            <c:numRef>
              <c:f>Graphs!$T$64:$T$87</c:f>
              <c:numCache>
                <c:formatCode>General</c:formatCode>
                <c:ptCount val="24"/>
                <c:pt idx="0">
                  <c:v>9</c:v>
                </c:pt>
                <c:pt idx="1">
                  <c:v>-2</c:v>
                </c:pt>
                <c:pt idx="2">
                  <c:v>-3.5</c:v>
                </c:pt>
                <c:pt idx="3">
                  <c:v>10</c:v>
                </c:pt>
                <c:pt idx="4">
                  <c:v>20</c:v>
                </c:pt>
                <c:pt idx="5">
                  <c:v>12</c:v>
                </c:pt>
                <c:pt idx="6">
                  <c:v>9</c:v>
                </c:pt>
                <c:pt idx="7">
                  <c:v>-1</c:v>
                </c:pt>
                <c:pt idx="8">
                  <c:v>-10</c:v>
                </c:pt>
                <c:pt idx="9">
                  <c:v>-18</c:v>
                </c:pt>
                <c:pt idx="10">
                  <c:v>-21</c:v>
                </c:pt>
                <c:pt idx="11">
                  <c:v>-45</c:v>
                </c:pt>
                <c:pt idx="12">
                  <c:v>-29</c:v>
                </c:pt>
                <c:pt idx="13">
                  <c:v>-12</c:v>
                </c:pt>
                <c:pt idx="14">
                  <c:v>-5</c:v>
                </c:pt>
                <c:pt idx="15">
                  <c:v>47</c:v>
                </c:pt>
                <c:pt idx="16">
                  <c:v>41</c:v>
                </c:pt>
                <c:pt idx="17">
                  <c:v>40.5</c:v>
                </c:pt>
                <c:pt idx="18">
                  <c:v>39</c:v>
                </c:pt>
                <c:pt idx="19">
                  <c:v>52</c:v>
                </c:pt>
                <c:pt idx="20">
                  <c:v>36</c:v>
                </c:pt>
                <c:pt idx="21">
                  <c:v>21</c:v>
                </c:pt>
                <c:pt idx="22">
                  <c:v>19</c:v>
                </c:pt>
                <c:pt idx="23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4-DC43-9782-3895C215A969}"/>
            </c:ext>
          </c:extLst>
        </c:ser>
        <c:ser>
          <c:idx val="1"/>
          <c:order val="1"/>
          <c:tx>
            <c:v>Coal Carload (000s)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Graphs!$R$64:$R$87</c:f>
              <c:numCache>
                <c:formatCode>General</c:formatCode>
                <c:ptCount val="24"/>
                <c:pt idx="0">
                  <c:v>2017.5</c:v>
                </c:pt>
                <c:pt idx="1">
                  <c:v>2017.75</c:v>
                </c:pt>
                <c:pt idx="2">
                  <c:v>2018</c:v>
                </c:pt>
                <c:pt idx="3">
                  <c:v>2018.25</c:v>
                </c:pt>
                <c:pt idx="4">
                  <c:v>2018.5</c:v>
                </c:pt>
                <c:pt idx="5">
                  <c:v>2018.75</c:v>
                </c:pt>
                <c:pt idx="6">
                  <c:v>2019</c:v>
                </c:pt>
                <c:pt idx="7">
                  <c:v>2019.25</c:v>
                </c:pt>
                <c:pt idx="8">
                  <c:v>2019.5</c:v>
                </c:pt>
                <c:pt idx="9">
                  <c:v>2019.75</c:v>
                </c:pt>
                <c:pt idx="10">
                  <c:v>2020</c:v>
                </c:pt>
                <c:pt idx="11">
                  <c:v>2020.25</c:v>
                </c:pt>
                <c:pt idx="12">
                  <c:v>2020.5</c:v>
                </c:pt>
                <c:pt idx="13">
                  <c:v>2020.75</c:v>
                </c:pt>
                <c:pt idx="14">
                  <c:v>2021</c:v>
                </c:pt>
                <c:pt idx="15">
                  <c:v>2021.25</c:v>
                </c:pt>
                <c:pt idx="16">
                  <c:v>2021.5</c:v>
                </c:pt>
                <c:pt idx="17">
                  <c:v>2021.75</c:v>
                </c:pt>
                <c:pt idx="18">
                  <c:v>2022</c:v>
                </c:pt>
                <c:pt idx="19">
                  <c:v>2022.25</c:v>
                </c:pt>
                <c:pt idx="20">
                  <c:v>2022.5</c:v>
                </c:pt>
                <c:pt idx="21">
                  <c:v>2022.75</c:v>
                </c:pt>
                <c:pt idx="22">
                  <c:v>2023</c:v>
                </c:pt>
                <c:pt idx="23">
                  <c:v>2023.25</c:v>
                </c:pt>
              </c:numCache>
            </c:numRef>
          </c:xVal>
          <c:yVal>
            <c:numRef>
              <c:f>Graphs!$U$64:$U$87</c:f>
              <c:numCache>
                <c:formatCode>General</c:formatCode>
                <c:ptCount val="24"/>
                <c:pt idx="0">
                  <c:v>3.9</c:v>
                </c:pt>
                <c:pt idx="1">
                  <c:v>-5</c:v>
                </c:pt>
                <c:pt idx="2">
                  <c:v>-1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7</c:v>
                </c:pt>
                <c:pt idx="7">
                  <c:v>2</c:v>
                </c:pt>
                <c:pt idx="8">
                  <c:v>-7</c:v>
                </c:pt>
                <c:pt idx="9">
                  <c:v>-15</c:v>
                </c:pt>
                <c:pt idx="10">
                  <c:v>-13</c:v>
                </c:pt>
                <c:pt idx="11">
                  <c:v>-40</c:v>
                </c:pt>
                <c:pt idx="12">
                  <c:v>-23</c:v>
                </c:pt>
                <c:pt idx="13">
                  <c:v>-6</c:v>
                </c:pt>
                <c:pt idx="14">
                  <c:v>-5</c:v>
                </c:pt>
                <c:pt idx="15">
                  <c:v>42</c:v>
                </c:pt>
                <c:pt idx="16">
                  <c:v>19</c:v>
                </c:pt>
                <c:pt idx="17">
                  <c:v>-2</c:v>
                </c:pt>
                <c:pt idx="18">
                  <c:v>-14</c:v>
                </c:pt>
                <c:pt idx="19">
                  <c:v>-4</c:v>
                </c:pt>
                <c:pt idx="20">
                  <c:v>-2</c:v>
                </c:pt>
                <c:pt idx="21">
                  <c:v>10</c:v>
                </c:pt>
                <c:pt idx="22">
                  <c:v>20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4-DC43-9782-3895C215A969}"/>
            </c:ext>
          </c:extLst>
        </c:ser>
        <c:ser>
          <c:idx val="2"/>
          <c:order val="2"/>
          <c:tx>
            <c:v>Revenue per Carload ($)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Graphs!$R$64:$R$87</c:f>
              <c:numCache>
                <c:formatCode>General</c:formatCode>
                <c:ptCount val="24"/>
                <c:pt idx="0">
                  <c:v>2017.5</c:v>
                </c:pt>
                <c:pt idx="1">
                  <c:v>2017.75</c:v>
                </c:pt>
                <c:pt idx="2">
                  <c:v>2018</c:v>
                </c:pt>
                <c:pt idx="3">
                  <c:v>2018.25</c:v>
                </c:pt>
                <c:pt idx="4">
                  <c:v>2018.5</c:v>
                </c:pt>
                <c:pt idx="5">
                  <c:v>2018.75</c:v>
                </c:pt>
                <c:pt idx="6">
                  <c:v>2019</c:v>
                </c:pt>
                <c:pt idx="7">
                  <c:v>2019.25</c:v>
                </c:pt>
                <c:pt idx="8">
                  <c:v>2019.5</c:v>
                </c:pt>
                <c:pt idx="9">
                  <c:v>2019.75</c:v>
                </c:pt>
                <c:pt idx="10">
                  <c:v>2020</c:v>
                </c:pt>
                <c:pt idx="11">
                  <c:v>2020.25</c:v>
                </c:pt>
                <c:pt idx="12">
                  <c:v>2020.5</c:v>
                </c:pt>
                <c:pt idx="13">
                  <c:v>2020.75</c:v>
                </c:pt>
                <c:pt idx="14">
                  <c:v>2021</c:v>
                </c:pt>
                <c:pt idx="15">
                  <c:v>2021.25</c:v>
                </c:pt>
                <c:pt idx="16">
                  <c:v>2021.5</c:v>
                </c:pt>
                <c:pt idx="17">
                  <c:v>2021.75</c:v>
                </c:pt>
                <c:pt idx="18">
                  <c:v>2022</c:v>
                </c:pt>
                <c:pt idx="19">
                  <c:v>2022.25</c:v>
                </c:pt>
                <c:pt idx="20">
                  <c:v>2022.5</c:v>
                </c:pt>
                <c:pt idx="21">
                  <c:v>2022.75</c:v>
                </c:pt>
                <c:pt idx="22">
                  <c:v>2023</c:v>
                </c:pt>
                <c:pt idx="23">
                  <c:v>2023.25</c:v>
                </c:pt>
              </c:numCache>
            </c:numRef>
          </c:xVal>
          <c:yVal>
            <c:numRef>
              <c:f>Graphs!$S$64:$S$87</c:f>
              <c:numCache>
                <c:formatCode>General</c:formatCode>
                <c:ptCount val="24"/>
                <c:pt idx="0">
                  <c:v>3</c:v>
                </c:pt>
                <c:pt idx="1">
                  <c:v>2.5</c:v>
                </c:pt>
                <c:pt idx="2">
                  <c:v>-2</c:v>
                </c:pt>
                <c:pt idx="3">
                  <c:v>1</c:v>
                </c:pt>
                <c:pt idx="4">
                  <c:v>8</c:v>
                </c:pt>
                <c:pt idx="5">
                  <c:v>7</c:v>
                </c:pt>
                <c:pt idx="6">
                  <c:v>1.5</c:v>
                </c:pt>
                <c:pt idx="7">
                  <c:v>-4</c:v>
                </c:pt>
                <c:pt idx="8">
                  <c:v>-3.5</c:v>
                </c:pt>
                <c:pt idx="9">
                  <c:v>-5</c:v>
                </c:pt>
                <c:pt idx="10">
                  <c:v>-11</c:v>
                </c:pt>
                <c:pt idx="11">
                  <c:v>-8</c:v>
                </c:pt>
                <c:pt idx="12">
                  <c:v>-11.5</c:v>
                </c:pt>
                <c:pt idx="13">
                  <c:v>-5</c:v>
                </c:pt>
                <c:pt idx="14">
                  <c:v>0</c:v>
                </c:pt>
                <c:pt idx="15">
                  <c:v>2.5</c:v>
                </c:pt>
                <c:pt idx="16">
                  <c:v>23</c:v>
                </c:pt>
                <c:pt idx="17">
                  <c:v>43</c:v>
                </c:pt>
                <c:pt idx="18">
                  <c:v>53</c:v>
                </c:pt>
                <c:pt idx="19">
                  <c:v>56.5</c:v>
                </c:pt>
                <c:pt idx="20">
                  <c:v>38</c:v>
                </c:pt>
                <c:pt idx="21">
                  <c:v>11</c:v>
                </c:pt>
                <c:pt idx="22">
                  <c:v>-0.5</c:v>
                </c:pt>
                <c:pt idx="23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D4-DC43-9782-3895C215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35280"/>
        <c:axId val="603437552"/>
      </c:scatterChart>
      <c:valAx>
        <c:axId val="603435280"/>
        <c:scaling>
          <c:orientation val="minMax"/>
          <c:max val="2023.75"/>
          <c:min val="2017.25"/>
        </c:scaling>
        <c:delete val="0"/>
        <c:axPos val="b"/>
        <c:numFmt formatCode="0" sourceLinked="0"/>
        <c:majorTickMark val="none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03437552"/>
        <c:crosses val="autoZero"/>
        <c:crossBetween val="midCat"/>
        <c:majorUnit val="1"/>
        <c:minorUnit val="0.5"/>
      </c:valAx>
      <c:valAx>
        <c:axId val="603437552"/>
        <c:scaling>
          <c:orientation val="minMax"/>
          <c:max val="7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03435280"/>
        <c:crossesAt val="2017"/>
        <c:crossBetween val="midCat"/>
        <c:minorUnit val="2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966833657631457"/>
          <c:y val="6.0702099737532808E-2"/>
          <c:w val="0.71426822519223399"/>
          <c:h val="7.6472573160606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0515088226602"/>
          <c:y val="4.691837390691584E-2"/>
          <c:w val="0.78706192946046694"/>
          <c:h val="0.85124876626347235"/>
        </c:manualLayout>
      </c:layout>
      <c:barChart>
        <c:barDir val="col"/>
        <c:grouping val="clustered"/>
        <c:varyColors val="0"/>
        <c:ser>
          <c:idx val="0"/>
          <c:order val="2"/>
          <c:tx>
            <c:v>Revenue from trucking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'Rev. segments'!$Y$22:$AA$22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'Rev. segments'!$Y$23:$AA$23</c:f>
              <c:numCache>
                <c:formatCode>#,##0.0</c:formatCode>
                <c:ptCount val="3"/>
                <c:pt idx="0">
                  <c:v>0</c:v>
                </c:pt>
                <c:pt idx="1">
                  <c:v>410</c:v>
                </c:pt>
                <c:pt idx="2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E-2146-9E6D-34749D834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9"/>
        <c:axId val="293040112"/>
        <c:axId val="293041840"/>
      </c:barChart>
      <c:barChart>
        <c:barDir val="col"/>
        <c:grouping val="clustered"/>
        <c:varyColors val="0"/>
        <c:ser>
          <c:idx val="1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'Rev. segments'!$Y$25:$AA$25</c:f>
              <c:numCache>
                <c:formatCode>#,##0.00</c:formatCode>
                <c:ptCount val="3"/>
                <c:pt idx="0">
                  <c:v>637000</c:v>
                </c:pt>
                <c:pt idx="1">
                  <c:v>706000</c:v>
                </c:pt>
                <c:pt idx="2">
                  <c:v>697000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E-2146-9E6D-34749D834514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'Rev. segments'!$Y$24:$AA$24</c:f>
              <c:numCache>
                <c:formatCode>General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0E-2146-9E6D-34749D834514}"/>
            </c:ext>
          </c:extLst>
        </c:ser>
        <c:ser>
          <c:idx val="3"/>
          <c:order val="3"/>
          <c:tx>
            <c:v>tons of Coal transported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'Rev. segments'!$Y$26:$AA$26</c:f>
              <c:numCache>
                <c:formatCode>General</c:formatCode>
                <c:ptCount val="3"/>
                <c:pt idx="0">
                  <c:v>637000</c:v>
                </c:pt>
                <c:pt idx="1">
                  <c:v>706000</c:v>
                </c:pt>
                <c:pt idx="2">
                  <c:v>697000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0E-2146-9E6D-34749D834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3025552"/>
        <c:axId val="613022576"/>
      </c:barChart>
      <c:catAx>
        <c:axId val="2930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93041840"/>
        <c:crosses val="autoZero"/>
        <c:auto val="1"/>
        <c:lblAlgn val="ctr"/>
        <c:lblOffset val="100"/>
        <c:noMultiLvlLbl val="0"/>
      </c:catAx>
      <c:valAx>
        <c:axId val="2930418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00&quot; 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93040112"/>
        <c:crosses val="autoZero"/>
        <c:crossBetween val="between"/>
        <c:majorUnit val="200"/>
      </c:valAx>
      <c:valAx>
        <c:axId val="613022576"/>
        <c:scaling>
          <c:orientation val="minMax"/>
          <c:min val="620000"/>
        </c:scaling>
        <c:delete val="0"/>
        <c:axPos val="r"/>
        <c:numFmt formatCode="#,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13025552"/>
        <c:crosses val="max"/>
        <c:crossBetween val="between"/>
        <c:majorUnit val="20000"/>
      </c:valAx>
      <c:catAx>
        <c:axId val="613025552"/>
        <c:scaling>
          <c:orientation val="minMax"/>
        </c:scaling>
        <c:delete val="1"/>
        <c:axPos val="b"/>
        <c:majorTickMark val="out"/>
        <c:minorTickMark val="none"/>
        <c:tickLblPos val="nextTo"/>
        <c:crossAx val="613022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1139832105232511"/>
          <c:y val="4.7548818300732945E-2"/>
          <c:w val="0.41164035231313989"/>
          <c:h val="0.17222139130008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DCF!$B$6</c:f>
              <c:strCache>
                <c:ptCount val="1"/>
                <c:pt idx="0">
                  <c:v>Revenue, Adj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261172813817352E-2"/>
                  <c:y val="-4.93281437001729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</c:trendlineLbl>
          </c:trendline>
          <c:xVal>
            <c:numRef>
              <c:f>DCF!$H$5:$L$5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xVal>
          <c:yVal>
            <c:numRef>
              <c:f>DCF!$H$6:$L$6</c:f>
              <c:numCache>
                <c:formatCode>#,##0.0</c:formatCode>
                <c:ptCount val="5"/>
                <c:pt idx="0">
                  <c:v>14614.154</c:v>
                </c:pt>
                <c:pt idx="1">
                  <c:v>14995.846</c:v>
                </c:pt>
                <c:pt idx="2">
                  <c:v>16795</c:v>
                </c:pt>
                <c:pt idx="3">
                  <c:v>19507.599999999627</c:v>
                </c:pt>
                <c:pt idx="4">
                  <c:v>18978.600000000093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E7-CF4D-BE62-D2BA382B055B}"/>
            </c:ext>
          </c:extLst>
        </c:ser>
        <c:ser>
          <c:idx val="1"/>
          <c:order val="1"/>
          <c:tx>
            <c:strRef>
              <c:f>DCF!$B$10</c:f>
              <c:strCache>
                <c:ptCount val="1"/>
                <c:pt idx="0">
                  <c:v>EBITDA, Adj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0476547977331838E-2"/>
                  <c:y val="-4.22837492584653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</c:trendlineLbl>
          </c:trendline>
          <c:xVal>
            <c:numRef>
              <c:f>DCF!$H$5:$L$5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xVal>
          <c:yVal>
            <c:numRef>
              <c:f>DCF!$H$10:$L$10</c:f>
              <c:numCache>
                <c:formatCode>#,##0.0</c:formatCode>
                <c:ptCount val="5"/>
                <c:pt idx="0">
                  <c:v>7149.1819999999998</c:v>
                </c:pt>
                <c:pt idx="1">
                  <c:v>7417.5</c:v>
                </c:pt>
                <c:pt idx="2">
                  <c:v>8598.7810654383029</c:v>
                </c:pt>
                <c:pt idx="3">
                  <c:v>9849.8346183998256</c:v>
                </c:pt>
                <c:pt idx="4">
                  <c:v>9483.8043124529158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E7-CF4D-BE62-D2BA382B055B}"/>
            </c:ext>
          </c:extLst>
        </c:ser>
        <c:ser>
          <c:idx val="2"/>
          <c:order val="2"/>
          <c:tx>
            <c:strRef>
              <c:f>DCF!$B$12</c:f>
              <c:strCache>
                <c:ptCount val="1"/>
                <c:pt idx="0">
                  <c:v>Net Income, Adj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691923140846324E-3"/>
                  <c:y val="-5.19055776721506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</c:trendlineLbl>
          </c:trendline>
          <c:xVal>
            <c:numRef>
              <c:f>DCF!$H$5:$L$5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xVal>
          <c:yVal>
            <c:numRef>
              <c:f>DCF!$H$12:$L$12</c:f>
              <c:numCache>
                <c:formatCode>#,##0.0</c:formatCode>
                <c:ptCount val="5"/>
                <c:pt idx="0">
                  <c:v>3695.192</c:v>
                </c:pt>
                <c:pt idx="1">
                  <c:v>3837.5770000000002</c:v>
                </c:pt>
                <c:pt idx="2">
                  <c:v>4002.75</c:v>
                </c:pt>
                <c:pt idx="3">
                  <c:v>4148.3400000000256</c:v>
                </c:pt>
                <c:pt idx="4">
                  <c:v>4293.929999999993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E7-CF4D-BE62-D2BA382B055B}"/>
            </c:ext>
          </c:extLst>
        </c:ser>
        <c:ser>
          <c:idx val="6"/>
          <c:order val="3"/>
          <c:tx>
            <c:strRef>
              <c:f>DCF!$B$19</c:f>
              <c:strCache>
                <c:ptCount val="1"/>
                <c:pt idx="0">
                  <c:v>Present value of FCF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6511361249212246E-3"/>
                  <c:y val="5.71497391369186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</c:trendlineLbl>
          </c:trendline>
          <c:xVal>
            <c:numRef>
              <c:f>DCF!$H$5:$L$5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xVal>
          <c:yVal>
            <c:numRef>
              <c:f>DCF!$H$19:$L$19</c:f>
              <c:numCache>
                <c:formatCode>#,##0.0</c:formatCode>
                <c:ptCount val="5"/>
                <c:pt idx="0">
                  <c:v>2887.8596870722358</c:v>
                </c:pt>
                <c:pt idx="1">
                  <c:v>3198.5698127437017</c:v>
                </c:pt>
                <c:pt idx="2">
                  <c:v>3606.1403798525357</c:v>
                </c:pt>
                <c:pt idx="3">
                  <c:v>3654.1904929045459</c:v>
                </c:pt>
                <c:pt idx="4">
                  <c:v>3816.3409257121239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E7-CF4D-BE62-D2BA382B0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893855"/>
        <c:axId val="331636352"/>
      </c:scatterChart>
      <c:valAx>
        <c:axId val="1421893855"/>
        <c:scaling>
          <c:orientation val="minMax"/>
          <c:max val="2028"/>
          <c:min val="20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31636352"/>
        <c:crosses val="autoZero"/>
        <c:crossBetween val="midCat"/>
        <c:majorUnit val="1"/>
      </c:valAx>
      <c:valAx>
        <c:axId val="3316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B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42189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image" Target="../media/image3.png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161006</xdr:colOff>
      <xdr:row>0</xdr:row>
      <xdr:rowOff>153277</xdr:rowOff>
    </xdr:from>
    <xdr:to>
      <xdr:col>8</xdr:col>
      <xdr:colOff>432502</xdr:colOff>
      <xdr:row>2</xdr:row>
      <xdr:rowOff>121120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D4BDAC-5087-1BAE-7E46-09117969D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2406" y="153277"/>
          <a:ext cx="1096996" cy="46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317500</xdr:colOff>
      <xdr:row>0</xdr:row>
      <xdr:rowOff>168087</xdr:rowOff>
    </xdr:from>
    <xdr:to>
      <xdr:col>9</xdr:col>
      <xdr:colOff>594208</xdr:colOff>
      <xdr:row>2</xdr:row>
      <xdr:rowOff>152435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B8C98-C828-BB4B-9B07-AD3C34B7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176" y="168087"/>
          <a:ext cx="1098473" cy="469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1</xdr:row>
      <xdr:rowOff>31588</xdr:rowOff>
    </xdr:from>
    <xdr:to>
      <xdr:col>10</xdr:col>
      <xdr:colOff>398264</xdr:colOff>
      <xdr:row>12</xdr:row>
      <xdr:rowOff>14445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1999E-BEEC-8E7F-0AB5-0E289491F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108059</xdr:colOff>
      <xdr:row>22</xdr:row>
      <xdr:rowOff>185037</xdr:rowOff>
    </xdr:from>
    <xdr:to>
      <xdr:col>7</xdr:col>
      <xdr:colOff>555625</xdr:colOff>
      <xdr:row>34</xdr:row>
      <xdr:rowOff>154287</xdr:rowOff>
    </xdr:to>
    <xdr:graphicFrame macro="">
      <xdr:nvGraphicFramePr>
        <xdr:cNvPr id="45" name="Chart 12">
          <a:extLst>
            <a:ext uri="{FF2B5EF4-FFF2-40B4-BE49-F238E27FC236}">
              <a16:creationId xmlns:a16="http://schemas.microsoft.com/office/drawing/2014/main" id="{6EB6CCEB-5D73-6ACA-97AC-6C2D7ED40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298253</xdr:colOff>
      <xdr:row>1</xdr:row>
      <xdr:rowOff>146555</xdr:rowOff>
    </xdr:from>
    <xdr:to>
      <xdr:col>21</xdr:col>
      <xdr:colOff>395947</xdr:colOff>
      <xdr:row>26</xdr:row>
      <xdr:rowOff>48471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DD56A6-BD40-9DCE-8535-873C4D9B2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96546" y="332409"/>
          <a:ext cx="10288669" cy="4734111"/>
        </a:xfrm>
        <a:prstGeom prst="rect">
          <a:avLst/>
        </a:prstGeom>
      </xdr:spPr>
    </xdr:pic>
    <xdr:clientData/>
  </xdr:twoCellAnchor>
  <xdr:twoCellAnchor editAs="oneCell">
    <xdr:from>
      <xdr:col>12</xdr:col>
      <xdr:colOff>412162</xdr:colOff>
      <xdr:row>27</xdr:row>
      <xdr:rowOff>114901</xdr:rowOff>
    </xdr:from>
    <xdr:to>
      <xdr:col>21</xdr:col>
      <xdr:colOff>419222</xdr:colOff>
      <xdr:row>54</xdr:row>
      <xdr:rowOff>9541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785987-01B3-7C75-2456-44AF4341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10455" y="5318803"/>
          <a:ext cx="10198035" cy="4571958"/>
        </a:xfrm>
        <a:prstGeom prst="rect">
          <a:avLst/>
        </a:prstGeom>
      </xdr:spPr>
    </xdr:pic>
    <xdr:clientData/>
  </xdr:twoCellAnchor>
  <xdr:twoCellAnchor>
    <xdr:from>
      <xdr:col>2</xdr:col>
      <xdr:colOff>50367</xdr:colOff>
      <xdr:row>10</xdr:row>
      <xdr:rowOff>5339</xdr:rowOff>
    </xdr:from>
    <xdr:to>
      <xdr:col>6</xdr:col>
      <xdr:colOff>179399</xdr:colOff>
      <xdr:row>21</xdr:row>
      <xdr:rowOff>69839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5C98D9-9593-6955-9DAF-E0A84C01D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90323</xdr:colOff>
      <xdr:row>36</xdr:row>
      <xdr:rowOff>60941</xdr:rowOff>
    </xdr:from>
    <xdr:to>
      <xdr:col>7</xdr:col>
      <xdr:colOff>555625</xdr:colOff>
      <xdr:row>47</xdr:row>
      <xdr:rowOff>56312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7EA12EF-26BF-91D8-B218-F058A887A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274884</xdr:colOff>
      <xdr:row>13</xdr:row>
      <xdr:rowOff>141112</xdr:rowOff>
    </xdr:from>
    <xdr:to>
      <xdr:col>10</xdr:col>
      <xdr:colOff>776111</xdr:colOff>
      <xdr:row>26</xdr:row>
      <xdr:rowOff>156464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C4592-E947-FBA4-3504-7C9124C01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564750</xdr:colOff>
      <xdr:row>49</xdr:row>
      <xdr:rowOff>189549</xdr:rowOff>
    </xdr:from>
    <xdr:to>
      <xdr:col>7</xdr:col>
      <xdr:colOff>234550</xdr:colOff>
      <xdr:row>60</xdr:row>
      <xdr:rowOff>153991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B14C94A-06DF-46D1-B32C-57B62925B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850900</xdr:colOff>
      <xdr:row>48</xdr:row>
      <xdr:rowOff>152400</xdr:rowOff>
    </xdr:from>
    <xdr:to>
      <xdr:col>10</xdr:col>
      <xdr:colOff>904240</xdr:colOff>
      <xdr:row>62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5826BF-6445-8B27-44F8-E8E0D498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613833</xdr:colOff>
      <xdr:row>64</xdr:row>
      <xdr:rowOff>42333</xdr:rowOff>
    </xdr:from>
    <xdr:to>
      <xdr:col>8</xdr:col>
      <xdr:colOff>2082800</xdr:colOff>
      <xdr:row>83</xdr:row>
      <xdr:rowOff>80433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C2BD4B-6B17-C5D6-F8CC-61A3951E2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2171844</xdr:colOff>
      <xdr:row>64</xdr:row>
      <xdr:rowOff>143636</xdr:rowOff>
    </xdr:from>
    <xdr:to>
      <xdr:col>11</xdr:col>
      <xdr:colOff>579653</xdr:colOff>
      <xdr:row>80</xdr:row>
      <xdr:rowOff>16876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F0601761-3008-7B0E-F6A6-103F2B7EF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2198805</xdr:colOff>
      <xdr:row>80</xdr:row>
      <xdr:rowOff>154863</xdr:rowOff>
    </xdr:from>
    <xdr:to>
      <xdr:col>11</xdr:col>
      <xdr:colOff>605386</xdr:colOff>
      <xdr:row>95</xdr:row>
      <xdr:rowOff>151081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BC75E514-24B4-7389-9AFC-5CE25944D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8"/>
  <sheetViews>
    <sheetView view="pageBreakPreview" zoomScale="84" zoomScaleNormal="69" zoomScaleSheetLayoutView="122" workbookViewId="0">
      <selection activeCell="O39" sqref="O39"/>
    </sheetView>
  </sheetViews>
  <sheetFormatPr baseColWidth="10" defaultColWidth="10.83203125" defaultRowHeight="15" customHeight="1" x14ac:dyDescent="0.2"/>
  <cols>
    <col min="1" max="1" width="5.83203125" customWidth="1"/>
    <col min="2" max="2" width="20.33203125" customWidth="1"/>
    <col min="3" max="12" width="10.83203125" customWidth="1"/>
    <col min="13" max="13" width="5.83203125" customWidth="1"/>
  </cols>
  <sheetData>
    <row r="1" spans="1:15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4" customHeight="1" x14ac:dyDescent="0.2">
      <c r="A2" s="1"/>
      <c r="B2" s="3" t="s">
        <v>0</v>
      </c>
      <c r="C2" s="1"/>
      <c r="D2" s="1"/>
      <c r="E2" s="1"/>
      <c r="F2" s="2" t="s">
        <v>1</v>
      </c>
      <c r="G2" s="1"/>
      <c r="H2" s="1"/>
      <c r="I2" s="1"/>
      <c r="J2" s="5"/>
      <c r="K2" s="1"/>
      <c r="L2" s="1"/>
      <c r="M2" s="1"/>
      <c r="N2" s="1"/>
    </row>
    <row r="3" spans="1:15" ht="15" customHeight="1" x14ac:dyDescent="0.2">
      <c r="A3" s="1"/>
      <c r="B3" s="166" t="s">
        <v>2</v>
      </c>
      <c r="C3" s="1"/>
      <c r="D3" s="1"/>
      <c r="E3" s="1"/>
      <c r="F3" s="1"/>
      <c r="G3" s="1"/>
      <c r="H3" s="4"/>
      <c r="I3" s="4"/>
      <c r="J3" s="4"/>
      <c r="K3" s="4"/>
      <c r="L3" s="4"/>
      <c r="M3" s="1"/>
      <c r="N3" s="1"/>
    </row>
    <row r="4" spans="1:15" ht="15" customHeight="1" thickBot="1" x14ac:dyDescent="0.25">
      <c r="A4" s="1"/>
      <c r="B4" s="1"/>
      <c r="C4" s="1"/>
      <c r="D4" s="1"/>
      <c r="E4" s="1"/>
      <c r="F4" s="1"/>
      <c r="G4" s="1"/>
      <c r="H4" s="4">
        <v>0.5</v>
      </c>
      <c r="I4" s="4">
        <f>H4+1</f>
        <v>1.5</v>
      </c>
      <c r="J4" s="4">
        <f>I4+1</f>
        <v>2.5</v>
      </c>
      <c r="K4" s="4">
        <f>J4+1</f>
        <v>3.5</v>
      </c>
      <c r="L4" s="4">
        <f>K4+1</f>
        <v>4.5</v>
      </c>
      <c r="M4" s="1"/>
      <c r="N4" s="1"/>
    </row>
    <row r="5" spans="1:15" ht="15" customHeight="1" x14ac:dyDescent="0.2">
      <c r="A5" s="1"/>
      <c r="B5" s="186" t="s">
        <v>3</v>
      </c>
      <c r="C5" s="187">
        <v>2018</v>
      </c>
      <c r="D5" s="187">
        <v>2019</v>
      </c>
      <c r="E5" s="187">
        <v>2020</v>
      </c>
      <c r="F5" s="187">
        <v>2021</v>
      </c>
      <c r="G5" s="188">
        <v>2022</v>
      </c>
      <c r="H5" s="187">
        <v>2023</v>
      </c>
      <c r="I5" s="187">
        <v>2024</v>
      </c>
      <c r="J5" s="187">
        <v>2025</v>
      </c>
      <c r="K5" s="187">
        <v>2026</v>
      </c>
      <c r="L5" s="189">
        <v>2027</v>
      </c>
      <c r="M5" s="1"/>
      <c r="N5" s="1"/>
    </row>
    <row r="6" spans="1:15" ht="15" customHeight="1" x14ac:dyDescent="0.2">
      <c r="A6" s="1"/>
      <c r="B6" s="195" t="s">
        <v>188</v>
      </c>
      <c r="C6" s="182">
        <v>12250</v>
      </c>
      <c r="D6" s="182">
        <v>11937</v>
      </c>
      <c r="E6" s="182">
        <v>10583</v>
      </c>
      <c r="F6" s="182">
        <v>12522</v>
      </c>
      <c r="G6" s="184">
        <v>14853</v>
      </c>
      <c r="H6" s="182">
        <v>14614.154</v>
      </c>
      <c r="I6" s="182">
        <v>14995.846</v>
      </c>
      <c r="J6" s="182">
        <f>1091.8*2025-2194100</f>
        <v>16795</v>
      </c>
      <c r="K6" s="182">
        <f>1092.6*2026-2194100</f>
        <v>19507.599999999627</v>
      </c>
      <c r="L6" s="190">
        <f>1091.8*2027-2194100</f>
        <v>18978.600000000093</v>
      </c>
      <c r="M6" s="1"/>
      <c r="N6" s="1"/>
    </row>
    <row r="7" spans="1:15" ht="15" customHeight="1" x14ac:dyDescent="0.2">
      <c r="A7" s="1"/>
      <c r="B7" s="196" t="s">
        <v>193</v>
      </c>
      <c r="C7" s="172">
        <v>7.3807999999999998</v>
      </c>
      <c r="D7" s="172">
        <v>-2.5550999999999999</v>
      </c>
      <c r="E7" s="172">
        <v>-11.3429</v>
      </c>
      <c r="F7" s="172">
        <v>18.3218</v>
      </c>
      <c r="G7" s="169">
        <v>18.615200000000002</v>
      </c>
      <c r="H7" s="172">
        <f>(H6/G6-1)*100</f>
        <v>-1.608065710630846</v>
      </c>
      <c r="I7" s="172">
        <f t="shared" ref="I7:L7" si="0">(I6/H6-1)*100</f>
        <v>2.6117967553920707</v>
      </c>
      <c r="J7" s="172">
        <f t="shared" si="0"/>
        <v>11.997682558223133</v>
      </c>
      <c r="K7" s="172">
        <f t="shared" si="0"/>
        <v>16.151235486749794</v>
      </c>
      <c r="L7" s="191">
        <f t="shared" si="0"/>
        <v>-2.7117636203302542</v>
      </c>
      <c r="M7" s="1"/>
      <c r="N7" s="1"/>
    </row>
    <row r="8" spans="1:15" ht="15" customHeight="1" x14ac:dyDescent="0.2">
      <c r="A8" s="1"/>
      <c r="B8" s="195" t="s">
        <v>198</v>
      </c>
      <c r="C8" s="182" t="s">
        <v>182</v>
      </c>
      <c r="D8" s="182" t="s">
        <v>182</v>
      </c>
      <c r="E8" s="182" t="s">
        <v>182</v>
      </c>
      <c r="F8" s="182" t="s">
        <v>182</v>
      </c>
      <c r="G8" s="184" t="s">
        <v>182</v>
      </c>
      <c r="H8" s="182" t="s">
        <v>182</v>
      </c>
      <c r="I8" s="182" t="s">
        <v>182</v>
      </c>
      <c r="J8" s="182" t="s">
        <v>182</v>
      </c>
      <c r="K8" s="182" t="s">
        <v>182</v>
      </c>
      <c r="L8" s="190" t="s">
        <v>182</v>
      </c>
      <c r="M8" s="1"/>
      <c r="N8" s="1"/>
    </row>
    <row r="9" spans="1:15" ht="15" customHeight="1" x14ac:dyDescent="0.2">
      <c r="A9" s="1"/>
      <c r="B9" s="196" t="s">
        <v>204</v>
      </c>
      <c r="C9" s="172" t="s">
        <v>182</v>
      </c>
      <c r="D9" s="172" t="s">
        <v>182</v>
      </c>
      <c r="E9" s="172" t="s">
        <v>182</v>
      </c>
      <c r="F9" s="172" t="s">
        <v>182</v>
      </c>
      <c r="G9" s="169" t="s">
        <v>182</v>
      </c>
      <c r="H9" s="172" t="s">
        <v>182</v>
      </c>
      <c r="I9" s="172" t="s">
        <v>182</v>
      </c>
      <c r="J9" s="172" t="s">
        <v>182</v>
      </c>
      <c r="K9" s="172" t="s">
        <v>182</v>
      </c>
      <c r="L9" s="191" t="s">
        <v>182</v>
      </c>
      <c r="M9" s="1"/>
      <c r="N9" s="1"/>
      <c r="O9" s="78"/>
    </row>
    <row r="10" spans="1:15" ht="15" customHeight="1" x14ac:dyDescent="0.2">
      <c r="A10" s="1"/>
      <c r="B10" s="195" t="s">
        <v>205</v>
      </c>
      <c r="C10" s="182">
        <v>6046</v>
      </c>
      <c r="D10" s="182">
        <v>6269</v>
      </c>
      <c r="E10" s="182">
        <v>5792</v>
      </c>
      <c r="F10" s="182">
        <v>6649</v>
      </c>
      <c r="G10" s="184">
        <v>7394</v>
      </c>
      <c r="H10" s="182">
        <v>7149.1819999999998</v>
      </c>
      <c r="I10" s="182">
        <v>7417.5</v>
      </c>
      <c r="J10" s="182">
        <f t="shared" ref="J10:L10" si="1">J6*J11/100</f>
        <v>8598.7810654383029</v>
      </c>
      <c r="K10" s="182">
        <f t="shared" si="1"/>
        <v>9849.8346183998256</v>
      </c>
      <c r="L10" s="190">
        <f t="shared" si="1"/>
        <v>9483.8043124529158</v>
      </c>
      <c r="M10" s="1"/>
      <c r="N10" s="1"/>
    </row>
    <row r="11" spans="1:15" ht="15" customHeight="1" x14ac:dyDescent="0.2">
      <c r="A11" s="1"/>
      <c r="B11" s="196" t="s">
        <v>204</v>
      </c>
      <c r="C11" s="172">
        <v>49.355102040816298</v>
      </c>
      <c r="D11" s="172">
        <v>52.517382927033601</v>
      </c>
      <c r="E11" s="172">
        <v>54.7292828120571</v>
      </c>
      <c r="F11" s="172">
        <v>53.098546558057798</v>
      </c>
      <c r="G11" s="169">
        <v>49.781188985390202</v>
      </c>
      <c r="H11" s="172">
        <f>H10/H6*100</f>
        <v>48.919574817673329</v>
      </c>
      <c r="I11" s="172">
        <f>I10/I6*100</f>
        <v>49.463698146806792</v>
      </c>
      <c r="J11" s="172">
        <f>AVERAGE(E11:I11)</f>
        <v>51.19845826399704</v>
      </c>
      <c r="K11" s="172">
        <f t="shared" ref="K11:L11" si="2">AVERAGE(F11:J11)</f>
        <v>50.492293354385026</v>
      </c>
      <c r="L11" s="191">
        <f t="shared" si="2"/>
        <v>49.971042713650476</v>
      </c>
      <c r="M11" s="1"/>
      <c r="N11" s="1"/>
    </row>
    <row r="12" spans="1:15" ht="15" customHeight="1" x14ac:dyDescent="0.2">
      <c r="A12" s="1"/>
      <c r="B12" s="195" t="s">
        <v>211</v>
      </c>
      <c r="C12" s="182">
        <v>3200.34</v>
      </c>
      <c r="D12" s="182">
        <v>3198.09</v>
      </c>
      <c r="E12" s="182">
        <v>2737.35</v>
      </c>
      <c r="F12" s="182">
        <v>3378.34</v>
      </c>
      <c r="G12" s="184">
        <v>3907.98</v>
      </c>
      <c r="H12" s="182">
        <v>3695.192</v>
      </c>
      <c r="I12" s="182">
        <v>3837.5770000000002</v>
      </c>
      <c r="J12" s="182">
        <f>145.59*2025-290817</f>
        <v>4002.75</v>
      </c>
      <c r="K12" s="182">
        <f>145.59*2026-290817</f>
        <v>4148.3400000000256</v>
      </c>
      <c r="L12" s="190">
        <f>145.59*2027-290817</f>
        <v>4293.929999999993</v>
      </c>
      <c r="M12" s="1"/>
      <c r="N12" s="1"/>
    </row>
    <row r="13" spans="1:15" ht="15" customHeight="1" x14ac:dyDescent="0.2">
      <c r="A13" s="1"/>
      <c r="B13" s="196" t="s">
        <v>204</v>
      </c>
      <c r="C13" s="172">
        <v>26.125224489795901</v>
      </c>
      <c r="D13" s="172">
        <v>26.7914048755969</v>
      </c>
      <c r="E13" s="172">
        <v>25.865539072096801</v>
      </c>
      <c r="F13" s="172">
        <v>26.979236543683101</v>
      </c>
      <c r="G13" s="169">
        <v>26.3110482730761</v>
      </c>
      <c r="H13" s="172">
        <f>H12/H6*100</f>
        <v>25.28502163040023</v>
      </c>
      <c r="I13" s="172">
        <f t="shared" ref="I13:L13" si="3">I12/I6*100</f>
        <v>25.59093364922526</v>
      </c>
      <c r="J13" s="172">
        <f t="shared" si="3"/>
        <v>23.832986007740399</v>
      </c>
      <c r="K13" s="172">
        <f t="shared" si="3"/>
        <v>21.265250466485394</v>
      </c>
      <c r="L13" s="191">
        <f t="shared" si="3"/>
        <v>22.625114602762963</v>
      </c>
      <c r="M13" s="1"/>
      <c r="N13" s="1"/>
    </row>
    <row r="14" spans="1:15" ht="15" customHeight="1" x14ac:dyDescent="0.2">
      <c r="A14" s="1"/>
      <c r="B14" s="195" t="s">
        <v>220</v>
      </c>
      <c r="C14" s="183">
        <v>1.2383</v>
      </c>
      <c r="D14" s="183">
        <v>1.3345</v>
      </c>
      <c r="E14" s="183">
        <v>0.39600000000000002</v>
      </c>
      <c r="F14" s="183">
        <v>1.5014000000000001</v>
      </c>
      <c r="G14" s="185">
        <v>1.8294999999999999</v>
      </c>
      <c r="H14" s="183">
        <v>1.833</v>
      </c>
      <c r="I14" s="183">
        <v>1.984</v>
      </c>
      <c r="J14" s="183">
        <f>J12/$C$27</f>
        <v>2.025683198380567</v>
      </c>
      <c r="K14" s="183">
        <f t="shared" ref="K14:L14" si="4">K12/$C$27</f>
        <v>2.0993623481781505</v>
      </c>
      <c r="L14" s="199">
        <f t="shared" si="4"/>
        <v>2.1730414979757051</v>
      </c>
      <c r="M14" s="1"/>
      <c r="N14" s="1"/>
    </row>
    <row r="15" spans="1:15" ht="15" customHeight="1" x14ac:dyDescent="0.2">
      <c r="A15" s="1"/>
      <c r="B15" s="196" t="s">
        <v>193</v>
      </c>
      <c r="C15" s="172">
        <v>65.458561203179499</v>
      </c>
      <c r="D15" s="172">
        <v>7.76737838361651</v>
      </c>
      <c r="E15" s="172">
        <v>-70.326001026597893</v>
      </c>
      <c r="F15" s="172">
        <v>279.14980012676699</v>
      </c>
      <c r="G15" s="169">
        <v>21.849001989427499</v>
      </c>
      <c r="H15" s="172">
        <f>((H14/G14)-1)*100</f>
        <v>0.19130910084723673</v>
      </c>
      <c r="I15" s="172">
        <f t="shared" ref="I15:L15" si="5">((I14/H14)-1)*100</f>
        <v>8.2378614293507901</v>
      </c>
      <c r="J15" s="172">
        <f>((J14/I14)-1)*100</f>
        <v>2.1009676603108263</v>
      </c>
      <c r="K15" s="172">
        <f t="shared" si="5"/>
        <v>3.6372493910442838</v>
      </c>
      <c r="L15" s="191">
        <f t="shared" si="5"/>
        <v>3.5095966097274278</v>
      </c>
      <c r="M15" s="1"/>
      <c r="N15" s="1"/>
    </row>
    <row r="16" spans="1:15" ht="15" customHeight="1" x14ac:dyDescent="0.2">
      <c r="A16" s="1"/>
      <c r="B16" s="195" t="s">
        <v>234</v>
      </c>
      <c r="C16" s="182">
        <v>4641</v>
      </c>
      <c r="D16" s="182">
        <v>4850</v>
      </c>
      <c r="E16" s="182">
        <v>4263</v>
      </c>
      <c r="F16" s="182">
        <v>5099</v>
      </c>
      <c r="G16" s="184">
        <v>5619</v>
      </c>
      <c r="H16" s="182">
        <v>5768.1582246191401</v>
      </c>
      <c r="I16" s="182">
        <v>5966.3162787136043</v>
      </c>
      <c r="J16" s="182">
        <v>6653.802331825259</v>
      </c>
      <c r="K16" s="182">
        <v>7702.574295036522</v>
      </c>
      <c r="L16" s="190">
        <v>7446.8086310071403</v>
      </c>
      <c r="M16" s="1"/>
      <c r="N16" s="1"/>
    </row>
    <row r="17" spans="1:22" ht="15" customHeight="1" x14ac:dyDescent="0.2">
      <c r="A17" s="1"/>
      <c r="B17" s="195" t="s">
        <v>238</v>
      </c>
      <c r="C17" s="182">
        <v>-1745</v>
      </c>
      <c r="D17" s="182">
        <v>-1657</v>
      </c>
      <c r="E17" s="182">
        <v>-1626</v>
      </c>
      <c r="F17" s="182">
        <v>-1791</v>
      </c>
      <c r="G17" s="184">
        <v>-2133</v>
      </c>
      <c r="H17" s="182">
        <v>-2108.9373863181163</v>
      </c>
      <c r="I17" s="182">
        <v>-2169.5936612934024</v>
      </c>
      <c r="J17" s="182">
        <v>-2449.6037126030119</v>
      </c>
      <c r="K17" s="182">
        <v>-2814.8541610435695</v>
      </c>
      <c r="L17" s="190">
        <v>-2743.3310979948828</v>
      </c>
      <c r="M17" s="1"/>
      <c r="N17" s="1"/>
    </row>
    <row r="18" spans="1:22" ht="15" customHeight="1" x14ac:dyDescent="0.2">
      <c r="A18" s="1"/>
      <c r="B18" s="195" t="s">
        <v>243</v>
      </c>
      <c r="C18" s="182">
        <v>2896</v>
      </c>
      <c r="D18" s="182">
        <v>3193</v>
      </c>
      <c r="E18" s="182">
        <v>2637</v>
      </c>
      <c r="F18" s="182">
        <v>3308</v>
      </c>
      <c r="G18" s="184">
        <v>3486</v>
      </c>
      <c r="H18" s="182">
        <v>3130.9270000000001</v>
      </c>
      <c r="I18" s="182">
        <v>3480.17</v>
      </c>
      <c r="J18" s="182">
        <f>150.93*2025-301695</f>
        <v>3938.25</v>
      </c>
      <c r="K18" s="182">
        <f>190.51*2026-381967</f>
        <v>4006.2600000000093</v>
      </c>
      <c r="L18" s="190">
        <f>191.52*2027-384010</f>
        <v>4201.0400000000373</v>
      </c>
      <c r="M18" s="1"/>
      <c r="N18" s="1"/>
      <c r="P18" t="s">
        <v>780</v>
      </c>
    </row>
    <row r="19" spans="1:22" ht="15" customHeight="1" thickBot="1" x14ac:dyDescent="0.25">
      <c r="A19" s="1"/>
      <c r="B19" s="197" t="s">
        <v>781</v>
      </c>
      <c r="C19" s="192"/>
      <c r="D19" s="192"/>
      <c r="E19" s="193"/>
      <c r="F19" s="192"/>
      <c r="G19" s="194"/>
      <c r="H19" s="252">
        <f>H18/(1+$F$26)^((1+$F$27)^H4)</f>
        <v>2887.8596870722358</v>
      </c>
      <c r="I19" s="252">
        <f>I18/(1+$F$26)^((1+$F$27)^I4)</f>
        <v>3198.5698127437017</v>
      </c>
      <c r="J19" s="252">
        <f>J18/(1+$F$26)^((1+$F$27)^J4)</f>
        <v>3606.1403798525357</v>
      </c>
      <c r="K19" s="252">
        <f>K18/(1+$F$26)^((1+$F$27)^K4)</f>
        <v>3654.1904929045459</v>
      </c>
      <c r="L19" s="253">
        <f>L18/(1+$F$26)^((1+$F$27)^L4)</f>
        <v>3816.3409257121239</v>
      </c>
      <c r="M19" s="1"/>
      <c r="N19" s="1"/>
      <c r="O19" s="167" t="s">
        <v>4</v>
      </c>
      <c r="P19" s="168">
        <v>39.380000000000003</v>
      </c>
      <c r="Q19" s="168">
        <v>44.282000000000004</v>
      </c>
      <c r="R19" s="1"/>
      <c r="S19" s="1"/>
    </row>
    <row r="20" spans="1:22" ht="15" customHeight="1" thickBot="1" x14ac:dyDescent="0.25">
      <c r="A20" s="1"/>
      <c r="B20" s="1"/>
      <c r="C20" s="5"/>
      <c r="D20" s="5"/>
      <c r="E20" s="5"/>
      <c r="F20" s="5"/>
      <c r="G20" s="5"/>
      <c r="H20" s="173"/>
      <c r="I20" s="173"/>
      <c r="J20" s="173"/>
      <c r="K20" s="173"/>
      <c r="L20" s="173"/>
      <c r="M20" s="1"/>
      <c r="N20" s="1"/>
    </row>
    <row r="21" spans="1:22" ht="15" customHeight="1" x14ac:dyDescent="0.2">
      <c r="A21" s="1"/>
      <c r="B21" s="175" t="s">
        <v>778</v>
      </c>
      <c r="C21" s="176">
        <f>fcff*(1+tgr)/(wacc-tgr)</f>
        <v>80766.389595703295</v>
      </c>
      <c r="D21" s="91"/>
      <c r="E21" s="92" t="s">
        <v>5</v>
      </c>
      <c r="F21" s="93">
        <f>C25/F30</f>
        <v>0.59572832943738196</v>
      </c>
      <c r="G21" s="91"/>
      <c r="H21" s="101" t="s">
        <v>6</v>
      </c>
      <c r="I21" s="164">
        <f>Summary!BC14/100</f>
        <v>7.3055000000000009E-2</v>
      </c>
      <c r="J21" s="1" t="s">
        <v>7</v>
      </c>
      <c r="K21" s="91"/>
      <c r="L21" s="91"/>
      <c r="M21" s="1"/>
      <c r="N21" s="1" t="s">
        <v>8</v>
      </c>
      <c r="O21" s="141">
        <v>45249</v>
      </c>
      <c r="P21" s="142">
        <v>31.63</v>
      </c>
      <c r="Q21" s="1"/>
      <c r="R21" s="1"/>
      <c r="S21" s="1"/>
      <c r="T21" s="59"/>
      <c r="U21" s="1"/>
      <c r="V21" s="1"/>
    </row>
    <row r="22" spans="1:22" ht="15" customHeight="1" x14ac:dyDescent="0.2">
      <c r="A22" s="1"/>
      <c r="B22" s="177" t="s">
        <v>779</v>
      </c>
      <c r="C22" s="178">
        <f>C21/(1+$F$26)^((1+$F$27)^4.5)</f>
        <v>73370.422094550304</v>
      </c>
      <c r="D22" s="91"/>
      <c r="E22" s="94" t="s">
        <v>10</v>
      </c>
      <c r="F22" s="95">
        <f>Summary!$BC$9/100</f>
        <v>4.1243999999999996E-2</v>
      </c>
      <c r="G22" s="91"/>
      <c r="H22" s="59" t="s">
        <v>11</v>
      </c>
      <c r="I22" s="164">
        <v>0.02</v>
      </c>
      <c r="J22" s="5"/>
      <c r="K22" s="91"/>
      <c r="L22" s="91"/>
      <c r="M22" s="1"/>
      <c r="N22" s="1"/>
      <c r="O22" s="87" t="s">
        <v>12</v>
      </c>
      <c r="P22" s="58">
        <f>P19/P21-1</f>
        <v>0.2450205501106546</v>
      </c>
      <c r="Q22" s="85"/>
      <c r="R22" s="1"/>
    </row>
    <row r="23" spans="1:22" ht="15" customHeight="1" x14ac:dyDescent="0.2">
      <c r="A23" s="1"/>
      <c r="B23" s="179" t="s">
        <v>9</v>
      </c>
      <c r="C23" s="178">
        <f>SUM(H19:L19,C22)</f>
        <v>90533.523392835443</v>
      </c>
      <c r="D23" s="91"/>
      <c r="E23" s="94" t="s">
        <v>14</v>
      </c>
      <c r="F23" s="95">
        <v>0.2487</v>
      </c>
      <c r="G23" s="91"/>
      <c r="H23" s="91"/>
      <c r="I23" s="91"/>
      <c r="J23" s="91"/>
      <c r="K23" s="91"/>
      <c r="L23" s="91"/>
      <c r="M23" s="1"/>
      <c r="N23" s="1"/>
      <c r="O23" s="59"/>
      <c r="P23" s="140"/>
      <c r="Q23" s="5"/>
      <c r="R23" s="1"/>
    </row>
    <row r="24" spans="1:22" ht="15" customHeight="1" x14ac:dyDescent="0.2">
      <c r="A24" s="1"/>
      <c r="B24" s="179" t="s">
        <v>13</v>
      </c>
      <c r="C24" s="178">
        <f>Summary!G6</f>
        <v>2087</v>
      </c>
      <c r="D24" s="91"/>
      <c r="E24" s="94" t="s">
        <v>16</v>
      </c>
      <c r="F24" s="96">
        <f>BS!G72</f>
        <v>12625</v>
      </c>
      <c r="G24" s="91"/>
      <c r="H24" s="91"/>
      <c r="I24" s="91"/>
      <c r="J24" s="91"/>
      <c r="K24" s="91"/>
      <c r="L24" s="91"/>
      <c r="M24" s="1"/>
      <c r="N24" s="1"/>
      <c r="O24" s="1"/>
      <c r="P24" s="1"/>
      <c r="Q24" s="1"/>
      <c r="R24" s="1"/>
      <c r="S24" s="57"/>
      <c r="T24" s="1"/>
      <c r="U24" s="1"/>
      <c r="V24" s="1"/>
    </row>
    <row r="25" spans="1:22" ht="15" customHeight="1" thickBot="1" x14ac:dyDescent="0.25">
      <c r="A25" s="1"/>
      <c r="B25" s="179" t="s">
        <v>15</v>
      </c>
      <c r="C25" s="178">
        <f>Summary!G8</f>
        <v>18604</v>
      </c>
      <c r="D25" s="91"/>
      <c r="E25" s="94" t="s">
        <v>17</v>
      </c>
      <c r="F25" s="95">
        <f>F24/F30</f>
        <v>0.40427167056261809</v>
      </c>
      <c r="G25" s="91"/>
      <c r="H25" s="91"/>
      <c r="I25" s="5"/>
      <c r="J25" s="91"/>
      <c r="K25" s="91"/>
      <c r="L25" s="91"/>
      <c r="M25" s="1"/>
      <c r="N25" s="1"/>
      <c r="O25" s="1"/>
      <c r="P25" s="258" t="s">
        <v>18</v>
      </c>
      <c r="Q25" s="258"/>
      <c r="R25" s="258"/>
      <c r="S25" s="258"/>
      <c r="T25" s="258"/>
      <c r="U25" s="75"/>
      <c r="V25" s="1"/>
    </row>
    <row r="26" spans="1:22" ht="15" customHeight="1" thickTop="1" thickBot="1" x14ac:dyDescent="0.25">
      <c r="A26" s="1"/>
      <c r="B26" s="179" t="s">
        <v>16</v>
      </c>
      <c r="C26" s="178">
        <f>C23+C24-C25</f>
        <v>74016.523392835443</v>
      </c>
      <c r="D26" s="91"/>
      <c r="E26" s="97" t="s">
        <v>20</v>
      </c>
      <c r="F26" s="95">
        <f>Summary!$BC$6/100</f>
        <v>8.2299999999999998E-2</v>
      </c>
      <c r="G26" s="5"/>
      <c r="H26" s="91"/>
      <c r="I26" s="91"/>
      <c r="J26" s="91"/>
      <c r="K26" s="91"/>
      <c r="L26" s="91"/>
      <c r="M26" s="1"/>
      <c r="N26" s="1"/>
      <c r="O26" s="144"/>
      <c r="P26" s="148">
        <f>Q26-0.005</f>
        <v>9.9999999999999985E-3</v>
      </c>
      <c r="Q26" s="148">
        <f>R26-0.005</f>
        <v>1.4999999999999999E-2</v>
      </c>
      <c r="R26" s="149">
        <f>tgr</f>
        <v>0.02</v>
      </c>
      <c r="S26" s="148">
        <f>R26+0.005</f>
        <v>2.5000000000000001E-2</v>
      </c>
      <c r="T26" s="148">
        <f>S26+0.005</f>
        <v>3.0000000000000002E-2</v>
      </c>
      <c r="U26" s="49"/>
      <c r="V26" s="1"/>
    </row>
    <row r="27" spans="1:22" ht="15" customHeight="1" thickBot="1" x14ac:dyDescent="0.25">
      <c r="A27" s="1"/>
      <c r="B27" s="179" t="s">
        <v>19</v>
      </c>
      <c r="C27" s="178">
        <v>1976</v>
      </c>
      <c r="D27" s="57"/>
      <c r="E27" s="94" t="s">
        <v>22</v>
      </c>
      <c r="F27" s="95">
        <v>4.41E-2</v>
      </c>
      <c r="G27" s="198" t="s">
        <v>23</v>
      </c>
      <c r="H27" s="57"/>
      <c r="I27" s="57"/>
      <c r="J27" s="1"/>
      <c r="K27" s="57"/>
      <c r="L27" s="57"/>
      <c r="M27" s="1"/>
      <c r="N27" s="259" t="s">
        <v>24</v>
      </c>
      <c r="O27" s="153">
        <f>O28+0.005</f>
        <v>8.3055000000000018E-2</v>
      </c>
      <c r="P27" s="150" t="str">
        <f t="shared" ref="P27:T31" si="6">TEXT(((((((fcff*(1+P$26))/ABS($O27-P$26))/(1+$F$26)^((1+$F$27)^4.5))+SUM($H$19:$L$19)-$C$25+$C$24)/$C$27/$P$21)-1),"0.0%")
&amp;" / "&amp;
TEXT(((((fcff*(1+P$26))/ABS($O27-P$26))/(1+$F$26)^((1+$F$27)^4.5))+SUM($H$19:$L$19)-$C$25+$C$24)/$C$27,"$0.00")</f>
        <v>-14.5% / $27.03</v>
      </c>
      <c r="Q27" s="145" t="str">
        <f t="shared" si="6"/>
        <v>-7.9% / $29.13</v>
      </c>
      <c r="R27" s="146" t="str">
        <f t="shared" si="6"/>
        <v>-0.2% / $31.57</v>
      </c>
      <c r="S27" s="146" t="str">
        <f t="shared" si="6"/>
        <v>8.8% / $34.43</v>
      </c>
      <c r="T27" s="147" t="str">
        <f t="shared" si="6"/>
        <v>19.6% / $37.82</v>
      </c>
      <c r="U27" s="86"/>
      <c r="V27" s="1"/>
    </row>
    <row r="28" spans="1:22" ht="15" customHeight="1" thickBot="1" x14ac:dyDescent="0.25">
      <c r="A28" s="1"/>
      <c r="B28" s="180" t="s">
        <v>21</v>
      </c>
      <c r="C28" s="181">
        <f>C26/C27</f>
        <v>37.457754753459234</v>
      </c>
      <c r="D28" s="5"/>
      <c r="E28" s="94" t="s">
        <v>25</v>
      </c>
      <c r="F28" s="98">
        <v>0.98599999999999999</v>
      </c>
      <c r="G28" s="5"/>
      <c r="H28" s="5"/>
      <c r="I28" s="1"/>
      <c r="J28" s="174"/>
      <c r="K28" s="121"/>
      <c r="L28" s="5"/>
      <c r="M28" s="1"/>
      <c r="N28" s="259"/>
      <c r="O28" s="153">
        <f>O29+0.005</f>
        <v>7.8055000000000013E-2</v>
      </c>
      <c r="P28" s="151" t="str">
        <f t="shared" si="6"/>
        <v>-8.3% / $28.99</v>
      </c>
      <c r="Q28" s="79" t="str">
        <f t="shared" si="6"/>
        <v>-0.7% / $31.42</v>
      </c>
      <c r="R28" s="79" t="str">
        <f t="shared" si="6"/>
        <v>8.3% / $34.26</v>
      </c>
      <c r="S28" s="79" t="str">
        <f t="shared" si="6"/>
        <v>19.0% / $37.64</v>
      </c>
      <c r="T28" s="80" t="str">
        <f t="shared" si="6"/>
        <v>31.9% / $41.72</v>
      </c>
      <c r="U28" s="86"/>
      <c r="V28" s="1"/>
    </row>
    <row r="29" spans="1:22" ht="15" customHeight="1" thickBot="1" x14ac:dyDescent="0.25">
      <c r="A29" s="1"/>
      <c r="B29" s="1"/>
      <c r="C29" s="156"/>
      <c r="D29" s="5"/>
      <c r="E29" s="97" t="s">
        <v>26</v>
      </c>
      <c r="F29" s="95">
        <f>G29-F27</f>
        <v>3.2299999999999995E-2</v>
      </c>
      <c r="G29" s="198">
        <v>7.6399999999999996E-2</v>
      </c>
      <c r="H29" s="5"/>
      <c r="I29" s="1"/>
      <c r="J29" s="121"/>
      <c r="K29" s="1"/>
      <c r="L29" s="1"/>
      <c r="M29" s="1"/>
      <c r="N29" s="259"/>
      <c r="O29" s="154">
        <f>wacc</f>
        <v>7.3055000000000009E-2</v>
      </c>
      <c r="P29" s="151" t="str">
        <f t="shared" si="6"/>
        <v>-1.2% / $31.26</v>
      </c>
      <c r="Q29" s="79" t="str">
        <f t="shared" si="6"/>
        <v>7.8% / $34.09</v>
      </c>
      <c r="R29" s="81" t="str">
        <f t="shared" si="6"/>
        <v>18.4% / $37.46</v>
      </c>
      <c r="S29" s="79" t="str">
        <f t="shared" si="6"/>
        <v>31.3% / $41.52</v>
      </c>
      <c r="T29" s="80" t="str">
        <f t="shared" si="6"/>
        <v>47.1% / $46.53</v>
      </c>
      <c r="U29" s="86"/>
      <c r="V29" s="1"/>
    </row>
    <row r="30" spans="1:22" ht="15" customHeight="1" thickBot="1" x14ac:dyDescent="0.25">
      <c r="A30" s="1"/>
      <c r="B30" s="1"/>
      <c r="C30" s="121"/>
      <c r="D30" s="5"/>
      <c r="E30" s="99" t="s">
        <v>27</v>
      </c>
      <c r="F30" s="100">
        <f>C25+F24</f>
        <v>31229</v>
      </c>
      <c r="G30" s="5"/>
      <c r="H30" s="5"/>
      <c r="I30" s="5"/>
      <c r="J30" s="174"/>
      <c r="K30" s="5"/>
      <c r="L30" s="5"/>
      <c r="M30" s="1"/>
      <c r="N30" s="259"/>
      <c r="O30" s="153">
        <f>O29-0.005</f>
        <v>6.8055000000000004E-2</v>
      </c>
      <c r="P30" s="151" t="str">
        <f t="shared" si="6"/>
        <v>7.3% / $33.93</v>
      </c>
      <c r="Q30" s="79" t="str">
        <f t="shared" si="6"/>
        <v>17.8% / $37.28</v>
      </c>
      <c r="R30" s="79" t="str">
        <f t="shared" si="6"/>
        <v>30.6% / $41.32</v>
      </c>
      <c r="S30" s="79" t="str">
        <f t="shared" si="6"/>
        <v>46.4% / $46.31</v>
      </c>
      <c r="T30" s="80" t="str">
        <f t="shared" si="6"/>
        <v>66.3% / $52.60</v>
      </c>
      <c r="U30" s="86"/>
      <c r="V30" s="1"/>
    </row>
    <row r="31" spans="1:22" ht="15" customHeight="1" x14ac:dyDescent="0.2">
      <c r="A31" s="1"/>
      <c r="B31" s="1"/>
      <c r="C31" s="1"/>
      <c r="D31" s="84"/>
      <c r="E31" s="88"/>
      <c r="F31" s="5"/>
      <c r="G31" s="84"/>
      <c r="H31" s="84"/>
      <c r="I31" s="84"/>
      <c r="J31" s="84"/>
      <c r="K31" s="84"/>
      <c r="L31" s="84"/>
      <c r="M31" s="1"/>
      <c r="N31" s="259"/>
      <c r="O31" s="153">
        <f>O30-0.005</f>
        <v>6.3055E-2</v>
      </c>
      <c r="P31" s="152" t="str">
        <f t="shared" si="6"/>
        <v>17.3% / $37.09</v>
      </c>
      <c r="Q31" s="82" t="str">
        <f t="shared" si="6"/>
        <v>30.0% / $41.12</v>
      </c>
      <c r="R31" s="82" t="str">
        <f t="shared" si="6"/>
        <v>45.7% / $46.08</v>
      </c>
      <c r="S31" s="82" t="str">
        <f t="shared" si="6"/>
        <v>65.5% / $52.35</v>
      </c>
      <c r="T31" s="83" t="str">
        <f t="shared" si="6"/>
        <v>91.3% / $60.51</v>
      </c>
      <c r="U31" s="86"/>
      <c r="V31" s="1"/>
    </row>
    <row r="32" spans="1:22" ht="15" customHeight="1" x14ac:dyDescent="0.2">
      <c r="A32" s="1"/>
      <c r="B32" s="1"/>
      <c r="C32" s="1"/>
      <c r="D32" s="5"/>
      <c r="E32" s="1"/>
      <c r="F32" s="5"/>
      <c r="G32" s="5"/>
      <c r="H32" s="5"/>
      <c r="I32" s="5"/>
      <c r="J32" s="5"/>
      <c r="K32" s="5"/>
      <c r="L32" s="5"/>
      <c r="M32" s="1"/>
      <c r="N32" s="1"/>
      <c r="V32" s="1"/>
    </row>
    <row r="33" spans="1:22" ht="16.25" customHeight="1" x14ac:dyDescent="0.2">
      <c r="A33" s="1"/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  <c r="M33" s="1"/>
      <c r="N33" s="1"/>
      <c r="V33" s="1"/>
    </row>
    <row r="34" spans="1:22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22" ht="15" customHeight="1" x14ac:dyDescent="0.2">
      <c r="A35" s="1"/>
      <c r="B35" s="1"/>
      <c r="C35" s="1"/>
      <c r="D35" s="89"/>
      <c r="E35" s="1"/>
      <c r="F35" s="1"/>
      <c r="G35" s="1"/>
      <c r="H35" s="1"/>
      <c r="I35" s="1"/>
      <c r="J35" s="1"/>
      <c r="K35" s="1"/>
      <c r="L35" s="1"/>
      <c r="M35" s="1"/>
    </row>
    <row r="36" spans="1:22" ht="15" customHeight="1" x14ac:dyDescent="0.2">
      <c r="A36" s="1"/>
      <c r="B36" s="1"/>
      <c r="C36" s="1"/>
      <c r="D36" s="1"/>
      <c r="E36" s="90"/>
      <c r="F36" s="1"/>
      <c r="G36" s="1"/>
      <c r="H36" s="1"/>
      <c r="I36" s="1"/>
      <c r="J36" s="1"/>
      <c r="K36" s="1"/>
      <c r="L36" s="1"/>
      <c r="M36" s="1"/>
    </row>
    <row r="37" spans="1:22" ht="15" customHeight="1" x14ac:dyDescent="0.2">
      <c r="A37" s="1"/>
      <c r="B37" s="1"/>
      <c r="C37" s="1"/>
      <c r="D37" s="1"/>
      <c r="E37" s="5"/>
      <c r="F37" s="1"/>
      <c r="G37" s="1"/>
      <c r="H37" s="1"/>
      <c r="I37" s="1"/>
      <c r="J37" s="1"/>
      <c r="K37" s="1"/>
      <c r="L37" s="1"/>
      <c r="M37" s="1"/>
    </row>
    <row r="38" spans="1:22" ht="15" customHeight="1" x14ac:dyDescent="0.2">
      <c r="A38" s="1"/>
      <c r="B38" s="1"/>
      <c r="C38" s="1"/>
      <c r="D38" s="1"/>
      <c r="E38" s="1"/>
      <c r="F38" s="1"/>
      <c r="K38" s="1"/>
      <c r="L38" s="1"/>
      <c r="M38" s="1"/>
    </row>
    <row r="39" spans="1:22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2" ht="1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2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2" ht="1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2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2" ht="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2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ht="1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2" ht="1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2" ht="15" customHeight="1" x14ac:dyDescent="0.2">
      <c r="A48" s="1"/>
      <c r="B48" s="1"/>
      <c r="M48" s="1"/>
    </row>
  </sheetData>
  <mergeCells count="2">
    <mergeCell ref="P25:T25"/>
    <mergeCell ref="N27:N31"/>
  </mergeCells>
  <conditionalFormatting sqref="C7:L7">
    <cfRule type="expression" dxfId="5" priority="9">
      <formula>C7&gt;0</formula>
    </cfRule>
    <cfRule type="expression" dxfId="4" priority="10">
      <formula>C7&lt;0</formula>
    </cfRule>
  </conditionalFormatting>
  <conditionalFormatting sqref="C9:L9 C11:L11 C13:L13">
    <cfRule type="expression" dxfId="3" priority="17">
      <formula>C9&lt;0</formula>
    </cfRule>
    <cfRule type="expression" dxfId="2" priority="16">
      <formula>C9&gt;0</formula>
    </cfRule>
  </conditionalFormatting>
  <conditionalFormatting sqref="C15:L15">
    <cfRule type="expression" dxfId="1" priority="7">
      <formula>C15&gt;0</formula>
    </cfRule>
    <cfRule type="expression" dxfId="0" priority="8">
      <formula>C15&lt;0</formula>
    </cfRule>
  </conditionalFormatting>
  <conditionalFormatting sqref="P27:T31">
    <cfRule type="colorScale" priority="11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conditionalFormatting sqref="U27:U31">
    <cfRule type="colorScale" priority="12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F04-4261-40E9-8867-CFBF0DCA1268}">
  <sheetPr>
    <pageSetUpPr fitToPage="1"/>
  </sheetPr>
  <dimension ref="A1:AE46"/>
  <sheetViews>
    <sheetView view="pageBreakPreview" zoomScale="75" zoomScaleNormal="68" zoomScaleSheetLayoutView="100" workbookViewId="0">
      <selection activeCell="Q37" sqref="Q37"/>
    </sheetView>
  </sheetViews>
  <sheetFormatPr baseColWidth="10" defaultColWidth="10.83203125" defaultRowHeight="15" customHeight="1" x14ac:dyDescent="0.2"/>
  <cols>
    <col min="1" max="1" width="10.83203125" style="1"/>
    <col min="2" max="2" width="6.5" style="1" bestFit="1" customWidth="1"/>
    <col min="3" max="3" width="20.5" style="1" customWidth="1"/>
    <col min="4" max="19" width="10.83203125" style="1" customWidth="1"/>
    <col min="20" max="16384" width="10.83203125" style="1"/>
  </cols>
  <sheetData>
    <row r="1" spans="1:17" ht="15" customHeight="1" x14ac:dyDescent="0.2">
      <c r="N1" s="6"/>
      <c r="O1" s="6"/>
      <c r="P1" s="6"/>
      <c r="Q1" s="6"/>
    </row>
    <row r="2" spans="1:17" ht="24" x14ac:dyDescent="0.2">
      <c r="C2" s="3" t="s">
        <v>28</v>
      </c>
      <c r="E2"/>
      <c r="G2" s="2" t="s">
        <v>1</v>
      </c>
      <c r="N2" s="6"/>
      <c r="O2" s="6"/>
      <c r="P2" s="6"/>
      <c r="Q2" s="6"/>
    </row>
    <row r="3" spans="1:17" ht="24" customHeight="1" thickBot="1" x14ac:dyDescent="0.25">
      <c r="H3" s="2"/>
      <c r="N3" s="6"/>
      <c r="O3" s="6"/>
      <c r="P3" s="6"/>
      <c r="Q3" s="6"/>
    </row>
    <row r="4" spans="1:17" ht="15" customHeight="1" thickBot="1" x14ac:dyDescent="0.25">
      <c r="A4" s="7"/>
      <c r="B4" s="6"/>
      <c r="C4" s="6"/>
      <c r="D4" s="7"/>
      <c r="E4" s="7"/>
      <c r="F4" s="7"/>
      <c r="G4" s="7"/>
      <c r="H4" s="262" t="s">
        <v>29</v>
      </c>
      <c r="I4" s="267"/>
      <c r="J4" s="263"/>
      <c r="K4" s="262" t="s">
        <v>30</v>
      </c>
      <c r="L4" s="263"/>
      <c r="M4" s="262" t="s">
        <v>31</v>
      </c>
      <c r="N4" s="263"/>
      <c r="O4" s="6"/>
      <c r="P4" s="6"/>
    </row>
    <row r="5" spans="1:17" ht="16" thickBot="1" x14ac:dyDescent="0.25">
      <c r="A5" s="7"/>
      <c r="B5" s="11" t="s">
        <v>32</v>
      </c>
      <c r="C5" s="12" t="s">
        <v>33</v>
      </c>
      <c r="D5" s="13" t="s">
        <v>21</v>
      </c>
      <c r="E5" s="13" t="s">
        <v>34</v>
      </c>
      <c r="F5" s="13" t="s">
        <v>9</v>
      </c>
      <c r="G5" s="13" t="s">
        <v>35</v>
      </c>
      <c r="H5" s="14">
        <v>2021</v>
      </c>
      <c r="I5" s="13">
        <v>2022</v>
      </c>
      <c r="J5" s="15">
        <v>2023</v>
      </c>
      <c r="K5" s="14">
        <v>2022</v>
      </c>
      <c r="L5" s="15">
        <v>2023</v>
      </c>
      <c r="M5" s="13">
        <v>2022</v>
      </c>
      <c r="N5" s="15">
        <v>2023</v>
      </c>
      <c r="O5" s="6"/>
      <c r="P5" s="6"/>
    </row>
    <row r="6" spans="1:17" ht="15" customHeight="1" thickBot="1" x14ac:dyDescent="0.25">
      <c r="A6" s="7"/>
      <c r="B6" s="45" t="s">
        <v>36</v>
      </c>
      <c r="C6" s="16" t="s">
        <v>37</v>
      </c>
      <c r="D6" s="17">
        <f>DCF!P21</f>
        <v>31.63</v>
      </c>
      <c r="E6" s="18">
        <f>DCF!C27</f>
        <v>1976</v>
      </c>
      <c r="F6" s="19">
        <f>Summary!G9</f>
        <v>80543.049700000003</v>
      </c>
      <c r="G6" s="19">
        <f>Summary!G5</f>
        <v>64016.049700000003</v>
      </c>
      <c r="H6" s="20">
        <f>Summary!F11</f>
        <v>12522</v>
      </c>
      <c r="I6" s="19">
        <f>Summary!G11</f>
        <v>14853</v>
      </c>
      <c r="J6" s="21">
        <f>Summary!I11</f>
        <v>14614.154</v>
      </c>
      <c r="K6" s="20">
        <f>Summary!G15</f>
        <v>7394</v>
      </c>
      <c r="L6" s="21">
        <f>Summary!I15</f>
        <v>7149.1819999999998</v>
      </c>
      <c r="M6" s="19">
        <f>Summary!G17</f>
        <v>3907.98</v>
      </c>
      <c r="N6" s="21">
        <f>Summary!I17</f>
        <v>3695.192</v>
      </c>
      <c r="O6" s="6"/>
      <c r="P6" s="6"/>
    </row>
    <row r="7" spans="1:17" ht="15" customHeight="1" x14ac:dyDescent="0.2">
      <c r="A7" s="7"/>
      <c r="B7" s="46" t="s">
        <v>38</v>
      </c>
      <c r="C7" s="22" t="s">
        <v>39</v>
      </c>
      <c r="D7" s="23">
        <v>183.05</v>
      </c>
      <c r="E7" s="24">
        <v>103.14</v>
      </c>
      <c r="F7" s="25">
        <v>20250</v>
      </c>
      <c r="G7" s="25">
        <v>18800</v>
      </c>
      <c r="H7" s="26">
        <v>12168</v>
      </c>
      <c r="I7" s="25">
        <v>12341</v>
      </c>
      <c r="J7" s="27">
        <v>10900</v>
      </c>
      <c r="K7" s="26">
        <v>1331</v>
      </c>
      <c r="L7" s="27">
        <v>1778</v>
      </c>
      <c r="M7" s="25">
        <v>969</v>
      </c>
      <c r="N7" s="27">
        <v>776</v>
      </c>
      <c r="O7" s="6"/>
      <c r="P7" s="6"/>
    </row>
    <row r="8" spans="1:17" ht="15" customHeight="1" x14ac:dyDescent="0.2">
      <c r="A8" s="7"/>
      <c r="B8" s="47" t="s">
        <v>40</v>
      </c>
      <c r="C8" s="28" t="s">
        <v>41</v>
      </c>
      <c r="D8" s="29">
        <v>1.31</v>
      </c>
      <c r="E8" s="30">
        <v>783</v>
      </c>
      <c r="F8" s="31">
        <v>1132</v>
      </c>
      <c r="G8" s="31">
        <v>1028</v>
      </c>
      <c r="H8" s="32">
        <v>588</v>
      </c>
      <c r="I8" s="31">
        <v>525.6</v>
      </c>
      <c r="J8" s="33">
        <v>523.70000000000005</v>
      </c>
      <c r="K8" s="32">
        <v>47.5</v>
      </c>
      <c r="L8" s="33">
        <v>52.9</v>
      </c>
      <c r="M8" s="31">
        <v>26.3</v>
      </c>
      <c r="N8" s="33">
        <v>35.200000000000003</v>
      </c>
      <c r="O8" s="6"/>
      <c r="P8" s="6"/>
    </row>
    <row r="9" spans="1:17" ht="15" customHeight="1" x14ac:dyDescent="0.2">
      <c r="A9" s="7"/>
      <c r="B9" s="47" t="s">
        <v>42</v>
      </c>
      <c r="C9" s="28" t="s">
        <v>43</v>
      </c>
      <c r="D9" s="29">
        <v>404.32</v>
      </c>
      <c r="E9" s="30">
        <v>109.11</v>
      </c>
      <c r="F9" s="31">
        <v>43990</v>
      </c>
      <c r="G9" s="31">
        <v>44120</v>
      </c>
      <c r="H9" s="32">
        <v>5256</v>
      </c>
      <c r="I9" s="31">
        <v>6260</v>
      </c>
      <c r="J9" s="33">
        <v>5862</v>
      </c>
      <c r="K9" s="32">
        <v>1842</v>
      </c>
      <c r="L9" s="33">
        <v>1655</v>
      </c>
      <c r="M9" s="31">
        <v>1377</v>
      </c>
      <c r="N9" s="33">
        <v>1240</v>
      </c>
      <c r="O9" s="6"/>
      <c r="P9" s="6"/>
    </row>
    <row r="10" spans="1:17" ht="15" customHeight="1" x14ac:dyDescent="0.2">
      <c r="A10" s="7"/>
      <c r="B10" s="47" t="s">
        <v>44</v>
      </c>
      <c r="C10" s="28" t="s">
        <v>45</v>
      </c>
      <c r="D10" s="29">
        <v>35.92</v>
      </c>
      <c r="E10" s="30">
        <v>100</v>
      </c>
      <c r="F10" s="31">
        <v>3815</v>
      </c>
      <c r="G10" s="31">
        <v>3592</v>
      </c>
      <c r="H10" s="32">
        <v>3976</v>
      </c>
      <c r="I10" s="31">
        <v>3930</v>
      </c>
      <c r="J10" s="33">
        <v>4317</v>
      </c>
      <c r="K10" s="32">
        <v>322</v>
      </c>
      <c r="L10" s="33">
        <v>367</v>
      </c>
      <c r="M10" s="31">
        <v>75</v>
      </c>
      <c r="N10" s="33">
        <v>163</v>
      </c>
      <c r="O10" s="6"/>
      <c r="P10" s="6"/>
    </row>
    <row r="11" spans="1:17" ht="15" customHeight="1" x14ac:dyDescent="0.2">
      <c r="A11" s="7"/>
      <c r="B11" s="47" t="s">
        <v>46</v>
      </c>
      <c r="C11" s="28" t="s">
        <v>47</v>
      </c>
      <c r="D11" s="29">
        <v>72.19</v>
      </c>
      <c r="E11" s="30">
        <v>932</v>
      </c>
      <c r="F11" s="31">
        <v>83310</v>
      </c>
      <c r="G11" s="31">
        <v>66540</v>
      </c>
      <c r="H11" s="32">
        <v>7995</v>
      </c>
      <c r="I11" s="31">
        <v>8814</v>
      </c>
      <c r="J11" s="33">
        <v>11241</v>
      </c>
      <c r="K11" s="32">
        <v>5650</v>
      </c>
      <c r="L11" s="33">
        <v>-937</v>
      </c>
      <c r="M11" s="31">
        <v>3517</v>
      </c>
      <c r="N11" s="33">
        <v>4163</v>
      </c>
      <c r="O11" s="6"/>
      <c r="P11" s="6"/>
    </row>
    <row r="12" spans="1:17" ht="15" customHeight="1" x14ac:dyDescent="0.2">
      <c r="A12" s="7"/>
      <c r="B12" s="47" t="s">
        <v>48</v>
      </c>
      <c r="C12" s="28" t="s">
        <v>49</v>
      </c>
      <c r="D12" s="29">
        <v>157.24</v>
      </c>
      <c r="E12" s="30">
        <v>647.70000000000005</v>
      </c>
      <c r="F12" s="31">
        <v>120040</v>
      </c>
      <c r="G12" s="31">
        <v>101840</v>
      </c>
      <c r="H12" s="32">
        <v>14477</v>
      </c>
      <c r="I12" s="31">
        <v>17107</v>
      </c>
      <c r="J12" s="33">
        <v>16899</v>
      </c>
      <c r="K12" s="32">
        <v>9040</v>
      </c>
      <c r="L12" s="33">
        <v>8978</v>
      </c>
      <c r="M12" s="31">
        <v>5118</v>
      </c>
      <c r="N12" s="33">
        <v>4915</v>
      </c>
      <c r="O12" s="6"/>
      <c r="P12" s="6"/>
    </row>
    <row r="13" spans="1:17" ht="15" customHeight="1" x14ac:dyDescent="0.2">
      <c r="A13" s="7"/>
      <c r="B13" s="47" t="s">
        <v>50</v>
      </c>
      <c r="C13" s="28" t="s">
        <v>51</v>
      </c>
      <c r="D13" s="29">
        <v>199.07</v>
      </c>
      <c r="E13" s="30">
        <v>226.14</v>
      </c>
      <c r="F13" s="31">
        <v>60090</v>
      </c>
      <c r="G13" s="31">
        <v>45017</v>
      </c>
      <c r="H13" s="32">
        <v>11142</v>
      </c>
      <c r="I13" s="31">
        <v>12745</v>
      </c>
      <c r="J13" s="33">
        <v>12320</v>
      </c>
      <c r="K13" s="32">
        <v>6043</v>
      </c>
      <c r="L13" s="33">
        <v>4688</v>
      </c>
      <c r="M13" s="31">
        <v>3270</v>
      </c>
      <c r="N13" s="33">
        <v>2090</v>
      </c>
      <c r="O13" s="6"/>
      <c r="P13" s="6"/>
    </row>
    <row r="14" spans="1:17" ht="15" customHeight="1" x14ac:dyDescent="0.2">
      <c r="A14" s="7"/>
      <c r="B14" s="47" t="s">
        <v>52</v>
      </c>
      <c r="C14" s="28" t="s">
        <v>53</v>
      </c>
      <c r="D14" s="29">
        <v>23.32</v>
      </c>
      <c r="E14" s="30">
        <v>81.87</v>
      </c>
      <c r="F14" s="31">
        <v>7580</v>
      </c>
      <c r="G14" s="31">
        <v>1909</v>
      </c>
      <c r="H14" s="32">
        <v>1516</v>
      </c>
      <c r="I14" s="31">
        <v>1977</v>
      </c>
      <c r="J14" s="33">
        <v>2451</v>
      </c>
      <c r="K14" s="32">
        <v>334</v>
      </c>
      <c r="L14" s="33">
        <v>658</v>
      </c>
      <c r="M14" s="31">
        <v>86</v>
      </c>
      <c r="N14" s="33">
        <v>94</v>
      </c>
      <c r="O14" s="6"/>
      <c r="P14" s="6"/>
    </row>
    <row r="15" spans="1:17" ht="15" customHeight="1" x14ac:dyDescent="0.2">
      <c r="A15" s="7"/>
      <c r="B15" s="50" t="s">
        <v>54</v>
      </c>
      <c r="C15" s="51" t="s">
        <v>55</v>
      </c>
      <c r="D15" s="52">
        <v>215.33</v>
      </c>
      <c r="E15" s="53">
        <v>609.6</v>
      </c>
      <c r="F15" s="54">
        <v>161370</v>
      </c>
      <c r="G15" s="54">
        <v>127650</v>
      </c>
      <c r="H15" s="55">
        <v>21804</v>
      </c>
      <c r="I15" s="54">
        <v>24875</v>
      </c>
      <c r="J15" s="56">
        <v>24140</v>
      </c>
      <c r="K15" s="55">
        <v>12589</v>
      </c>
      <c r="L15" s="56">
        <v>11860</v>
      </c>
      <c r="M15" s="54">
        <v>6998</v>
      </c>
      <c r="N15" s="56">
        <v>6365</v>
      </c>
      <c r="O15" s="6"/>
      <c r="P15" s="6"/>
    </row>
    <row r="16" spans="1:17" ht="15" customHeight="1" thickBot="1" x14ac:dyDescent="0.25">
      <c r="A16" s="7"/>
      <c r="B16" s="48" t="s">
        <v>56</v>
      </c>
      <c r="C16" s="34" t="s">
        <v>57</v>
      </c>
      <c r="D16" s="35">
        <v>16.09</v>
      </c>
      <c r="E16" s="36">
        <v>540</v>
      </c>
      <c r="F16" s="37">
        <v>12620</v>
      </c>
      <c r="G16" s="37">
        <v>8490</v>
      </c>
      <c r="H16" s="38">
        <v>774</v>
      </c>
      <c r="I16" s="37">
        <v>1606</v>
      </c>
      <c r="J16" s="39">
        <v>1962</v>
      </c>
      <c r="K16" s="38">
        <v>460</v>
      </c>
      <c r="L16" s="39">
        <v>617</v>
      </c>
      <c r="M16" s="37">
        <v>252</v>
      </c>
      <c r="N16" s="39">
        <v>358</v>
      </c>
      <c r="O16" s="6"/>
      <c r="P16" s="6"/>
    </row>
    <row r="17" spans="2:31" ht="15" customHeight="1" thickBot="1" x14ac:dyDescent="0.25"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44"/>
      <c r="O17" s="44"/>
      <c r="P17" s="6"/>
      <c r="Q17" s="6"/>
    </row>
    <row r="18" spans="2:31" ht="15" customHeight="1" x14ac:dyDescent="0.2">
      <c r="B18" s="260" t="s">
        <v>32</v>
      </c>
      <c r="C18" s="267" t="s">
        <v>58</v>
      </c>
      <c r="D18" s="263"/>
      <c r="E18" s="262" t="s">
        <v>59</v>
      </c>
      <c r="F18" s="263"/>
      <c r="G18" s="262" t="s">
        <v>60</v>
      </c>
      <c r="H18" s="263"/>
      <c r="I18" s="262" t="s">
        <v>61</v>
      </c>
      <c r="J18" s="263"/>
      <c r="K18" s="262" t="s">
        <v>62</v>
      </c>
      <c r="L18" s="263"/>
      <c r="M18" s="262" t="s">
        <v>63</v>
      </c>
      <c r="N18" s="263"/>
    </row>
    <row r="19" spans="2:31" ht="15" customHeight="1" thickBot="1" x14ac:dyDescent="0.25">
      <c r="B19" s="261"/>
      <c r="C19" s="254">
        <v>2022</v>
      </c>
      <c r="D19" s="10">
        <v>2023</v>
      </c>
      <c r="E19" s="9">
        <v>2022</v>
      </c>
      <c r="F19" s="10">
        <v>2023</v>
      </c>
      <c r="G19" s="9">
        <v>2022</v>
      </c>
      <c r="H19" s="10">
        <v>2023</v>
      </c>
      <c r="I19" s="9">
        <v>2022</v>
      </c>
      <c r="J19" s="10">
        <v>2023</v>
      </c>
      <c r="K19" s="9">
        <v>2022</v>
      </c>
      <c r="L19" s="10">
        <v>2023</v>
      </c>
      <c r="M19" s="9">
        <v>2022</v>
      </c>
      <c r="N19" s="10">
        <v>2023</v>
      </c>
      <c r="O19" s="6"/>
      <c r="P19" s="6"/>
      <c r="Q19" s="8"/>
      <c r="R19" s="5"/>
    </row>
    <row r="20" spans="2:31" ht="15" customHeight="1" thickBot="1" x14ac:dyDescent="0.25">
      <c r="B20" s="255" t="s">
        <v>36</v>
      </c>
      <c r="C20" s="102">
        <f t="shared" ref="C20:C30" si="0">I6/H6-1</f>
        <v>0.18615237182558686</v>
      </c>
      <c r="D20" s="103">
        <f t="shared" ref="D20:D30" si="1">J6/I6-1</f>
        <v>-1.608065710630846E-2</v>
      </c>
      <c r="E20" s="102">
        <f t="shared" ref="E20:E30" si="2">K6/I6</f>
        <v>0.49781188985390157</v>
      </c>
      <c r="F20" s="103">
        <f t="shared" ref="F20:F30" si="3">L6/J6</f>
        <v>0.48919574817673328</v>
      </c>
      <c r="G20" s="102">
        <f t="shared" ref="G20:G30" si="4">M6/I6</f>
        <v>0.26311048273076149</v>
      </c>
      <c r="H20" s="103">
        <f t="shared" ref="H20:H30" si="5">N6/J6</f>
        <v>0.25285021630400228</v>
      </c>
      <c r="I20" s="104">
        <f t="shared" ref="I20:L30" si="6">$F6/I6</f>
        <v>5.4226788998855451</v>
      </c>
      <c r="J20" s="105">
        <f t="shared" si="6"/>
        <v>5.511304294453172</v>
      </c>
      <c r="K20" s="104">
        <f t="shared" si="6"/>
        <v>10.893028090343522</v>
      </c>
      <c r="L20" s="105">
        <f t="shared" si="6"/>
        <v>11.266051095076332</v>
      </c>
      <c r="M20" s="104">
        <f t="shared" ref="M20:N30" si="7">$G6/M6</f>
        <v>16.380853970593503</v>
      </c>
      <c r="N20" s="105">
        <f t="shared" si="7"/>
        <v>17.32414708085534</v>
      </c>
      <c r="O20" s="7"/>
      <c r="P20" s="7"/>
      <c r="Q20" s="49"/>
      <c r="R20" s="49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</row>
    <row r="21" spans="2:31" ht="15" customHeight="1" x14ac:dyDescent="0.2">
      <c r="B21" s="46" t="s">
        <v>38</v>
      </c>
      <c r="C21" s="108">
        <f t="shared" si="0"/>
        <v>1.4217619986850671E-2</v>
      </c>
      <c r="D21" s="115">
        <f t="shared" si="1"/>
        <v>-0.11676525403127791</v>
      </c>
      <c r="E21" s="116">
        <f t="shared" si="2"/>
        <v>0.1078518758609513</v>
      </c>
      <c r="F21" s="115">
        <f t="shared" si="3"/>
        <v>0.16311926605504587</v>
      </c>
      <c r="G21" s="116">
        <f t="shared" si="4"/>
        <v>7.8518758609513004E-2</v>
      </c>
      <c r="H21" s="115">
        <f t="shared" si="5"/>
        <v>7.1192660550458711E-2</v>
      </c>
      <c r="I21" s="109">
        <f t="shared" si="6"/>
        <v>1.6408718904464792</v>
      </c>
      <c r="J21" s="114">
        <f t="shared" si="6"/>
        <v>1.8577981651376148</v>
      </c>
      <c r="K21" s="109">
        <f t="shared" si="6"/>
        <v>15.214124718256949</v>
      </c>
      <c r="L21" s="114">
        <f t="shared" si="6"/>
        <v>11.389201349831271</v>
      </c>
      <c r="M21" s="109">
        <f t="shared" si="7"/>
        <v>19.401444788441694</v>
      </c>
      <c r="N21" s="114">
        <f t="shared" si="7"/>
        <v>24.226804123711339</v>
      </c>
      <c r="O21" s="6"/>
      <c r="P21" s="6"/>
      <c r="Q21" s="57"/>
      <c r="S21" s="7"/>
      <c r="T21" s="7"/>
      <c r="U21" s="7"/>
      <c r="AE21" s="43"/>
    </row>
    <row r="22" spans="2:31" ht="15" customHeight="1" x14ac:dyDescent="0.2">
      <c r="B22" s="47" t="s">
        <v>40</v>
      </c>
      <c r="C22" s="110">
        <f t="shared" si="0"/>
        <v>-0.10612244897959178</v>
      </c>
      <c r="D22" s="117">
        <f t="shared" si="1"/>
        <v>-3.6149162861490725E-3</v>
      </c>
      <c r="E22" s="118">
        <f t="shared" si="2"/>
        <v>9.0372907153729073E-2</v>
      </c>
      <c r="F22" s="117">
        <f t="shared" si="3"/>
        <v>0.10101202978804658</v>
      </c>
      <c r="G22" s="118">
        <f t="shared" si="4"/>
        <v>5.0038051750380515E-2</v>
      </c>
      <c r="H22" s="117">
        <f t="shared" si="5"/>
        <v>6.721405384762269E-2</v>
      </c>
      <c r="I22" s="111">
        <f t="shared" si="6"/>
        <v>2.1537290715372905</v>
      </c>
      <c r="J22" s="106">
        <f t="shared" si="6"/>
        <v>2.1615428680542292</v>
      </c>
      <c r="K22" s="111">
        <f t="shared" si="6"/>
        <v>23.831578947368421</v>
      </c>
      <c r="L22" s="106">
        <f t="shared" si="6"/>
        <v>21.398865784499055</v>
      </c>
      <c r="M22" s="111">
        <f t="shared" si="7"/>
        <v>39.087452471482891</v>
      </c>
      <c r="N22" s="106">
        <f t="shared" si="7"/>
        <v>29.204545454545453</v>
      </c>
      <c r="O22" s="6"/>
      <c r="P22" s="6"/>
      <c r="Q22" s="57"/>
      <c r="T22" s="7"/>
      <c r="U22" s="7"/>
    </row>
    <row r="23" spans="2:31" ht="15" customHeight="1" x14ac:dyDescent="0.2">
      <c r="B23" s="47" t="s">
        <v>42</v>
      </c>
      <c r="C23" s="110">
        <f t="shared" si="0"/>
        <v>0.19101978691019794</v>
      </c>
      <c r="D23" s="117">
        <f t="shared" si="1"/>
        <v>-6.3578274760383358E-2</v>
      </c>
      <c r="E23" s="118">
        <f t="shared" si="2"/>
        <v>0.29424920127795529</v>
      </c>
      <c r="F23" s="117">
        <f t="shared" si="3"/>
        <v>0.28232685090412829</v>
      </c>
      <c r="G23" s="118">
        <f t="shared" si="4"/>
        <v>0.21996805111821086</v>
      </c>
      <c r="H23" s="117">
        <f t="shared" si="5"/>
        <v>0.21153190037529854</v>
      </c>
      <c r="I23" s="111">
        <f t="shared" si="6"/>
        <v>7.0271565495207664</v>
      </c>
      <c r="J23" s="106">
        <f t="shared" si="6"/>
        <v>7.5042647560559539</v>
      </c>
      <c r="K23" s="111">
        <f t="shared" si="6"/>
        <v>23.881650380021714</v>
      </c>
      <c r="L23" s="106">
        <f t="shared" si="6"/>
        <v>26.580060422960724</v>
      </c>
      <c r="M23" s="111">
        <f t="shared" si="7"/>
        <v>32.040668119099493</v>
      </c>
      <c r="N23" s="106">
        <f t="shared" si="7"/>
        <v>35.58064516129032</v>
      </c>
      <c r="O23" s="6"/>
      <c r="P23" s="6"/>
      <c r="Q23" s="57"/>
      <c r="T23" s="43"/>
      <c r="U23" s="43"/>
    </row>
    <row r="24" spans="2:31" ht="15" customHeight="1" x14ac:dyDescent="0.2">
      <c r="B24" s="47" t="s">
        <v>44</v>
      </c>
      <c r="C24" s="110">
        <f t="shared" si="0"/>
        <v>-1.1569416498994012E-2</v>
      </c>
      <c r="D24" s="117">
        <f t="shared" si="1"/>
        <v>9.8473282442748111E-2</v>
      </c>
      <c r="E24" s="118">
        <f t="shared" si="2"/>
        <v>8.1933842239185747E-2</v>
      </c>
      <c r="F24" s="117">
        <f t="shared" si="3"/>
        <v>8.5012740328932135E-2</v>
      </c>
      <c r="G24" s="118">
        <f t="shared" si="4"/>
        <v>1.9083969465648856E-2</v>
      </c>
      <c r="H24" s="117">
        <f t="shared" si="5"/>
        <v>3.775770210794533E-2</v>
      </c>
      <c r="I24" s="111">
        <f t="shared" si="6"/>
        <v>0.97073791348600513</v>
      </c>
      <c r="J24" s="106">
        <f t="shared" si="6"/>
        <v>0.88371554320129719</v>
      </c>
      <c r="K24" s="111">
        <f t="shared" si="6"/>
        <v>11.847826086956522</v>
      </c>
      <c r="L24" s="106">
        <f t="shared" si="6"/>
        <v>10.395095367847411</v>
      </c>
      <c r="M24" s="111">
        <f t="shared" si="7"/>
        <v>47.893333333333331</v>
      </c>
      <c r="N24" s="106">
        <f t="shared" si="7"/>
        <v>22.036809815950921</v>
      </c>
      <c r="O24" s="6"/>
      <c r="P24" s="6"/>
      <c r="Q24" s="57"/>
      <c r="T24" s="43"/>
      <c r="U24" s="43"/>
    </row>
    <row r="25" spans="2:31" ht="15" customHeight="1" x14ac:dyDescent="0.2">
      <c r="B25" s="47" t="s">
        <v>46</v>
      </c>
      <c r="C25" s="110">
        <f t="shared" si="0"/>
        <v>0.10243902439024399</v>
      </c>
      <c r="D25" s="117">
        <f t="shared" si="1"/>
        <v>0.275357385976855</v>
      </c>
      <c r="E25" s="118">
        <f t="shared" si="2"/>
        <v>0.64102564102564108</v>
      </c>
      <c r="F25" s="117">
        <f t="shared" si="3"/>
        <v>-8.3355573347566936E-2</v>
      </c>
      <c r="G25" s="118">
        <f t="shared" si="4"/>
        <v>0.39902427955525299</v>
      </c>
      <c r="H25" s="117">
        <f t="shared" si="5"/>
        <v>0.37034071701805887</v>
      </c>
      <c r="I25" s="111">
        <f t="shared" si="6"/>
        <v>9.4520081688223279</v>
      </c>
      <c r="J25" s="106">
        <f t="shared" si="6"/>
        <v>7.4112623432078992</v>
      </c>
      <c r="K25" s="111">
        <f t="shared" si="6"/>
        <v>14.745132743362833</v>
      </c>
      <c r="L25" s="106">
        <f t="shared" si="6"/>
        <v>-88.911419423692635</v>
      </c>
      <c r="M25" s="111">
        <f t="shared" si="7"/>
        <v>18.91953369348877</v>
      </c>
      <c r="N25" s="106">
        <f t="shared" si="7"/>
        <v>15.98366562575066</v>
      </c>
      <c r="O25" s="6"/>
      <c r="P25" s="6"/>
      <c r="Q25" s="57"/>
      <c r="T25" s="43"/>
      <c r="U25" s="43"/>
    </row>
    <row r="26" spans="2:31" ht="15" customHeight="1" x14ac:dyDescent="0.2">
      <c r="B26" s="47" t="s">
        <v>48</v>
      </c>
      <c r="C26" s="110">
        <f t="shared" si="0"/>
        <v>0.18166747254265392</v>
      </c>
      <c r="D26" s="117">
        <f t="shared" si="1"/>
        <v>-1.2158765417665252E-2</v>
      </c>
      <c r="E26" s="118">
        <f t="shared" si="2"/>
        <v>0.52843865084468344</v>
      </c>
      <c r="F26" s="117">
        <f t="shared" si="3"/>
        <v>0.53127403988401678</v>
      </c>
      <c r="G26" s="118">
        <f t="shared" si="4"/>
        <v>0.29917577599812945</v>
      </c>
      <c r="H26" s="117">
        <f t="shared" si="5"/>
        <v>0.29084561216640037</v>
      </c>
      <c r="I26" s="111">
        <f t="shared" si="6"/>
        <v>7.0170105804641372</v>
      </c>
      <c r="J26" s="106">
        <f t="shared" si="6"/>
        <v>7.1033788981596544</v>
      </c>
      <c r="K26" s="111">
        <f t="shared" si="6"/>
        <v>13.278761061946902</v>
      </c>
      <c r="L26" s="106">
        <f t="shared" si="6"/>
        <v>13.370461127199821</v>
      </c>
      <c r="M26" s="111">
        <f t="shared" si="7"/>
        <v>19.898397811645175</v>
      </c>
      <c r="N26" s="106">
        <f t="shared" si="7"/>
        <v>20.720244150559513</v>
      </c>
      <c r="O26" s="6"/>
      <c r="P26" s="6"/>
      <c r="Q26" s="57"/>
      <c r="T26" s="43"/>
      <c r="U26" s="43"/>
    </row>
    <row r="27" spans="2:31" ht="15" customHeight="1" x14ac:dyDescent="0.2">
      <c r="B27" s="47" t="s">
        <v>50</v>
      </c>
      <c r="C27" s="110">
        <f t="shared" si="0"/>
        <v>0.14387004128522718</v>
      </c>
      <c r="D27" s="117">
        <f t="shared" si="1"/>
        <v>-3.3346410357002698E-2</v>
      </c>
      <c r="E27" s="118">
        <f t="shared" si="2"/>
        <v>0.4741467242055708</v>
      </c>
      <c r="F27" s="117">
        <f t="shared" si="3"/>
        <v>0.38051948051948054</v>
      </c>
      <c r="G27" s="118">
        <f t="shared" si="4"/>
        <v>0.25657120439387993</v>
      </c>
      <c r="H27" s="117">
        <f t="shared" si="5"/>
        <v>0.16964285714285715</v>
      </c>
      <c r="I27" s="111">
        <f t="shared" si="6"/>
        <v>4.714790113770106</v>
      </c>
      <c r="J27" s="106">
        <f t="shared" si="6"/>
        <v>4.8774350649350646</v>
      </c>
      <c r="K27" s="111">
        <f t="shared" si="6"/>
        <v>9.9437365546913785</v>
      </c>
      <c r="L27" s="106">
        <f t="shared" si="6"/>
        <v>12.81783276450512</v>
      </c>
      <c r="M27" s="111">
        <f t="shared" si="7"/>
        <v>13.766666666666667</v>
      </c>
      <c r="N27" s="106">
        <f t="shared" si="7"/>
        <v>21.539234449760766</v>
      </c>
      <c r="O27" s="6"/>
      <c r="P27" s="6"/>
      <c r="Q27" s="57"/>
      <c r="T27" s="43"/>
      <c r="U27" s="43"/>
    </row>
    <row r="28" spans="2:31" ht="15" customHeight="1" x14ac:dyDescent="0.2">
      <c r="B28" s="47" t="s">
        <v>52</v>
      </c>
      <c r="C28" s="110">
        <f t="shared" si="0"/>
        <v>0.30408970976253302</v>
      </c>
      <c r="D28" s="117">
        <f t="shared" si="1"/>
        <v>0.23975720789074351</v>
      </c>
      <c r="E28" s="118">
        <f t="shared" si="2"/>
        <v>0.16894284269094587</v>
      </c>
      <c r="F28" s="117">
        <f t="shared" si="3"/>
        <v>0.26846185230518155</v>
      </c>
      <c r="G28" s="118">
        <f t="shared" si="4"/>
        <v>4.350025290844714E-2</v>
      </c>
      <c r="H28" s="117">
        <f t="shared" si="5"/>
        <v>3.8351693186454511E-2</v>
      </c>
      <c r="I28" s="111">
        <f t="shared" si="6"/>
        <v>3.8340920586747598</v>
      </c>
      <c r="J28" s="106">
        <f t="shared" si="6"/>
        <v>3.0926152590779274</v>
      </c>
      <c r="K28" s="111">
        <f t="shared" si="6"/>
        <v>22.694610778443113</v>
      </c>
      <c r="L28" s="106">
        <f t="shared" si="6"/>
        <v>11.519756838905774</v>
      </c>
      <c r="M28" s="111">
        <f t="shared" si="7"/>
        <v>22.197674418604652</v>
      </c>
      <c r="N28" s="106">
        <f t="shared" si="7"/>
        <v>20.308510638297872</v>
      </c>
      <c r="O28" s="6"/>
      <c r="P28" s="6"/>
      <c r="Q28" s="57"/>
      <c r="T28" s="43"/>
      <c r="U28" s="43"/>
    </row>
    <row r="29" spans="2:31" ht="15" customHeight="1" x14ac:dyDescent="0.2">
      <c r="B29" s="50" t="s">
        <v>54</v>
      </c>
      <c r="C29" s="110">
        <f t="shared" si="0"/>
        <v>0.14084571638231513</v>
      </c>
      <c r="D29" s="117">
        <f t="shared" si="1"/>
        <v>-2.9547738693467385E-2</v>
      </c>
      <c r="E29" s="118">
        <f t="shared" si="2"/>
        <v>0.50609045226130656</v>
      </c>
      <c r="F29" s="117">
        <f t="shared" si="3"/>
        <v>0.49130074565037285</v>
      </c>
      <c r="G29" s="118">
        <f t="shared" si="4"/>
        <v>0.28132663316582912</v>
      </c>
      <c r="H29" s="117">
        <f t="shared" si="5"/>
        <v>0.2636702568351284</v>
      </c>
      <c r="I29" s="111">
        <f t="shared" si="6"/>
        <v>6.4872361809045227</v>
      </c>
      <c r="J29" s="106">
        <f t="shared" si="6"/>
        <v>6.6847555923777966</v>
      </c>
      <c r="K29" s="111">
        <f t="shared" si="6"/>
        <v>12.818333465724045</v>
      </c>
      <c r="L29" s="106">
        <f t="shared" si="6"/>
        <v>13.606239460370995</v>
      </c>
      <c r="M29" s="111">
        <f t="shared" si="7"/>
        <v>18.240925978851099</v>
      </c>
      <c r="N29" s="106">
        <f t="shared" si="7"/>
        <v>20.054988216810685</v>
      </c>
      <c r="O29" s="6"/>
      <c r="P29" s="6"/>
      <c r="Q29" s="57"/>
      <c r="T29" s="43"/>
      <c r="U29" s="43"/>
    </row>
    <row r="30" spans="2:31" ht="15" customHeight="1" thickBot="1" x14ac:dyDescent="0.25">
      <c r="B30" s="48" t="s">
        <v>56</v>
      </c>
      <c r="C30" s="112">
        <f t="shared" si="0"/>
        <v>1.0749354005167957</v>
      </c>
      <c r="D30" s="119">
        <f t="shared" si="1"/>
        <v>0.22166874221668742</v>
      </c>
      <c r="E30" s="120">
        <f t="shared" si="2"/>
        <v>0.28642590286425901</v>
      </c>
      <c r="F30" s="119">
        <f t="shared" si="3"/>
        <v>0.31447502548419981</v>
      </c>
      <c r="G30" s="120">
        <f t="shared" si="4"/>
        <v>0.1569115815691158</v>
      </c>
      <c r="H30" s="119">
        <f t="shared" si="5"/>
        <v>0.18246687054026503</v>
      </c>
      <c r="I30" s="113">
        <f t="shared" si="6"/>
        <v>7.8580323785803241</v>
      </c>
      <c r="J30" s="107">
        <f t="shared" si="6"/>
        <v>6.4322120285423035</v>
      </c>
      <c r="K30" s="113">
        <f t="shared" si="6"/>
        <v>27.434782608695652</v>
      </c>
      <c r="L30" s="107">
        <f t="shared" si="6"/>
        <v>20.453808752025932</v>
      </c>
      <c r="M30" s="113">
        <f t="shared" si="7"/>
        <v>33.69047619047619</v>
      </c>
      <c r="N30" s="107">
        <f t="shared" si="7"/>
        <v>23.715083798882681</v>
      </c>
      <c r="O30" s="6"/>
      <c r="P30" s="6"/>
      <c r="Q30" s="57"/>
      <c r="T30" s="43"/>
      <c r="U30" s="43"/>
    </row>
    <row r="31" spans="2:31" ht="15" customHeight="1" thickBot="1" x14ac:dyDescent="0.25">
      <c r="B31" s="122"/>
      <c r="C31" s="40"/>
      <c r="D31" s="41"/>
      <c r="E31" s="41"/>
      <c r="F31" s="41"/>
      <c r="G31" s="41"/>
      <c r="H31" s="41"/>
      <c r="I31" s="41"/>
      <c r="J31" s="42"/>
      <c r="K31" s="42"/>
      <c r="L31" s="42"/>
      <c r="M31" s="42"/>
      <c r="N31" s="42"/>
      <c r="O31" s="256"/>
      <c r="P31" s="6"/>
      <c r="Q31" s="6"/>
      <c r="U31" s="43"/>
      <c r="V31" s="43"/>
    </row>
    <row r="32" spans="2:31" ht="15" customHeight="1" thickBot="1" x14ac:dyDescent="0.25">
      <c r="B32" s="6"/>
      <c r="C32" s="216"/>
      <c r="D32" s="264" t="s">
        <v>64</v>
      </c>
      <c r="E32" s="265"/>
      <c r="F32" s="266"/>
      <c r="G32" s="264" t="s">
        <v>9</v>
      </c>
      <c r="H32" s="265"/>
      <c r="I32" s="265"/>
      <c r="J32" s="264" t="s">
        <v>16</v>
      </c>
      <c r="K32" s="265"/>
      <c r="L32" s="266"/>
      <c r="M32" s="216" t="s">
        <v>65</v>
      </c>
      <c r="N32" s="216"/>
      <c r="O32" s="216"/>
      <c r="P32" s="6"/>
      <c r="Q32" s="6"/>
      <c r="R32" s="6"/>
    </row>
    <row r="33" spans="2:18" ht="15" customHeight="1" thickBot="1" x14ac:dyDescent="0.25">
      <c r="B33" s="6"/>
      <c r="C33" s="6"/>
      <c r="D33" s="217" t="s">
        <v>66</v>
      </c>
      <c r="E33" s="201" t="s">
        <v>67</v>
      </c>
      <c r="F33" s="218" t="s">
        <v>68</v>
      </c>
      <c r="G33" s="217" t="s">
        <v>66</v>
      </c>
      <c r="H33" s="201" t="s">
        <v>67</v>
      </c>
      <c r="I33" s="201" t="s">
        <v>69</v>
      </c>
      <c r="J33" s="217" t="s">
        <v>66</v>
      </c>
      <c r="K33" s="201" t="s">
        <v>67</v>
      </c>
      <c r="L33" s="230" t="s">
        <v>69</v>
      </c>
      <c r="M33" s="246" t="s">
        <v>21</v>
      </c>
      <c r="N33" s="201"/>
      <c r="O33" s="201"/>
      <c r="P33" s="6"/>
      <c r="Q33" s="6"/>
      <c r="R33" s="6"/>
    </row>
    <row r="34" spans="2:18" ht="15" customHeight="1" x14ac:dyDescent="0.2">
      <c r="B34" s="202"/>
      <c r="C34" s="202" t="s">
        <v>70</v>
      </c>
      <c r="D34" s="219">
        <f>MIN(reve)</f>
        <v>1.8577981651376148</v>
      </c>
      <c r="E34" s="203">
        <f>MIN(ebi)</f>
        <v>10.395095367847411</v>
      </c>
      <c r="F34" s="220">
        <f>MIN(N20:N30)</f>
        <v>15.98366562575066</v>
      </c>
      <c r="G34" s="231">
        <f>D34*$J$6</f>
        <v>27150.148486238533</v>
      </c>
      <c r="H34" s="204">
        <f>E34*$L$6</f>
        <v>74316.428692098081</v>
      </c>
      <c r="I34" s="204">
        <f t="shared" ref="I34:I40" si="8">N$6*F34</f>
        <v>59062.713350948834</v>
      </c>
      <c r="J34" s="231">
        <f>G34+cash-debt</f>
        <v>10633.148486238533</v>
      </c>
      <c r="K34" s="204">
        <f t="shared" ref="J34:L40" si="9">H34+cash-debt</f>
        <v>57799.428692098081</v>
      </c>
      <c r="L34" s="232">
        <f t="shared" si="9"/>
        <v>42545.713350948834</v>
      </c>
      <c r="M34" s="247">
        <f t="shared" ref="M34:M40" si="10">K34/E$6</f>
        <v>29.250723022316844</v>
      </c>
      <c r="N34" s="244"/>
      <c r="O34" s="244"/>
      <c r="P34" s="6"/>
      <c r="Q34" s="6"/>
      <c r="R34" s="6"/>
    </row>
    <row r="35" spans="2:18" ht="15" customHeight="1" x14ac:dyDescent="0.2">
      <c r="B35" s="205"/>
      <c r="C35" s="205" t="s">
        <v>71</v>
      </c>
      <c r="D35" s="221">
        <f>QUARTILE(reve,1)</f>
        <v>3.5388202105422115</v>
      </c>
      <c r="E35" s="206">
        <f>QUARTILE(ebi,1)</f>
        <v>11.421840222099897</v>
      </c>
      <c r="F35" s="222">
        <f>QUARTILE(N20:N30,1)</f>
        <v>20.18174942755428</v>
      </c>
      <c r="G35" s="233">
        <f>D35*$J$6</f>
        <v>51716.863535176308</v>
      </c>
      <c r="H35" s="207">
        <f>E35*$L$6</f>
        <v>81656.814522712579</v>
      </c>
      <c r="I35" s="207">
        <f t="shared" si="8"/>
        <v>74575.439030703157</v>
      </c>
      <c r="J35" s="243">
        <f t="shared" si="9"/>
        <v>35199.863535176308</v>
      </c>
      <c r="K35" s="207">
        <f t="shared" si="9"/>
        <v>65139.814522712579</v>
      </c>
      <c r="L35" s="234">
        <f t="shared" si="9"/>
        <v>58058.439030703157</v>
      </c>
      <c r="M35" s="248">
        <f t="shared" si="10"/>
        <v>32.965493179510418</v>
      </c>
      <c r="N35" s="245"/>
      <c r="O35" s="245"/>
      <c r="P35" s="6"/>
      <c r="Q35" s="6"/>
      <c r="R35" s="6"/>
    </row>
    <row r="36" spans="2:18" ht="15" customHeight="1" x14ac:dyDescent="0.2">
      <c r="B36" s="208"/>
      <c r="C36" s="208" t="s">
        <v>72</v>
      </c>
      <c r="D36" s="223">
        <f>D37-0.674*_xlfn.STDEV.S(reve)/SQRT(11)</f>
        <v>4.8217943072852307</v>
      </c>
      <c r="E36" s="209">
        <f>E37-0.674*_xlfn.STDEV.S(ebi)/SQRT(11)</f>
        <v>14.159139889340807</v>
      </c>
      <c r="F36" s="224">
        <f>F37-0.674*_xlfn.STDEV.S(N20:N30)/SQRT(11)</f>
        <v>21.670097685894124</v>
      </c>
      <c r="G36" s="235">
        <f t="shared" ref="G36:G38" si="11">D36*$J$6</f>
        <v>70466.44456298968</v>
      </c>
      <c r="H36" s="210">
        <f t="shared" ref="H36:H38" si="12">E36*$L$6</f>
        <v>101226.26803235729</v>
      </c>
      <c r="I36" s="210">
        <f t="shared" si="8"/>
        <v>80075.171608134478</v>
      </c>
      <c r="J36" s="239">
        <f t="shared" ref="J36:J38" si="13">G36+cash-debt</f>
        <v>53949.44456298968</v>
      </c>
      <c r="K36" s="210">
        <f t="shared" ref="K36:K38" si="14">H36+cash-debt</f>
        <v>84709.268032357286</v>
      </c>
      <c r="L36" s="236">
        <f t="shared" ref="L36:L38" si="15">I36+cash-debt</f>
        <v>63558.171608134478</v>
      </c>
      <c r="M36" s="249">
        <f t="shared" si="10"/>
        <v>42.869062769411585</v>
      </c>
      <c r="N36" s="245"/>
      <c r="O36" s="245"/>
      <c r="P36" s="6"/>
      <c r="Q36" s="6"/>
      <c r="R36" s="6"/>
    </row>
    <row r="37" spans="2:18" ht="15" customHeight="1" x14ac:dyDescent="0.2">
      <c r="B37" s="211"/>
      <c r="C37" s="211" t="s">
        <v>73</v>
      </c>
      <c r="D37" s="225">
        <f>AVERAGE(reve)</f>
        <v>5.2636569270001612</v>
      </c>
      <c r="E37" s="212">
        <f>AVERAGE(ebi)</f>
        <v>15.279737296322244</v>
      </c>
      <c r="F37" s="226">
        <f>AVERAGE(N20:N30)</f>
        <v>22.790425319674139</v>
      </c>
      <c r="G37" s="237">
        <f t="shared" si="11"/>
        <v>76923.89293434711</v>
      </c>
      <c r="H37" s="213">
        <f t="shared" si="12"/>
        <v>109237.62284359564</v>
      </c>
      <c r="I37" s="213">
        <f t="shared" si="8"/>
        <v>84214.997317857313</v>
      </c>
      <c r="J37" s="237">
        <f t="shared" si="13"/>
        <v>60406.89293434711</v>
      </c>
      <c r="K37" s="213">
        <f t="shared" si="14"/>
        <v>92720.622843595644</v>
      </c>
      <c r="L37" s="238">
        <f t="shared" si="15"/>
        <v>67697.997317857313</v>
      </c>
      <c r="M37" s="250">
        <f t="shared" si="10"/>
        <v>46.923392127325734</v>
      </c>
      <c r="N37" s="245"/>
      <c r="O37" s="245"/>
      <c r="P37" s="6"/>
      <c r="Q37" s="165"/>
      <c r="R37" s="165"/>
    </row>
    <row r="38" spans="2:18" ht="15" customHeight="1" x14ac:dyDescent="0.2">
      <c r="B38" s="214"/>
      <c r="C38" s="214" t="s">
        <v>74</v>
      </c>
      <c r="D38" s="223">
        <f>D37+0.674*_xlfn.STDEV.S(reve)/SQRT(11)</f>
        <v>5.7055195467150916</v>
      </c>
      <c r="E38" s="209">
        <f>E37+0.674*_xlfn.STDEV.S(ebi)/SQRT(11)</f>
        <v>16.400334703303681</v>
      </c>
      <c r="F38" s="224">
        <f>F37+0.674*_xlfn.STDEV.S(N20:N30)/SQRT(11)</f>
        <v>23.910752953454153</v>
      </c>
      <c r="G38" s="239">
        <f t="shared" si="11"/>
        <v>83381.34130570454</v>
      </c>
      <c r="H38" s="210">
        <f t="shared" si="12"/>
        <v>117248.97765483402</v>
      </c>
      <c r="I38" s="210">
        <f t="shared" si="8"/>
        <v>88354.823027580162</v>
      </c>
      <c r="J38" s="239">
        <f t="shared" si="13"/>
        <v>66864.34130570454</v>
      </c>
      <c r="K38" s="210">
        <f t="shared" si="14"/>
        <v>100731.97765483402</v>
      </c>
      <c r="L38" s="236">
        <f t="shared" si="15"/>
        <v>71837.823027580162</v>
      </c>
      <c r="M38" s="249">
        <f t="shared" si="10"/>
        <v>50.97772148523989</v>
      </c>
      <c r="N38" s="245"/>
      <c r="O38" s="245"/>
      <c r="P38" s="6"/>
      <c r="Q38" s="6"/>
      <c r="R38" s="6"/>
    </row>
    <row r="39" spans="2:18" ht="15" customHeight="1" x14ac:dyDescent="0.2">
      <c r="B39" s="205"/>
      <c r="C39" s="205" t="s">
        <v>75</v>
      </c>
      <c r="D39" s="221">
        <f>QUARTILE(reve,3)</f>
        <v>6.9987230717141902</v>
      </c>
      <c r="E39" s="206">
        <f>QUARTILE(ebi,3)</f>
        <v>18.741916429112198</v>
      </c>
      <c r="F39" s="222">
        <f>QUARTILE(N20:N30,3)</f>
        <v>23.97094396129701</v>
      </c>
      <c r="G39" s="233">
        <f>D39*$J$6</f>
        <v>102280.41677338422</v>
      </c>
      <c r="H39" s="207">
        <f>E39*$L$6</f>
        <v>133989.37158051319</v>
      </c>
      <c r="I39" s="207">
        <f t="shared" si="8"/>
        <v>88577.240358233015</v>
      </c>
      <c r="J39" s="243">
        <f t="shared" si="9"/>
        <v>85763.416773384219</v>
      </c>
      <c r="K39" s="207">
        <f t="shared" si="9"/>
        <v>117472.37158051319</v>
      </c>
      <c r="L39" s="234">
        <f t="shared" si="9"/>
        <v>72060.240358233015</v>
      </c>
      <c r="M39" s="248">
        <f t="shared" si="10"/>
        <v>59.449580759369027</v>
      </c>
      <c r="N39" s="245"/>
      <c r="O39" s="245"/>
      <c r="P39" s="6"/>
      <c r="Q39" s="6"/>
      <c r="R39" s="6"/>
    </row>
    <row r="40" spans="2:18" ht="15" customHeight="1" thickBot="1" x14ac:dyDescent="0.25">
      <c r="B40" s="215"/>
      <c r="C40" s="215" t="s">
        <v>76</v>
      </c>
      <c r="D40" s="227">
        <f>MAX(J21:J30)</f>
        <v>7.5042647560559539</v>
      </c>
      <c r="E40" s="228">
        <f>MAX(L21:L30)</f>
        <v>26.580060422960724</v>
      </c>
      <c r="F40" s="229">
        <f>MAX(N20:N30)</f>
        <v>35.58064516129032</v>
      </c>
      <c r="G40" s="240">
        <f t="shared" ref="G40" si="16">D40*$J$6</f>
        <v>109668.48080177415</v>
      </c>
      <c r="H40" s="241">
        <f t="shared" ref="H40" si="17">E40*$L$6</f>
        <v>190025.6895347432</v>
      </c>
      <c r="I40" s="241">
        <f t="shared" si="8"/>
        <v>131477.31535483871</v>
      </c>
      <c r="J40" s="240">
        <f t="shared" si="9"/>
        <v>93151.480801774145</v>
      </c>
      <c r="K40" s="241">
        <f t="shared" si="9"/>
        <v>173508.6895347432</v>
      </c>
      <c r="L40" s="242">
        <f t="shared" si="9"/>
        <v>114960.31535483871</v>
      </c>
      <c r="M40" s="251">
        <f t="shared" si="10"/>
        <v>87.808041262521868</v>
      </c>
      <c r="N40" s="245"/>
      <c r="O40" s="245"/>
      <c r="P40" s="6"/>
      <c r="Q40" s="6"/>
      <c r="R40" s="6"/>
    </row>
    <row r="41" spans="2:18" ht="15" customHeight="1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8" ht="15" customHeight="1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6" spans="2:18" ht="15" customHeight="1" x14ac:dyDescent="0.2">
      <c r="N46" s="5"/>
    </row>
  </sheetData>
  <mergeCells count="13">
    <mergeCell ref="H4:J4"/>
    <mergeCell ref="K4:L4"/>
    <mergeCell ref="M4:N4"/>
    <mergeCell ref="C18:D18"/>
    <mergeCell ref="E18:F18"/>
    <mergeCell ref="G18:H18"/>
    <mergeCell ref="B18:B19"/>
    <mergeCell ref="M18:N18"/>
    <mergeCell ref="I18:J18"/>
    <mergeCell ref="K18:L18"/>
    <mergeCell ref="D32:F32"/>
    <mergeCell ref="G32:I32"/>
    <mergeCell ref="J32:L32"/>
  </mergeCells>
  <conditionalFormatting sqref="J20:J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L3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:N3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79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58EE-C450-40B7-8139-53A0EC7E959B}">
  <dimension ref="A1:BV95"/>
  <sheetViews>
    <sheetView zoomScale="89" zoomScaleNormal="115" workbookViewId="0">
      <selection activeCell="C26" sqref="C26:J27"/>
    </sheetView>
  </sheetViews>
  <sheetFormatPr baseColWidth="10" defaultColWidth="8.83203125" defaultRowHeight="15" x14ac:dyDescent="0.2"/>
  <cols>
    <col min="1" max="1" width="61.5" bestFit="1" customWidth="1"/>
    <col min="3" max="4" width="9" bestFit="1" customWidth="1"/>
    <col min="5" max="5" width="9.1640625" bestFit="1" customWidth="1"/>
    <col min="6" max="10" width="9" bestFit="1" customWidth="1"/>
    <col min="17" max="18" width="9.1640625" bestFit="1" customWidth="1"/>
    <col min="19" max="28" width="9" bestFit="1" customWidth="1"/>
    <col min="29" max="29" width="9.1640625" bestFit="1" customWidth="1"/>
    <col min="30" max="47" width="9" bestFit="1" customWidth="1"/>
    <col min="53" max="53" width="13.5" customWidth="1"/>
    <col min="55" max="56" width="9.1640625" bestFit="1" customWidth="1"/>
    <col min="57" max="57" width="10.1640625" bestFit="1" customWidth="1"/>
    <col min="58" max="74" width="9.1640625" bestFit="1" customWidth="1"/>
  </cols>
  <sheetData>
    <row r="1" spans="1:74" ht="20" x14ac:dyDescent="0.2">
      <c r="A1" s="123" t="s">
        <v>77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O1" s="123" t="s">
        <v>78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BA1" s="123" t="s">
        <v>79</v>
      </c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</row>
    <row r="2" spans="1:74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</row>
    <row r="3" spans="1:74" x14ac:dyDescent="0.2">
      <c r="A3" s="125" t="s">
        <v>80</v>
      </c>
      <c r="B3" s="125"/>
      <c r="C3" s="126" t="s">
        <v>81</v>
      </c>
      <c r="D3" s="126" t="s">
        <v>82</v>
      </c>
      <c r="E3" s="126" t="s">
        <v>83</v>
      </c>
      <c r="F3" s="126" t="s">
        <v>84</v>
      </c>
      <c r="G3" s="126" t="s">
        <v>85</v>
      </c>
      <c r="H3" s="126" t="s">
        <v>86</v>
      </c>
      <c r="I3" s="126" t="s">
        <v>87</v>
      </c>
      <c r="J3" s="126" t="s">
        <v>88</v>
      </c>
      <c r="K3" s="126"/>
      <c r="L3" s="126"/>
      <c r="M3" s="126"/>
      <c r="O3" s="125" t="s">
        <v>89</v>
      </c>
      <c r="P3" s="125"/>
      <c r="Q3" s="126" t="s">
        <v>90</v>
      </c>
      <c r="R3" s="126" t="s">
        <v>91</v>
      </c>
      <c r="S3" s="126" t="s">
        <v>92</v>
      </c>
      <c r="T3" s="126" t="s">
        <v>93</v>
      </c>
      <c r="U3" s="126" t="s">
        <v>94</v>
      </c>
      <c r="V3" s="126" t="s">
        <v>95</v>
      </c>
      <c r="W3" s="126" t="s">
        <v>96</v>
      </c>
      <c r="X3" s="126" t="s">
        <v>97</v>
      </c>
      <c r="Y3" s="126" t="s">
        <v>98</v>
      </c>
      <c r="Z3" s="126" t="s">
        <v>99</v>
      </c>
      <c r="AA3" s="126" t="s">
        <v>100</v>
      </c>
      <c r="AB3" s="126" t="s">
        <v>101</v>
      </c>
      <c r="AC3" s="126" t="s">
        <v>102</v>
      </c>
      <c r="AD3" s="126" t="s">
        <v>103</v>
      </c>
      <c r="AE3" s="126" t="s">
        <v>104</v>
      </c>
      <c r="AF3" s="126" t="s">
        <v>105</v>
      </c>
      <c r="AG3" s="126" t="s">
        <v>106</v>
      </c>
      <c r="AH3" s="126" t="s">
        <v>107</v>
      </c>
      <c r="AI3" s="126" t="s">
        <v>108</v>
      </c>
      <c r="AJ3" s="126" t="s">
        <v>109</v>
      </c>
      <c r="AK3" s="126" t="s">
        <v>110</v>
      </c>
      <c r="AL3" s="126" t="s">
        <v>111</v>
      </c>
      <c r="AM3" s="126" t="s">
        <v>112</v>
      </c>
      <c r="AN3" s="126" t="s">
        <v>113</v>
      </c>
      <c r="AO3" s="126" t="s">
        <v>114</v>
      </c>
      <c r="AP3" s="126" t="s">
        <v>115</v>
      </c>
      <c r="AQ3" s="126" t="s">
        <v>116</v>
      </c>
      <c r="AR3" s="126" t="s">
        <v>117</v>
      </c>
      <c r="AS3" s="126" t="s">
        <v>118</v>
      </c>
      <c r="AT3" s="126" t="s">
        <v>119</v>
      </c>
      <c r="AU3" s="126" t="s">
        <v>81</v>
      </c>
      <c r="AV3" s="126" t="s">
        <v>82</v>
      </c>
      <c r="AW3" s="126" t="s">
        <v>83</v>
      </c>
      <c r="AX3" s="126" t="s">
        <v>84</v>
      </c>
      <c r="AY3" s="126" t="s">
        <v>85</v>
      </c>
      <c r="BA3" s="125" t="s">
        <v>120</v>
      </c>
      <c r="BB3" s="125"/>
      <c r="BC3" s="126" t="s">
        <v>85</v>
      </c>
      <c r="BD3" s="126" t="s">
        <v>84</v>
      </c>
      <c r="BE3" s="126" t="s">
        <v>83</v>
      </c>
      <c r="BF3" s="126" t="s">
        <v>82</v>
      </c>
      <c r="BG3" s="126" t="s">
        <v>81</v>
      </c>
      <c r="BH3" s="126" t="s">
        <v>119</v>
      </c>
      <c r="BI3" s="126" t="s">
        <v>118</v>
      </c>
      <c r="BJ3" s="126" t="s">
        <v>117</v>
      </c>
      <c r="BK3" s="126" t="s">
        <v>116</v>
      </c>
      <c r="BL3" s="126" t="s">
        <v>115</v>
      </c>
      <c r="BM3" s="126" t="s">
        <v>114</v>
      </c>
      <c r="BN3" s="126" t="s">
        <v>113</v>
      </c>
      <c r="BO3" s="126" t="s">
        <v>112</v>
      </c>
      <c r="BP3" s="126" t="s">
        <v>111</v>
      </c>
      <c r="BQ3" s="126" t="s">
        <v>110</v>
      </c>
      <c r="BR3" s="126" t="s">
        <v>109</v>
      </c>
      <c r="BS3" s="126" t="s">
        <v>108</v>
      </c>
      <c r="BT3" s="126" t="s">
        <v>107</v>
      </c>
      <c r="BU3" s="126" t="s">
        <v>106</v>
      </c>
      <c r="BV3" s="126" t="s">
        <v>105</v>
      </c>
    </row>
    <row r="4" spans="1:74" x14ac:dyDescent="0.2">
      <c r="A4" s="127" t="s">
        <v>121</v>
      </c>
      <c r="B4" s="127"/>
      <c r="C4" s="128" t="s">
        <v>122</v>
      </c>
      <c r="D4" s="128" t="s">
        <v>123</v>
      </c>
      <c r="E4" s="128" t="s">
        <v>124</v>
      </c>
      <c r="F4" s="128" t="s">
        <v>125</v>
      </c>
      <c r="G4" s="128" t="s">
        <v>126</v>
      </c>
      <c r="H4" s="128" t="s">
        <v>127</v>
      </c>
      <c r="I4" s="128" t="s">
        <v>128</v>
      </c>
      <c r="J4" s="128" t="s">
        <v>129</v>
      </c>
      <c r="K4" s="128"/>
      <c r="L4" s="128"/>
      <c r="M4" s="128"/>
      <c r="O4" s="127" t="s">
        <v>121</v>
      </c>
      <c r="P4" s="127"/>
      <c r="Q4" s="155" t="s">
        <v>130</v>
      </c>
      <c r="R4" s="155" t="s">
        <v>131</v>
      </c>
      <c r="S4" s="155" t="s">
        <v>132</v>
      </c>
      <c r="T4" s="155" t="s">
        <v>133</v>
      </c>
      <c r="U4" s="155" t="s">
        <v>134</v>
      </c>
      <c r="V4" s="155" t="s">
        <v>135</v>
      </c>
      <c r="W4" s="155" t="s">
        <v>136</v>
      </c>
      <c r="X4" s="155" t="s">
        <v>137</v>
      </c>
      <c r="Y4" s="155" t="s">
        <v>138</v>
      </c>
      <c r="Z4" s="155" t="s">
        <v>139</v>
      </c>
      <c r="AA4" s="155" t="s">
        <v>140</v>
      </c>
      <c r="AB4" s="155" t="s">
        <v>141</v>
      </c>
      <c r="AC4" s="155" t="s">
        <v>142</v>
      </c>
      <c r="AD4" s="155" t="s">
        <v>143</v>
      </c>
      <c r="AE4" s="155" t="s">
        <v>144</v>
      </c>
      <c r="AF4" s="155" t="s">
        <v>145</v>
      </c>
      <c r="AG4" s="155" t="s">
        <v>146</v>
      </c>
      <c r="AH4" s="155" t="s">
        <v>147</v>
      </c>
      <c r="AI4" s="155" t="s">
        <v>148</v>
      </c>
      <c r="AJ4" s="155" t="s">
        <v>149</v>
      </c>
      <c r="AK4" s="155" t="s">
        <v>150</v>
      </c>
      <c r="AL4" s="155" t="s">
        <v>151</v>
      </c>
      <c r="AM4" s="155" t="s">
        <v>152</v>
      </c>
      <c r="AN4" s="155" t="s">
        <v>153</v>
      </c>
      <c r="AO4" s="155" t="s">
        <v>154</v>
      </c>
      <c r="AP4" s="155" t="s">
        <v>155</v>
      </c>
      <c r="AQ4" s="155" t="s">
        <v>156</v>
      </c>
      <c r="AR4" s="155" t="s">
        <v>157</v>
      </c>
      <c r="AS4" s="155" t="s">
        <v>158</v>
      </c>
      <c r="AT4" s="155" t="s">
        <v>159</v>
      </c>
      <c r="AU4" s="155" t="s">
        <v>122</v>
      </c>
      <c r="AV4" s="155" t="s">
        <v>123</v>
      </c>
      <c r="AW4" s="155" t="s">
        <v>124</v>
      </c>
      <c r="AX4" s="155" t="s">
        <v>125</v>
      </c>
      <c r="AY4" s="155" t="s">
        <v>126</v>
      </c>
      <c r="BA4" s="127" t="s">
        <v>121</v>
      </c>
      <c r="BB4" s="127"/>
      <c r="BC4" s="128" t="s">
        <v>126</v>
      </c>
      <c r="BD4" s="128" t="s">
        <v>125</v>
      </c>
      <c r="BE4" s="128" t="s">
        <v>124</v>
      </c>
      <c r="BF4" s="128" t="s">
        <v>123</v>
      </c>
      <c r="BG4" s="128" t="s">
        <v>122</v>
      </c>
      <c r="BH4" s="128" t="s">
        <v>159</v>
      </c>
      <c r="BI4" s="128" t="s">
        <v>158</v>
      </c>
      <c r="BJ4" s="128" t="s">
        <v>157</v>
      </c>
      <c r="BK4" s="128" t="s">
        <v>156</v>
      </c>
      <c r="BL4" s="128" t="s">
        <v>155</v>
      </c>
      <c r="BM4" s="128" t="s">
        <v>154</v>
      </c>
      <c r="BN4" s="128" t="s">
        <v>153</v>
      </c>
      <c r="BO4" s="128" t="s">
        <v>152</v>
      </c>
      <c r="BP4" s="128" t="s">
        <v>151</v>
      </c>
      <c r="BQ4" s="128" t="s">
        <v>150</v>
      </c>
      <c r="BR4" s="128" t="s">
        <v>149</v>
      </c>
      <c r="BS4" s="128" t="s">
        <v>148</v>
      </c>
      <c r="BT4" s="128" t="s">
        <v>147</v>
      </c>
      <c r="BU4" s="128" t="s">
        <v>146</v>
      </c>
      <c r="BV4" s="128" t="s">
        <v>145</v>
      </c>
    </row>
    <row r="5" spans="1:74" x14ac:dyDescent="0.2">
      <c r="A5" s="60" t="s">
        <v>160</v>
      </c>
      <c r="B5" s="60" t="s">
        <v>161</v>
      </c>
      <c r="C5" s="64">
        <v>50833.523399999998</v>
      </c>
      <c r="D5" s="64">
        <v>55968.361599999997</v>
      </c>
      <c r="E5" s="64">
        <v>207598.5203</v>
      </c>
      <c r="F5" s="64">
        <v>82787.191200000001</v>
      </c>
      <c r="G5" s="64">
        <v>64016.049700000003</v>
      </c>
      <c r="H5" s="72">
        <v>63866.578920164997</v>
      </c>
      <c r="I5" s="64"/>
      <c r="J5" s="64"/>
      <c r="K5" s="64"/>
      <c r="L5" s="64"/>
      <c r="M5" s="64"/>
      <c r="O5" s="60" t="s">
        <v>162</v>
      </c>
      <c r="P5" s="61"/>
      <c r="Q5" s="143" cm="1">
        <f t="array" ref="Q5">GEOMEAN(Q6:AY6/100+1)-1</f>
        <v>1.7680203418365403E-2</v>
      </c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BA5" s="60" t="s">
        <v>163</v>
      </c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</row>
    <row r="6" spans="1:74" x14ac:dyDescent="0.2">
      <c r="A6" s="62" t="s">
        <v>164</v>
      </c>
      <c r="B6" s="62" t="s">
        <v>165</v>
      </c>
      <c r="C6" s="63">
        <v>1111</v>
      </c>
      <c r="D6" s="63">
        <v>1954</v>
      </c>
      <c r="E6" s="63">
        <v>3131</v>
      </c>
      <c r="F6" s="63">
        <v>2316</v>
      </c>
      <c r="G6" s="63">
        <v>2087</v>
      </c>
      <c r="H6" s="71">
        <v>1439</v>
      </c>
      <c r="I6" s="63"/>
      <c r="J6" s="63"/>
      <c r="K6" s="63"/>
      <c r="L6" s="63"/>
      <c r="M6" s="63"/>
      <c r="O6" s="62" t="s">
        <v>66</v>
      </c>
      <c r="P6" s="62" t="s">
        <v>166</v>
      </c>
      <c r="Q6" s="68">
        <v>-5.6074000000000002</v>
      </c>
      <c r="R6" s="68">
        <v>2.0152999999999999</v>
      </c>
      <c r="S6" s="68">
        <v>5.9393000000000002</v>
      </c>
      <c r="T6" s="68">
        <v>5.2529000000000003</v>
      </c>
      <c r="U6" s="68">
        <v>1.1348</v>
      </c>
      <c r="V6" s="68">
        <v>2.3586</v>
      </c>
      <c r="W6" s="68">
        <v>7.4720000000000004</v>
      </c>
      <c r="X6" s="68">
        <v>9.3255999999999997</v>
      </c>
      <c r="Y6" s="68">
        <v>0.30459999999999998</v>
      </c>
      <c r="Z6" s="68">
        <v>0.80679999999999996</v>
      </c>
      <c r="AA6" s="68">
        <v>-7.0896999999999997</v>
      </c>
      <c r="AB6" s="68">
        <v>5.1378000000000004</v>
      </c>
      <c r="AC6" s="68">
        <v>-21.050599999999999</v>
      </c>
      <c r="AD6" s="68">
        <v>-0.9889</v>
      </c>
      <c r="AE6" s="68">
        <v>0.51790000000000003</v>
      </c>
      <c r="AF6" s="68">
        <v>-7.1883999999999997</v>
      </c>
      <c r="AG6" s="68">
        <v>6.2648999999999999</v>
      </c>
      <c r="AH6" s="68">
        <v>7.1890999999999998</v>
      </c>
      <c r="AI6" s="68">
        <v>11.0002</v>
      </c>
      <c r="AJ6" s="68">
        <v>4.8505000000000003</v>
      </c>
      <c r="AK6" s="68">
        <v>12.2134</v>
      </c>
      <c r="AL6" s="68">
        <v>-19.671299999999999</v>
      </c>
      <c r="AM6" s="68">
        <v>17.6419</v>
      </c>
      <c r="AN6" s="68">
        <v>10.897</v>
      </c>
      <c r="AO6" s="68">
        <v>-0.3306</v>
      </c>
      <c r="AP6" s="68">
        <v>2.2967</v>
      </c>
      <c r="AQ6" s="68">
        <v>5.3467000000000002</v>
      </c>
      <c r="AR6" s="68">
        <v>-6.7724000000000002</v>
      </c>
      <c r="AS6" s="68">
        <v>-6.2823000000000002</v>
      </c>
      <c r="AT6" s="68">
        <v>3.0626000000000002</v>
      </c>
      <c r="AU6" s="68">
        <v>7.3807999999999998</v>
      </c>
      <c r="AV6" s="68">
        <v>-2.5550999999999999</v>
      </c>
      <c r="AW6" s="68">
        <v>-11.3429</v>
      </c>
      <c r="AX6" s="68">
        <v>18.3218</v>
      </c>
      <c r="AY6" s="68">
        <v>18.615200000000002</v>
      </c>
      <c r="BA6" s="62" t="s">
        <v>167</v>
      </c>
      <c r="BB6" s="62" t="s">
        <v>168</v>
      </c>
      <c r="BC6" s="68">
        <v>8.23</v>
      </c>
      <c r="BD6" s="68">
        <v>9.9753000000000007</v>
      </c>
      <c r="BE6" s="68">
        <v>8.8112999999999992</v>
      </c>
      <c r="BF6" s="68">
        <v>9.0663</v>
      </c>
      <c r="BG6" s="68">
        <v>11.8505</v>
      </c>
      <c r="BH6" s="68">
        <v>10.1221</v>
      </c>
      <c r="BI6" s="68">
        <v>10.5031</v>
      </c>
      <c r="BJ6" s="68">
        <v>10.754899999999999</v>
      </c>
      <c r="BK6" s="68">
        <v>9.9474</v>
      </c>
      <c r="BL6" s="68">
        <v>11.2585</v>
      </c>
      <c r="BM6" s="68">
        <v>12.365399999999999</v>
      </c>
      <c r="BN6" s="68">
        <v>13.094099999999999</v>
      </c>
      <c r="BO6" s="68">
        <v>15.025700000000001</v>
      </c>
      <c r="BP6" s="68">
        <v>11.5097</v>
      </c>
      <c r="BQ6" s="68">
        <v>11.7515</v>
      </c>
      <c r="BR6" s="68">
        <v>11.913399999999999</v>
      </c>
      <c r="BS6" s="68">
        <v>11.6332</v>
      </c>
      <c r="BT6" s="68">
        <v>10.995699999999999</v>
      </c>
      <c r="BU6" s="68">
        <v>9.3143999999999991</v>
      </c>
      <c r="BV6" s="68">
        <v>9.0797000000000008</v>
      </c>
    </row>
    <row r="7" spans="1:74" x14ac:dyDescent="0.2">
      <c r="A7" s="62" t="s">
        <v>169</v>
      </c>
      <c r="B7" s="62" t="s">
        <v>170</v>
      </c>
      <c r="C7" s="63">
        <v>17</v>
      </c>
      <c r="D7" s="63">
        <v>15</v>
      </c>
      <c r="E7" s="63">
        <v>9</v>
      </c>
      <c r="F7" s="63">
        <v>10</v>
      </c>
      <c r="G7" s="63">
        <v>10</v>
      </c>
      <c r="H7" s="71">
        <v>4</v>
      </c>
      <c r="I7" s="63"/>
      <c r="J7" s="63"/>
      <c r="K7" s="63"/>
      <c r="L7" s="63"/>
      <c r="M7" s="63"/>
      <c r="O7" s="62" t="s">
        <v>67</v>
      </c>
      <c r="P7" s="62" t="s">
        <v>171</v>
      </c>
      <c r="Q7" s="68">
        <v>-4.3780000000000001</v>
      </c>
      <c r="R7" s="68">
        <v>-4.3605</v>
      </c>
      <c r="S7" s="68">
        <v>-2.1276999999999999</v>
      </c>
      <c r="T7" s="68">
        <v>5.2019000000000002</v>
      </c>
      <c r="U7" s="68">
        <v>10.1107</v>
      </c>
      <c r="V7" s="68">
        <v>-0.46920000000000001</v>
      </c>
      <c r="W7" s="68">
        <v>21.818200000000001</v>
      </c>
      <c r="X7" s="68">
        <v>12.1614</v>
      </c>
      <c r="Y7" s="68">
        <v>5.5692000000000004</v>
      </c>
      <c r="Z7" s="68">
        <v>6.0224000000000002</v>
      </c>
      <c r="AA7" s="68">
        <v>-22.501100000000001</v>
      </c>
      <c r="AB7" s="68">
        <v>-32.159100000000002</v>
      </c>
      <c r="AC7" s="68">
        <v>17.671700000000001</v>
      </c>
      <c r="AD7" s="68">
        <v>12.3843</v>
      </c>
      <c r="AE7" s="68">
        <v>12.4763</v>
      </c>
      <c r="AF7" s="68">
        <v>-34.515799999999999</v>
      </c>
      <c r="AG7" s="68">
        <v>48.7532</v>
      </c>
      <c r="AH7" s="68">
        <v>37.745699999999999</v>
      </c>
      <c r="AI7" s="68">
        <v>26.101600000000001</v>
      </c>
      <c r="AJ7" s="68">
        <v>4.6921999999999997</v>
      </c>
      <c r="AK7" s="68">
        <v>17.1647</v>
      </c>
      <c r="AL7" s="68">
        <v>-13.9175</v>
      </c>
      <c r="AM7" s="68">
        <v>26.6309</v>
      </c>
      <c r="AN7" s="68">
        <v>10.652100000000001</v>
      </c>
      <c r="AO7" s="68">
        <v>1.5744</v>
      </c>
      <c r="AP7" s="68">
        <v>1.3508</v>
      </c>
      <c r="AQ7" s="68">
        <v>4.0856000000000003</v>
      </c>
      <c r="AR7" s="68">
        <v>0.5877</v>
      </c>
      <c r="AS7" s="68">
        <v>-2.1284999999999998</v>
      </c>
      <c r="AT7" s="68">
        <v>7.3560999999999996</v>
      </c>
      <c r="AU7" s="68">
        <v>23.138000000000002</v>
      </c>
      <c r="AV7" s="68">
        <v>3.1934999999999998</v>
      </c>
      <c r="AW7" s="68">
        <v>-8.9246999999999996</v>
      </c>
      <c r="AX7" s="68">
        <v>21.898099999999999</v>
      </c>
      <c r="AY7" s="68">
        <v>7.4476000000000004</v>
      </c>
      <c r="BA7" s="62" t="s">
        <v>172</v>
      </c>
      <c r="BB7" s="62" t="s">
        <v>173</v>
      </c>
      <c r="BC7" s="68">
        <v>77.482500000000002</v>
      </c>
      <c r="BD7" s="68">
        <v>83.040300000000002</v>
      </c>
      <c r="BE7" s="68">
        <v>92.346699999999998</v>
      </c>
      <c r="BF7" s="68">
        <v>76.925700000000006</v>
      </c>
      <c r="BG7" s="68">
        <v>77.501300000000001</v>
      </c>
      <c r="BH7" s="68">
        <v>80.564400000000006</v>
      </c>
      <c r="BI7" s="68">
        <v>74.703500000000005</v>
      </c>
      <c r="BJ7" s="68">
        <v>70.542900000000003</v>
      </c>
      <c r="BK7" s="68">
        <v>78.873900000000006</v>
      </c>
      <c r="BL7" s="68">
        <v>74.918400000000005</v>
      </c>
      <c r="BM7" s="68">
        <v>66.850999999999999</v>
      </c>
      <c r="BN7" s="68">
        <v>70.510199999999998</v>
      </c>
      <c r="BO7" s="68">
        <v>73.398600000000002</v>
      </c>
      <c r="BP7" s="68">
        <v>71.209999999999994</v>
      </c>
      <c r="BQ7" s="68">
        <v>61.099800000000002</v>
      </c>
      <c r="BR7" s="68">
        <v>71.331100000000006</v>
      </c>
      <c r="BS7" s="68">
        <v>71.655699999999996</v>
      </c>
      <c r="BT7" s="68">
        <v>64.753699999999995</v>
      </c>
      <c r="BU7" s="68">
        <v>54.0901</v>
      </c>
      <c r="BV7" s="68">
        <v>51.186100000000003</v>
      </c>
    </row>
    <row r="8" spans="1:74" x14ac:dyDescent="0.2">
      <c r="A8" s="62" t="s">
        <v>174</v>
      </c>
      <c r="B8" s="62" t="s">
        <v>175</v>
      </c>
      <c r="C8" s="63">
        <v>14757</v>
      </c>
      <c r="D8" s="63">
        <v>16788</v>
      </c>
      <c r="E8" s="63">
        <v>17205</v>
      </c>
      <c r="F8" s="63">
        <v>16908</v>
      </c>
      <c r="G8" s="63">
        <v>18604</v>
      </c>
      <c r="H8" s="71">
        <v>18949</v>
      </c>
      <c r="I8" s="63"/>
      <c r="J8" s="63"/>
      <c r="K8" s="63"/>
      <c r="L8" s="63"/>
      <c r="M8" s="63"/>
      <c r="O8" s="62" t="s">
        <v>176</v>
      </c>
      <c r="P8" s="62" t="s">
        <v>177</v>
      </c>
      <c r="Q8" s="68">
        <v>1.5642</v>
      </c>
      <c r="R8" s="68">
        <v>-4.4004000000000003</v>
      </c>
      <c r="S8" s="68">
        <v>-6.2140000000000004</v>
      </c>
      <c r="T8" s="68">
        <v>4.7853000000000003</v>
      </c>
      <c r="U8" s="68">
        <v>12.9977</v>
      </c>
      <c r="V8" s="68">
        <v>-5.3886000000000003</v>
      </c>
      <c r="W8" s="68">
        <v>34.939799999999998</v>
      </c>
      <c r="X8" s="68">
        <v>15.9903</v>
      </c>
      <c r="Y8" s="68">
        <v>6.508</v>
      </c>
      <c r="Z8" s="68">
        <v>4.0079000000000002</v>
      </c>
      <c r="AA8" s="68">
        <v>-28.616599999999998</v>
      </c>
      <c r="AB8" s="68">
        <v>-49.292000000000002</v>
      </c>
      <c r="AC8" s="68">
        <v>40.488700000000001</v>
      </c>
      <c r="AD8" s="68">
        <v>18.882000000000001</v>
      </c>
      <c r="AE8" s="68">
        <v>17.7638</v>
      </c>
      <c r="AF8" s="68">
        <v>-53.8598</v>
      </c>
      <c r="AG8" s="68">
        <v>92.307699999999997</v>
      </c>
      <c r="AH8" s="68">
        <v>55</v>
      </c>
      <c r="AI8" s="68">
        <v>37.935499999999998</v>
      </c>
      <c r="AJ8" s="68">
        <v>5.5191999999999997</v>
      </c>
      <c r="AK8" s="68">
        <v>22.695</v>
      </c>
      <c r="AL8" s="68">
        <v>-17.991299999999999</v>
      </c>
      <c r="AM8" s="68">
        <v>35.286299999999997</v>
      </c>
      <c r="AN8" s="68">
        <v>12.9925</v>
      </c>
      <c r="AO8" s="68">
        <v>-0.37459999999999999</v>
      </c>
      <c r="AP8" s="68">
        <v>0.46279999999999999</v>
      </c>
      <c r="AQ8" s="68">
        <v>4.0311000000000003</v>
      </c>
      <c r="AR8" s="68">
        <v>-0.80269999999999997</v>
      </c>
      <c r="AS8" s="68">
        <v>-5.4408000000000003</v>
      </c>
      <c r="AT8" s="68">
        <v>9.7668999999999997</v>
      </c>
      <c r="AU8" s="68">
        <v>30.8871</v>
      </c>
      <c r="AV8" s="68">
        <v>1.9717</v>
      </c>
      <c r="AW8" s="68">
        <v>-12.145</v>
      </c>
      <c r="AX8" s="68">
        <v>28.2439</v>
      </c>
      <c r="AY8" s="68">
        <v>7.6688999999999998</v>
      </c>
      <c r="BA8" s="60" t="s">
        <v>178</v>
      </c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</row>
    <row r="9" spans="1:74" x14ac:dyDescent="0.2">
      <c r="A9" s="60" t="s">
        <v>9</v>
      </c>
      <c r="B9" s="60" t="s">
        <v>179</v>
      </c>
      <c r="C9" s="64">
        <v>64496.523399999998</v>
      </c>
      <c r="D9" s="64">
        <v>70817.361600000004</v>
      </c>
      <c r="E9" s="64">
        <v>221681.5203</v>
      </c>
      <c r="F9" s="64">
        <v>97389.191200000001</v>
      </c>
      <c r="G9" s="64">
        <v>80543.049700000003</v>
      </c>
      <c r="H9" s="72">
        <v>81380.578920165004</v>
      </c>
      <c r="I9" s="64"/>
      <c r="J9" s="64"/>
      <c r="K9" s="64"/>
      <c r="L9" s="64"/>
      <c r="M9" s="64"/>
      <c r="O9" s="62" t="s">
        <v>180</v>
      </c>
      <c r="P9" s="62" t="s">
        <v>181</v>
      </c>
      <c r="Q9" s="68">
        <v>0.73529999999999995</v>
      </c>
      <c r="R9" s="68">
        <v>220.43799999999999</v>
      </c>
      <c r="S9" s="68">
        <v>-7.2892999999999999</v>
      </c>
      <c r="T9" s="68" t="s">
        <v>182</v>
      </c>
      <c r="U9" s="68" t="s">
        <v>182</v>
      </c>
      <c r="V9" s="68">
        <v>1695</v>
      </c>
      <c r="W9" s="68">
        <v>81.615600000000001</v>
      </c>
      <c r="X9" s="68">
        <v>-5.2146999999999997</v>
      </c>
      <c r="Y9" s="68">
        <v>38.349499999999999</v>
      </c>
      <c r="Z9" s="68">
        <v>-6.5496999999999996</v>
      </c>
      <c r="AA9" s="68">
        <v>-32.790999999999997</v>
      </c>
      <c r="AB9" s="68">
        <v>-99.627600000000001</v>
      </c>
      <c r="AC9" s="68">
        <v>28150</v>
      </c>
      <c r="AD9" s="68">
        <v>-48.141599999999997</v>
      </c>
      <c r="AE9" s="68">
        <v>44.709899999999998</v>
      </c>
      <c r="AF9" s="68">
        <v>-41.981099999999998</v>
      </c>
      <c r="AG9" s="68">
        <v>37.804900000000004</v>
      </c>
      <c r="AH9" s="68">
        <v>237.75810000000001</v>
      </c>
      <c r="AI9" s="68">
        <v>14.410500000000001</v>
      </c>
      <c r="AJ9" s="68">
        <v>1.9846999999999999</v>
      </c>
      <c r="AK9" s="68">
        <v>2.1707000000000001</v>
      </c>
      <c r="AL9" s="68">
        <v>-16.2637</v>
      </c>
      <c r="AM9" s="68">
        <v>36.745399999999997</v>
      </c>
      <c r="AN9" s="68">
        <v>18.681999999999999</v>
      </c>
      <c r="AO9" s="68">
        <v>0.21560000000000001</v>
      </c>
      <c r="AP9" s="68">
        <v>0.2152</v>
      </c>
      <c r="AQ9" s="68">
        <v>3.3816000000000002</v>
      </c>
      <c r="AR9" s="68">
        <v>2.1288</v>
      </c>
      <c r="AS9" s="68">
        <v>-12.9131</v>
      </c>
      <c r="AT9" s="68">
        <v>219.3228</v>
      </c>
      <c r="AU9" s="68">
        <v>-39.524700000000003</v>
      </c>
      <c r="AV9" s="68">
        <v>0.69530000000000003</v>
      </c>
      <c r="AW9" s="68">
        <v>-16.991900000000001</v>
      </c>
      <c r="AX9" s="68">
        <v>36.744999999999997</v>
      </c>
      <c r="AY9" s="68">
        <v>10.182499999999999</v>
      </c>
      <c r="BA9" s="62" t="s">
        <v>10</v>
      </c>
      <c r="BB9" s="62" t="s">
        <v>183</v>
      </c>
      <c r="BC9" s="68">
        <v>4.1243999999999996</v>
      </c>
      <c r="BD9" s="68">
        <v>1.5807</v>
      </c>
      <c r="BE9" s="68">
        <v>0.93969999999999998</v>
      </c>
      <c r="BF9" s="68">
        <v>2.0369000000000002</v>
      </c>
      <c r="BG9" s="68">
        <v>2.8496000000000001</v>
      </c>
      <c r="BH9" s="68">
        <v>3.3206000000000002</v>
      </c>
      <c r="BI9" s="68">
        <v>2.0790000000000002</v>
      </c>
      <c r="BJ9" s="68">
        <v>1.9388000000000001</v>
      </c>
      <c r="BK9" s="68">
        <v>1.9359999999999999</v>
      </c>
      <c r="BL9" s="68">
        <v>2.5144000000000002</v>
      </c>
      <c r="BM9" s="68">
        <v>1.4206000000000001</v>
      </c>
      <c r="BN9" s="68">
        <v>1.6093</v>
      </c>
      <c r="BO9" s="68">
        <v>2.8115999999999999</v>
      </c>
      <c r="BP9" s="68">
        <v>3.5886999999999998</v>
      </c>
      <c r="BQ9" s="68">
        <v>1.9549000000000001</v>
      </c>
      <c r="BR9" s="68">
        <v>3.7170999999999998</v>
      </c>
      <c r="BS9" s="68">
        <v>4.7907999999999999</v>
      </c>
      <c r="BT9" s="68">
        <v>4.3609</v>
      </c>
      <c r="BU9" s="68">
        <v>3.7945000000000002</v>
      </c>
      <c r="BV9" s="68">
        <v>4.0281000000000002</v>
      </c>
    </row>
    <row r="10" spans="1:74" x14ac:dyDescent="0.2">
      <c r="A10" s="60"/>
      <c r="B10" s="61"/>
      <c r="C10" s="61"/>
      <c r="D10" s="61"/>
      <c r="E10" s="61"/>
      <c r="F10" s="61"/>
      <c r="G10" s="61"/>
      <c r="H10" s="70"/>
      <c r="I10" s="61"/>
      <c r="J10" s="61"/>
      <c r="K10" s="61"/>
      <c r="L10" s="61"/>
      <c r="M10" s="61"/>
      <c r="O10" s="62" t="s">
        <v>184</v>
      </c>
      <c r="P10" s="62" t="s">
        <v>185</v>
      </c>
      <c r="Q10" s="68">
        <v>5.6818</v>
      </c>
      <c r="R10" s="68">
        <v>366.66669999999999</v>
      </c>
      <c r="S10" s="68">
        <v>-4.3779000000000003</v>
      </c>
      <c r="T10" s="68" t="s">
        <v>182</v>
      </c>
      <c r="U10" s="68" t="s">
        <v>182</v>
      </c>
      <c r="V10" s="68">
        <v>1721.0526</v>
      </c>
      <c r="W10" s="68">
        <v>80.0578</v>
      </c>
      <c r="X10" s="68">
        <v>-5.6180000000000003</v>
      </c>
      <c r="Y10" s="68">
        <v>34.693899999999999</v>
      </c>
      <c r="Z10" s="68">
        <v>-6.0606</v>
      </c>
      <c r="AA10" s="68">
        <v>-32.526899999999998</v>
      </c>
      <c r="AB10" s="68">
        <v>-99.601600000000005</v>
      </c>
      <c r="AC10" s="68">
        <v>26600</v>
      </c>
      <c r="AD10" s="68">
        <v>-48.314599999999999</v>
      </c>
      <c r="AE10" s="68">
        <v>44.2029</v>
      </c>
      <c r="AF10" s="68">
        <v>-44.2211</v>
      </c>
      <c r="AG10" s="68">
        <v>36.936900000000001</v>
      </c>
      <c r="AH10" s="68">
        <v>231.5789</v>
      </c>
      <c r="AI10" s="68">
        <v>11.9048</v>
      </c>
      <c r="AJ10" s="68">
        <v>6.0284000000000004</v>
      </c>
      <c r="AK10" s="68">
        <v>11.7057</v>
      </c>
      <c r="AL10" s="68">
        <v>-13.473100000000001</v>
      </c>
      <c r="AM10" s="68">
        <v>40.138399999999997</v>
      </c>
      <c r="AN10" s="68">
        <v>25.925899999999999</v>
      </c>
      <c r="AO10" s="68">
        <v>5.2941000000000003</v>
      </c>
      <c r="AP10" s="68">
        <v>2.2345999999999999</v>
      </c>
      <c r="AQ10" s="68">
        <v>4.9180000000000001</v>
      </c>
      <c r="AR10" s="68">
        <v>4.1666999999999996</v>
      </c>
      <c r="AS10" s="68">
        <v>-9.5</v>
      </c>
      <c r="AT10" s="68">
        <v>230.9392</v>
      </c>
      <c r="AU10" s="68">
        <v>-35.8932</v>
      </c>
      <c r="AV10" s="68">
        <v>8.5937999999999999</v>
      </c>
      <c r="AW10" s="68">
        <v>-71.222999999999999</v>
      </c>
      <c r="AX10" s="68">
        <v>320</v>
      </c>
      <c r="AY10" s="68">
        <v>16.071400000000001</v>
      </c>
      <c r="BA10" s="62" t="s">
        <v>186</v>
      </c>
      <c r="BB10" s="62" t="s">
        <v>187</v>
      </c>
      <c r="BC10" s="68">
        <v>22.517499999999998</v>
      </c>
      <c r="BD10" s="68">
        <v>16.959700000000002</v>
      </c>
      <c r="BE10" s="68">
        <v>7.6532999999999998</v>
      </c>
      <c r="BF10" s="68">
        <v>23.074300000000001</v>
      </c>
      <c r="BG10" s="68">
        <v>22.498699999999999</v>
      </c>
      <c r="BH10" s="68">
        <v>19.435600000000001</v>
      </c>
      <c r="BI10" s="68">
        <v>25.296500000000002</v>
      </c>
      <c r="BJ10" s="68">
        <v>29.457100000000001</v>
      </c>
      <c r="BK10" s="68">
        <v>21.126100000000001</v>
      </c>
      <c r="BL10" s="68">
        <v>25.081600000000002</v>
      </c>
      <c r="BM10" s="68">
        <v>33.149000000000001</v>
      </c>
      <c r="BN10" s="68">
        <v>29.489799999999999</v>
      </c>
      <c r="BO10" s="68">
        <v>26.601400000000002</v>
      </c>
      <c r="BP10" s="68">
        <v>28.79</v>
      </c>
      <c r="BQ10" s="68">
        <v>38.900199999999998</v>
      </c>
      <c r="BR10" s="68">
        <v>28.668900000000001</v>
      </c>
      <c r="BS10" s="68">
        <v>28.3443</v>
      </c>
      <c r="BT10" s="68">
        <v>35.246299999999998</v>
      </c>
      <c r="BU10" s="68">
        <v>45.9099</v>
      </c>
      <c r="BV10" s="68">
        <v>48.813899999999997</v>
      </c>
    </row>
    <row r="11" spans="1:74" x14ac:dyDescent="0.2">
      <c r="A11" s="60" t="s">
        <v>188</v>
      </c>
      <c r="B11" s="60" t="s">
        <v>189</v>
      </c>
      <c r="C11" s="64">
        <v>12250</v>
      </c>
      <c r="D11" s="64">
        <v>11937</v>
      </c>
      <c r="E11" s="64">
        <v>10583</v>
      </c>
      <c r="F11" s="64">
        <v>12522</v>
      </c>
      <c r="G11" s="64">
        <v>14853</v>
      </c>
      <c r="H11" s="72">
        <v>14707</v>
      </c>
      <c r="I11" s="64">
        <v>14614.154</v>
      </c>
      <c r="J11" s="64">
        <v>14995.846</v>
      </c>
      <c r="K11" s="64"/>
      <c r="L11" s="64"/>
      <c r="M11" s="64"/>
      <c r="O11" s="62" t="s">
        <v>190</v>
      </c>
      <c r="P11" s="62" t="s">
        <v>191</v>
      </c>
      <c r="Q11" s="68" t="s">
        <v>182</v>
      </c>
      <c r="R11" s="68" t="s">
        <v>182</v>
      </c>
      <c r="S11" s="68">
        <v>-11.2469</v>
      </c>
      <c r="T11" s="68" t="s">
        <v>182</v>
      </c>
      <c r="U11" s="68" t="s">
        <v>182</v>
      </c>
      <c r="V11" s="68">
        <v>1721.0526</v>
      </c>
      <c r="W11" s="68">
        <v>80.0578</v>
      </c>
      <c r="X11" s="68">
        <v>-5.6180000000000003</v>
      </c>
      <c r="Y11" s="68">
        <v>34.693899999999999</v>
      </c>
      <c r="Z11" s="68">
        <v>-6.0606</v>
      </c>
      <c r="AA11" s="68">
        <v>-32.526899999999998</v>
      </c>
      <c r="AB11" s="68">
        <v>-90.438199999999995</v>
      </c>
      <c r="AC11" s="68">
        <v>265.19209999999998</v>
      </c>
      <c r="AD11" s="68">
        <v>57.4514</v>
      </c>
      <c r="AE11" s="68">
        <v>58.695700000000002</v>
      </c>
      <c r="AF11" s="68">
        <v>-71.232900000000001</v>
      </c>
      <c r="AG11" s="68">
        <v>196.8254</v>
      </c>
      <c r="AH11" s="68">
        <v>69.518699999999995</v>
      </c>
      <c r="AI11" s="68">
        <v>77.918000000000006</v>
      </c>
      <c r="AJ11" s="68">
        <v>-2.8369</v>
      </c>
      <c r="AK11" s="68">
        <v>33.576599999999999</v>
      </c>
      <c r="AL11" s="68">
        <v>-22.1311</v>
      </c>
      <c r="AM11" s="68">
        <v>42.1053</v>
      </c>
      <c r="AN11" s="68">
        <v>25.925899999999999</v>
      </c>
      <c r="AO11" s="68">
        <v>5.2941000000000003</v>
      </c>
      <c r="AP11" s="68">
        <v>2.2345999999999999</v>
      </c>
      <c r="AQ11" s="68">
        <v>4.9180000000000001</v>
      </c>
      <c r="AR11" s="68">
        <v>4.1666999999999996</v>
      </c>
      <c r="AS11" s="68">
        <v>-9.5</v>
      </c>
      <c r="AT11" s="68">
        <v>230.9392</v>
      </c>
      <c r="AU11" s="68">
        <v>-35.8932</v>
      </c>
      <c r="AV11" s="68">
        <v>8.5937999999999999</v>
      </c>
      <c r="AW11" s="68">
        <v>-71.222999999999999</v>
      </c>
      <c r="AX11" s="68">
        <v>320</v>
      </c>
      <c r="AY11" s="68">
        <v>16.071400000000001</v>
      </c>
      <c r="BA11" s="60" t="s">
        <v>192</v>
      </c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</row>
    <row r="12" spans="1:74" x14ac:dyDescent="0.2">
      <c r="A12" s="65" t="s">
        <v>193</v>
      </c>
      <c r="B12" s="65" t="s">
        <v>166</v>
      </c>
      <c r="C12" s="66">
        <v>7.3807999999999998</v>
      </c>
      <c r="D12" s="66">
        <v>-2.5550999999999999</v>
      </c>
      <c r="E12" s="66">
        <v>-11.3429</v>
      </c>
      <c r="F12" s="66">
        <v>18.3218</v>
      </c>
      <c r="G12" s="66">
        <v>18.615200000000002</v>
      </c>
      <c r="H12" s="73">
        <v>1.07903780068729</v>
      </c>
      <c r="I12" s="66">
        <v>-1.60806571063085</v>
      </c>
      <c r="J12" s="66">
        <v>2.61179675539206</v>
      </c>
      <c r="K12" s="66"/>
      <c r="L12" s="66"/>
      <c r="M12" s="66"/>
      <c r="O12" s="62" t="s">
        <v>194</v>
      </c>
      <c r="P12" s="62" t="s">
        <v>195</v>
      </c>
      <c r="Q12" s="68" t="s">
        <v>182</v>
      </c>
      <c r="R12" s="68" t="s">
        <v>182</v>
      </c>
      <c r="S12" s="68">
        <v>-11.2469</v>
      </c>
      <c r="T12" s="68" t="s">
        <v>182</v>
      </c>
      <c r="U12" s="68" t="s">
        <v>182</v>
      </c>
      <c r="V12" s="68">
        <v>1721.0526</v>
      </c>
      <c r="W12" s="68">
        <v>80.0578</v>
      </c>
      <c r="X12" s="68">
        <v>-5.6180000000000003</v>
      </c>
      <c r="Y12" s="68">
        <v>34.693899999999999</v>
      </c>
      <c r="Z12" s="68">
        <v>5.3029999999999999</v>
      </c>
      <c r="AA12" s="68">
        <v>-52.038400000000003</v>
      </c>
      <c r="AB12" s="68">
        <v>-92.5</v>
      </c>
      <c r="AC12" s="68">
        <v>486.66669999999999</v>
      </c>
      <c r="AD12" s="68">
        <v>56.818199999999997</v>
      </c>
      <c r="AE12" s="68">
        <v>44.2029</v>
      </c>
      <c r="AF12" s="68">
        <v>-42.7136</v>
      </c>
      <c r="AG12" s="68">
        <v>64.0351</v>
      </c>
      <c r="AH12" s="68">
        <v>69.518699999999995</v>
      </c>
      <c r="AI12" s="68">
        <v>77.918000000000006</v>
      </c>
      <c r="AJ12" s="68">
        <v>-4.2553000000000001</v>
      </c>
      <c r="AK12" s="68">
        <v>35.555599999999998</v>
      </c>
      <c r="AL12" s="68">
        <v>-22.1311</v>
      </c>
      <c r="AM12" s="68">
        <v>45.343400000000003</v>
      </c>
      <c r="AN12" s="68">
        <v>23.1204</v>
      </c>
      <c r="AO12" s="68">
        <v>-0.625</v>
      </c>
      <c r="AP12" s="68">
        <v>5.0118</v>
      </c>
      <c r="AQ12" s="68">
        <v>10.2385</v>
      </c>
      <c r="AR12" s="68">
        <v>-0.77359999999999995</v>
      </c>
      <c r="AS12" s="68">
        <v>-7.2454999999999998</v>
      </c>
      <c r="AT12" s="68">
        <v>24.739899999999999</v>
      </c>
      <c r="AU12" s="68">
        <v>65.458399999999997</v>
      </c>
      <c r="AV12" s="68">
        <v>7.7674000000000003</v>
      </c>
      <c r="AW12" s="68">
        <v>-70.325999999999993</v>
      </c>
      <c r="AX12" s="68">
        <v>279.14949999999999</v>
      </c>
      <c r="AY12" s="68">
        <v>21.849</v>
      </c>
      <c r="BA12" s="62" t="s">
        <v>196</v>
      </c>
      <c r="BB12" s="62" t="s">
        <v>197</v>
      </c>
      <c r="BC12" s="68">
        <v>0</v>
      </c>
      <c r="BD12" s="68">
        <v>0</v>
      </c>
      <c r="BE12" s="68">
        <v>0</v>
      </c>
      <c r="BF12" s="68">
        <v>0</v>
      </c>
      <c r="BG12" s="68">
        <v>0</v>
      </c>
      <c r="BH12" s="68">
        <v>0</v>
      </c>
      <c r="BI12" s="68">
        <v>0</v>
      </c>
      <c r="BJ12" s="68">
        <v>0</v>
      </c>
      <c r="BK12" s="68">
        <v>0</v>
      </c>
      <c r="BL12" s="68">
        <v>0</v>
      </c>
      <c r="BM12" s="68">
        <v>0</v>
      </c>
      <c r="BN12" s="68">
        <v>0</v>
      </c>
      <c r="BO12" s="68">
        <v>0</v>
      </c>
      <c r="BP12" s="68">
        <v>0</v>
      </c>
      <c r="BQ12" s="68">
        <v>0</v>
      </c>
      <c r="BR12" s="68">
        <v>0</v>
      </c>
      <c r="BS12" s="68">
        <v>0</v>
      </c>
      <c r="BT12" s="68">
        <v>0</v>
      </c>
      <c r="BU12" s="68">
        <v>0</v>
      </c>
      <c r="BV12" s="68">
        <v>0</v>
      </c>
    </row>
    <row r="13" spans="1:74" x14ac:dyDescent="0.2">
      <c r="A13" s="60" t="s">
        <v>198</v>
      </c>
      <c r="B13" s="60" t="s">
        <v>199</v>
      </c>
      <c r="C13" s="64" t="s">
        <v>182</v>
      </c>
      <c r="D13" s="64" t="s">
        <v>182</v>
      </c>
      <c r="E13" s="64" t="s">
        <v>182</v>
      </c>
      <c r="F13" s="64" t="s">
        <v>182</v>
      </c>
      <c r="G13" s="64" t="s">
        <v>182</v>
      </c>
      <c r="H13" s="72"/>
      <c r="I13" s="64">
        <v>5557.1782000399999</v>
      </c>
      <c r="J13" s="64">
        <v>5787.6467636999996</v>
      </c>
      <c r="K13" s="64"/>
      <c r="L13" s="64"/>
      <c r="M13" s="64"/>
      <c r="O13" s="62" t="s">
        <v>200</v>
      </c>
      <c r="P13" s="62" t="s">
        <v>201</v>
      </c>
      <c r="Q13" s="68">
        <v>11.206899999999999</v>
      </c>
      <c r="R13" s="68">
        <v>-0.7752</v>
      </c>
      <c r="S13" s="68">
        <v>9.375</v>
      </c>
      <c r="T13" s="68">
        <v>2.1429</v>
      </c>
      <c r="U13" s="68">
        <v>6.2937000000000003</v>
      </c>
      <c r="V13" s="68">
        <v>3.9474</v>
      </c>
      <c r="W13" s="68">
        <v>11.3924</v>
      </c>
      <c r="X13" s="68">
        <v>4.5454999999999997</v>
      </c>
      <c r="Y13" s="68">
        <v>13.0435</v>
      </c>
      <c r="Z13" s="68">
        <v>3.8462000000000001</v>
      </c>
      <c r="AA13" s="68">
        <v>11.1111</v>
      </c>
      <c r="AB13" s="68">
        <v>0</v>
      </c>
      <c r="AC13" s="68">
        <v>0</v>
      </c>
      <c r="AD13" s="68">
        <v>-33.333300000000001</v>
      </c>
      <c r="AE13" s="68">
        <v>-50</v>
      </c>
      <c r="AF13" s="68">
        <v>0</v>
      </c>
      <c r="AG13" s="68">
        <v>0</v>
      </c>
      <c r="AH13" s="68">
        <v>7.5</v>
      </c>
      <c r="AI13" s="68">
        <v>53.488399999999999</v>
      </c>
      <c r="AJ13" s="68">
        <v>63.636400000000002</v>
      </c>
      <c r="AK13" s="68">
        <v>42.592599999999997</v>
      </c>
      <c r="AL13" s="68">
        <v>14.2857</v>
      </c>
      <c r="AM13" s="68">
        <v>12.5</v>
      </c>
      <c r="AN13" s="68">
        <v>36.363599999999998</v>
      </c>
      <c r="AO13" s="68">
        <v>20</v>
      </c>
      <c r="AP13" s="68">
        <v>9.2592999999999996</v>
      </c>
      <c r="AQ13" s="68">
        <v>6.7797000000000001</v>
      </c>
      <c r="AR13" s="68">
        <v>11.1111</v>
      </c>
      <c r="AS13" s="68">
        <v>2.8571</v>
      </c>
      <c r="AT13" s="68">
        <v>8.3332999999999995</v>
      </c>
      <c r="AU13" s="68">
        <v>12.820499999999999</v>
      </c>
      <c r="AV13" s="68">
        <v>227.27269999999999</v>
      </c>
      <c r="AW13" s="68">
        <v>-87.916700000000006</v>
      </c>
      <c r="AX13" s="68">
        <v>220.68960000000001</v>
      </c>
      <c r="AY13" s="68">
        <v>7.5269000000000004</v>
      </c>
      <c r="BA13" s="62" t="s">
        <v>202</v>
      </c>
      <c r="BB13" s="62" t="s">
        <v>203</v>
      </c>
      <c r="BC13" s="68">
        <v>0</v>
      </c>
      <c r="BD13" s="68">
        <v>0</v>
      </c>
      <c r="BE13" s="68">
        <v>0</v>
      </c>
      <c r="BF13" s="68">
        <v>0</v>
      </c>
      <c r="BG13" s="68">
        <v>0</v>
      </c>
      <c r="BH13" s="68">
        <v>0</v>
      </c>
      <c r="BI13" s="68">
        <v>0</v>
      </c>
      <c r="BJ13" s="68">
        <v>0</v>
      </c>
      <c r="BK13" s="68">
        <v>0</v>
      </c>
      <c r="BL13" s="68">
        <v>0</v>
      </c>
      <c r="BM13" s="68">
        <v>0</v>
      </c>
      <c r="BN13" s="68">
        <v>0</v>
      </c>
      <c r="BO13" s="68">
        <v>0</v>
      </c>
      <c r="BP13" s="68">
        <v>0</v>
      </c>
      <c r="BQ13" s="68">
        <v>0</v>
      </c>
      <c r="BR13" s="68">
        <v>0</v>
      </c>
      <c r="BS13" s="68">
        <v>0</v>
      </c>
      <c r="BT13" s="68">
        <v>0</v>
      </c>
      <c r="BU13" s="68">
        <v>0</v>
      </c>
      <c r="BV13" s="68">
        <v>0</v>
      </c>
    </row>
    <row r="14" spans="1:74" x14ac:dyDescent="0.2">
      <c r="A14" s="65" t="s">
        <v>204</v>
      </c>
      <c r="B14" s="65" t="s">
        <v>199</v>
      </c>
      <c r="C14" s="66" t="s">
        <v>182</v>
      </c>
      <c r="D14" s="66" t="s">
        <v>182</v>
      </c>
      <c r="E14" s="66" t="s">
        <v>182</v>
      </c>
      <c r="F14" s="66" t="s">
        <v>182</v>
      </c>
      <c r="G14" s="66" t="s">
        <v>182</v>
      </c>
      <c r="H14" s="73"/>
      <c r="I14" s="66">
        <v>38.026000000000003</v>
      </c>
      <c r="J14" s="66">
        <v>38.594999999999999</v>
      </c>
      <c r="K14" s="66"/>
      <c r="L14" s="66"/>
      <c r="M14" s="66"/>
      <c r="O14" s="62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BA14" s="60" t="s">
        <v>24</v>
      </c>
      <c r="BB14" s="60" t="s">
        <v>24</v>
      </c>
      <c r="BC14" s="76">
        <v>7.3055000000000003</v>
      </c>
      <c r="BD14" s="76">
        <v>8.5516000000000005</v>
      </c>
      <c r="BE14" s="76">
        <v>8.2088999999999999</v>
      </c>
      <c r="BF14" s="76">
        <v>7.4443000000000001</v>
      </c>
      <c r="BG14" s="76">
        <v>9.8254000000000001</v>
      </c>
      <c r="BH14" s="76">
        <v>8.8002000000000002</v>
      </c>
      <c r="BI14" s="76">
        <v>8.3720999999999997</v>
      </c>
      <c r="BJ14" s="76">
        <v>8.1579999999999995</v>
      </c>
      <c r="BK14" s="76">
        <v>8.2548999999999992</v>
      </c>
      <c r="BL14" s="76">
        <v>9.0653000000000006</v>
      </c>
      <c r="BM14" s="76">
        <v>8.7372999999999994</v>
      </c>
      <c r="BN14" s="76">
        <v>9.7072000000000003</v>
      </c>
      <c r="BO14" s="76">
        <v>11.7766</v>
      </c>
      <c r="BP14" s="76">
        <v>9.2292000000000005</v>
      </c>
      <c r="BQ14" s="76">
        <v>7.9405999999999999</v>
      </c>
      <c r="BR14" s="76">
        <v>9.5635999999999992</v>
      </c>
      <c r="BS14" s="76">
        <v>9.6937999999999995</v>
      </c>
      <c r="BT14" s="76">
        <v>8.6571999999999996</v>
      </c>
      <c r="BU14" s="76">
        <v>6.7801999999999998</v>
      </c>
      <c r="BV14" s="76">
        <v>6.6139000000000001</v>
      </c>
    </row>
    <row r="15" spans="1:74" x14ac:dyDescent="0.2">
      <c r="A15" s="60" t="s">
        <v>205</v>
      </c>
      <c r="B15" s="60" t="s">
        <v>67</v>
      </c>
      <c r="C15" s="64">
        <v>6046</v>
      </c>
      <c r="D15" s="64">
        <v>6269</v>
      </c>
      <c r="E15" s="64">
        <v>5792</v>
      </c>
      <c r="F15" s="64">
        <v>6649</v>
      </c>
      <c r="G15" s="64">
        <v>7394</v>
      </c>
      <c r="H15" s="72">
        <v>7206</v>
      </c>
      <c r="I15" s="64">
        <v>7149.1819999999998</v>
      </c>
      <c r="J15" s="64">
        <v>7417.5</v>
      </c>
      <c r="K15" s="64"/>
      <c r="L15" s="64"/>
      <c r="M15" s="64"/>
      <c r="O15" s="62" t="s">
        <v>206</v>
      </c>
      <c r="P15" s="62" t="s">
        <v>207</v>
      </c>
      <c r="Q15" s="68">
        <v>2.2831000000000001</v>
      </c>
      <c r="R15" s="68">
        <v>-28.013400000000001</v>
      </c>
      <c r="S15" s="68">
        <v>12.8682</v>
      </c>
      <c r="T15" s="68">
        <v>0</v>
      </c>
      <c r="U15" s="68">
        <v>-16.895600000000002</v>
      </c>
      <c r="V15" s="68">
        <v>10.4132</v>
      </c>
      <c r="W15" s="68">
        <v>5.6886000000000001</v>
      </c>
      <c r="X15" s="68">
        <v>17.847000000000001</v>
      </c>
      <c r="Y15" s="68">
        <v>7.4519000000000002</v>
      </c>
      <c r="Z15" s="68">
        <v>10.402699999999999</v>
      </c>
      <c r="AA15" s="68">
        <v>-9.0172000000000008</v>
      </c>
      <c r="AB15" s="68">
        <v>26.391999999999999</v>
      </c>
      <c r="AC15" s="68">
        <v>-25.110099999999999</v>
      </c>
      <c r="AD15" s="68">
        <v>3.2940999999999998</v>
      </c>
      <c r="AE15" s="68">
        <v>-8.9977</v>
      </c>
      <c r="AF15" s="68">
        <v>45.556899999999999</v>
      </c>
      <c r="AG15" s="68">
        <v>-0.34389999999999998</v>
      </c>
      <c r="AH15" s="68">
        <v>3.7101000000000002</v>
      </c>
      <c r="AI15" s="68">
        <v>-2.3294999999999999</v>
      </c>
      <c r="AJ15" s="68">
        <v>0</v>
      </c>
      <c r="AK15" s="68">
        <v>-5.7069999999999999</v>
      </c>
      <c r="AL15" s="68">
        <v>-10.1174</v>
      </c>
      <c r="AM15" s="68">
        <v>-0.20100000000000001</v>
      </c>
      <c r="AN15" s="68">
        <v>0.70489999999999997</v>
      </c>
      <c r="AO15" s="68">
        <v>-3.8</v>
      </c>
      <c r="AP15" s="68">
        <v>9.3554999999999993</v>
      </c>
      <c r="AQ15" s="68">
        <v>7.3193999999999999</v>
      </c>
      <c r="AR15" s="68">
        <v>-13.0204</v>
      </c>
      <c r="AS15" s="68">
        <v>-4.4806999999999997</v>
      </c>
      <c r="AT15" s="68">
        <v>3.4115000000000002</v>
      </c>
      <c r="AU15" s="68">
        <v>4.1237000000000004</v>
      </c>
      <c r="AV15" s="68">
        <v>-2.3761999999999999</v>
      </c>
      <c r="AW15" s="68">
        <v>-7.5050999999999997</v>
      </c>
      <c r="AX15" s="68">
        <v>25.877199999999998</v>
      </c>
      <c r="AY15" s="68">
        <v>14.3728</v>
      </c>
      <c r="BA15" s="60"/>
      <c r="BB15" s="61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61"/>
    </row>
    <row r="16" spans="1:74" x14ac:dyDescent="0.2">
      <c r="A16" s="65" t="s">
        <v>204</v>
      </c>
      <c r="B16" s="65" t="s">
        <v>67</v>
      </c>
      <c r="C16" s="66">
        <v>49.355102040816298</v>
      </c>
      <c r="D16" s="66">
        <v>52.517382927033601</v>
      </c>
      <c r="E16" s="66">
        <v>54.7292828120571</v>
      </c>
      <c r="F16" s="66">
        <v>53.098546558057798</v>
      </c>
      <c r="G16" s="66">
        <v>49.781188985390202</v>
      </c>
      <c r="H16" s="73">
        <v>48.997076222207099</v>
      </c>
      <c r="I16" s="66">
        <v>48.919574817673301</v>
      </c>
      <c r="J16" s="66">
        <v>49.463698146806799</v>
      </c>
      <c r="K16" s="66"/>
      <c r="L16" s="66"/>
      <c r="M16" s="66"/>
      <c r="O16" s="62" t="s">
        <v>208</v>
      </c>
      <c r="P16" s="62" t="s">
        <v>209</v>
      </c>
      <c r="Q16" s="68">
        <v>-33.608800000000002</v>
      </c>
      <c r="R16" s="68">
        <v>-1.6597999999999999</v>
      </c>
      <c r="S16" s="68">
        <v>8.4388000000000005</v>
      </c>
      <c r="T16" s="68">
        <v>-19.8444</v>
      </c>
      <c r="U16" s="68">
        <v>-8.2523999999999997</v>
      </c>
      <c r="V16" s="68">
        <v>5.2910000000000004</v>
      </c>
      <c r="W16" s="68">
        <v>6.0301999999999998</v>
      </c>
      <c r="X16" s="68">
        <v>4.2653999999999996</v>
      </c>
      <c r="Y16" s="68">
        <v>4.0909000000000004</v>
      </c>
      <c r="Z16" s="68">
        <v>-0.87339999999999995</v>
      </c>
      <c r="AA16" s="68">
        <v>-0.88109999999999999</v>
      </c>
      <c r="AB16" s="68">
        <v>-2.2222</v>
      </c>
      <c r="AC16" s="68">
        <v>11.3636</v>
      </c>
      <c r="AD16" s="68">
        <v>-15.9184</v>
      </c>
      <c r="AE16" s="68">
        <v>-12.6214</v>
      </c>
      <c r="AF16" s="68">
        <v>-5.5556000000000001</v>
      </c>
      <c r="AG16" s="68">
        <v>-2.9411999999999998</v>
      </c>
      <c r="AH16" s="68">
        <v>20.606100000000001</v>
      </c>
      <c r="AI16" s="68">
        <v>2.5125999999999999</v>
      </c>
      <c r="AJ16" s="68">
        <v>17.647099999999998</v>
      </c>
      <c r="AK16" s="68">
        <v>-9.5832999999999995</v>
      </c>
      <c r="AL16" s="68">
        <v>-6.4516</v>
      </c>
      <c r="AM16" s="68">
        <v>7.3891999999999998</v>
      </c>
      <c r="AN16" s="68">
        <v>10.091699999999999</v>
      </c>
      <c r="AO16" s="68">
        <v>14.166700000000001</v>
      </c>
      <c r="AP16" s="68">
        <v>-8.0291999999999994</v>
      </c>
      <c r="AQ16" s="68">
        <v>8.3332999999999995</v>
      </c>
      <c r="AR16" s="68">
        <v>28.205100000000002</v>
      </c>
      <c r="AS16" s="68">
        <v>16.285699999999999</v>
      </c>
      <c r="AT16" s="68">
        <v>-8.5995000000000008</v>
      </c>
      <c r="AU16" s="68">
        <v>-29.301100000000002</v>
      </c>
      <c r="AV16" s="68">
        <v>-0.76049999999999995</v>
      </c>
      <c r="AW16" s="68">
        <v>15.7088</v>
      </c>
      <c r="AX16" s="68">
        <v>12.2517</v>
      </c>
      <c r="AY16" s="68">
        <v>0.59</v>
      </c>
      <c r="BA16" s="60" t="s">
        <v>210</v>
      </c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143" cm="1">
        <f t="array" ref="BV16">GEOMEAN(BC15:BR15/100+1)-1</f>
        <v>0</v>
      </c>
    </row>
    <row r="17" spans="1:74" x14ac:dyDescent="0.2">
      <c r="A17" s="60" t="s">
        <v>211</v>
      </c>
      <c r="B17" s="60" t="s">
        <v>212</v>
      </c>
      <c r="C17" s="64">
        <v>3200.34</v>
      </c>
      <c r="D17" s="64">
        <v>3198.09</v>
      </c>
      <c r="E17" s="64">
        <v>2737.35</v>
      </c>
      <c r="F17" s="64">
        <v>3378.34</v>
      </c>
      <c r="G17" s="64">
        <v>3907.98</v>
      </c>
      <c r="H17" s="72">
        <v>3750.01</v>
      </c>
      <c r="I17" s="64">
        <v>3695.192</v>
      </c>
      <c r="J17" s="64">
        <v>3837.5770000000002</v>
      </c>
      <c r="K17" s="64"/>
      <c r="L17" s="64"/>
      <c r="M17" s="64"/>
      <c r="O17" s="62" t="s">
        <v>213</v>
      </c>
      <c r="P17" s="62" t="s">
        <v>214</v>
      </c>
      <c r="Q17" s="68">
        <v>-5.2252999999999998</v>
      </c>
      <c r="R17" s="68">
        <v>0.218</v>
      </c>
      <c r="S17" s="68">
        <v>3.5122</v>
      </c>
      <c r="T17" s="68">
        <v>1.8616999999999999</v>
      </c>
      <c r="U17" s="68">
        <v>4.5102000000000002</v>
      </c>
      <c r="V17" s="68">
        <v>1.4291</v>
      </c>
      <c r="W17" s="68">
        <v>2.3730000000000002</v>
      </c>
      <c r="X17" s="68">
        <v>2.2907999999999999</v>
      </c>
      <c r="Y17" s="68">
        <v>5.3907999999999996</v>
      </c>
      <c r="Z17" s="68">
        <v>4.1996000000000002</v>
      </c>
      <c r="AA17" s="68">
        <v>1.9265000000000001</v>
      </c>
      <c r="AB17" s="68">
        <v>-3.0684</v>
      </c>
      <c r="AC17" s="68">
        <v>3.1410999999999998</v>
      </c>
      <c r="AD17" s="68">
        <v>2.6103000000000001</v>
      </c>
      <c r="AE17" s="68">
        <v>2.4205999999999999</v>
      </c>
      <c r="AF17" s="68">
        <v>3.3418999999999999</v>
      </c>
      <c r="AG17" s="68">
        <v>45.265799999999999</v>
      </c>
      <c r="AH17" s="68">
        <v>1.093</v>
      </c>
      <c r="AI17" s="68">
        <v>3.7692999999999999</v>
      </c>
      <c r="AJ17" s="68">
        <v>4.0960000000000001</v>
      </c>
      <c r="AK17" s="68">
        <v>4.1689999999999996</v>
      </c>
      <c r="AL17" s="68">
        <v>1.6573</v>
      </c>
      <c r="AM17" s="68">
        <v>3.1867999999999999</v>
      </c>
      <c r="AN17" s="68">
        <v>4.9371999999999998</v>
      </c>
      <c r="AO17" s="68">
        <v>4.3085000000000004</v>
      </c>
      <c r="AP17" s="68">
        <v>4.7638999999999996</v>
      </c>
      <c r="AQ17" s="68">
        <v>4.7378</v>
      </c>
      <c r="AR17" s="68">
        <v>5.5625999999999998</v>
      </c>
      <c r="AS17" s="68">
        <v>3.2345999999999999</v>
      </c>
      <c r="AT17" s="68">
        <v>1.9711000000000001</v>
      </c>
      <c r="AU17" s="68">
        <v>0.73670000000000002</v>
      </c>
      <c r="AV17" s="68">
        <v>2.1939000000000002</v>
      </c>
      <c r="AW17" s="68">
        <v>0.66059999999999997</v>
      </c>
      <c r="AX17" s="68">
        <v>1.8228</v>
      </c>
      <c r="AY17" s="68">
        <v>3.6728999999999998</v>
      </c>
      <c r="BA17" s="62" t="s">
        <v>215</v>
      </c>
      <c r="BB17" s="62" t="s">
        <v>161</v>
      </c>
      <c r="BC17" s="68">
        <v>64016.049700000003</v>
      </c>
      <c r="BD17" s="68">
        <v>82787.191200000001</v>
      </c>
      <c r="BE17" s="68">
        <v>207598.5203</v>
      </c>
      <c r="BF17" s="68">
        <v>55968.361599999997</v>
      </c>
      <c r="BG17" s="68">
        <v>50833.523399999998</v>
      </c>
      <c r="BH17" s="68">
        <v>48950.703500000003</v>
      </c>
      <c r="BI17" s="68">
        <v>33349.507400000002</v>
      </c>
      <c r="BJ17" s="68">
        <v>25228.880799999999</v>
      </c>
      <c r="BK17" s="68">
        <v>36371.5579</v>
      </c>
      <c r="BL17" s="68">
        <v>28540.649399999998</v>
      </c>
      <c r="BM17" s="68">
        <v>19828.0236</v>
      </c>
      <c r="BN17" s="68">
        <v>22095.2464</v>
      </c>
      <c r="BO17" s="68">
        <v>23905.7</v>
      </c>
      <c r="BP17" s="68">
        <v>19807.2</v>
      </c>
      <c r="BQ17" s="68">
        <v>12301.569</v>
      </c>
      <c r="BR17" s="68">
        <v>18056.139299999999</v>
      </c>
      <c r="BS17" s="68">
        <v>15072.2145</v>
      </c>
      <c r="BT17" s="68">
        <v>11078.166300000001</v>
      </c>
      <c r="BU17" s="68">
        <v>8638.4022999999997</v>
      </c>
      <c r="BV17" s="68">
        <v>7669.4318999999996</v>
      </c>
    </row>
    <row r="18" spans="1:74" x14ac:dyDescent="0.2">
      <c r="A18" s="65" t="s">
        <v>204</v>
      </c>
      <c r="B18" s="65" t="s">
        <v>212</v>
      </c>
      <c r="C18" s="66">
        <v>26.125224489795901</v>
      </c>
      <c r="D18" s="66">
        <v>26.7914048755969</v>
      </c>
      <c r="E18" s="66">
        <v>25.865539072096801</v>
      </c>
      <c r="F18" s="66">
        <v>26.979236543683101</v>
      </c>
      <c r="G18" s="66">
        <v>26.3110482730761</v>
      </c>
      <c r="H18" s="73">
        <v>25.498130142109201</v>
      </c>
      <c r="I18" s="66">
        <v>25.285021630400198</v>
      </c>
      <c r="J18" s="66">
        <v>25.590933649225299</v>
      </c>
      <c r="K18" s="66"/>
      <c r="L18" s="66"/>
      <c r="M18" s="66"/>
      <c r="O18" s="62" t="s">
        <v>216</v>
      </c>
      <c r="P18" s="62" t="s">
        <v>217</v>
      </c>
      <c r="Q18" s="68">
        <v>-1.5494000000000001</v>
      </c>
      <c r="R18" s="68">
        <v>-5.5888</v>
      </c>
      <c r="S18" s="68">
        <v>4.1144999999999996</v>
      </c>
      <c r="T18" s="68">
        <v>-4.6899999999999997E-2</v>
      </c>
      <c r="U18" s="68">
        <v>1.9612000000000001</v>
      </c>
      <c r="V18" s="68">
        <v>2.8431000000000002</v>
      </c>
      <c r="W18" s="68">
        <v>2.2652999999999999</v>
      </c>
      <c r="X18" s="68">
        <v>4.0659000000000001</v>
      </c>
      <c r="Y18" s="68">
        <v>18.785900000000002</v>
      </c>
      <c r="Z18" s="68">
        <v>17.636299999999999</v>
      </c>
      <c r="AA18" s="68">
        <v>2.3551000000000002</v>
      </c>
      <c r="AB18" s="68">
        <v>1.4343999999999999</v>
      </c>
      <c r="AC18" s="68">
        <v>-1.1052</v>
      </c>
      <c r="AD18" s="68">
        <v>1.5128999999999999</v>
      </c>
      <c r="AE18" s="68">
        <v>0.72109999999999996</v>
      </c>
      <c r="AF18" s="68">
        <v>3.8614000000000002</v>
      </c>
      <c r="AG18" s="68">
        <v>13.074400000000001</v>
      </c>
      <c r="AH18" s="68">
        <v>-1.516</v>
      </c>
      <c r="AI18" s="68">
        <v>3.7017000000000002</v>
      </c>
      <c r="AJ18" s="68">
        <v>1.6116999999999999</v>
      </c>
      <c r="AK18" s="68">
        <v>2.9529000000000001</v>
      </c>
      <c r="AL18" s="68">
        <v>2.2786</v>
      </c>
      <c r="AM18" s="68">
        <v>4.6639999999999997</v>
      </c>
      <c r="AN18" s="68">
        <v>4.2748999999999997</v>
      </c>
      <c r="AO18" s="68">
        <v>4.1814</v>
      </c>
      <c r="AP18" s="68">
        <v>3.9613</v>
      </c>
      <c r="AQ18" s="68">
        <v>3.9990999999999999</v>
      </c>
      <c r="AR18" s="68">
        <v>5.1191000000000004</v>
      </c>
      <c r="AS18" s="68">
        <v>1.9255</v>
      </c>
      <c r="AT18" s="68">
        <v>0.91769999999999996</v>
      </c>
      <c r="AU18" s="68">
        <v>2.7700999999999998</v>
      </c>
      <c r="AV18" s="68">
        <v>4.1601999999999997</v>
      </c>
      <c r="AW18" s="68">
        <v>4.0149999999999997</v>
      </c>
      <c r="AX18" s="68">
        <v>1.8546</v>
      </c>
      <c r="AY18" s="68">
        <v>3.4073000000000002</v>
      </c>
      <c r="BA18" s="62" t="s">
        <v>218</v>
      </c>
      <c r="BB18" s="62" t="s">
        <v>219</v>
      </c>
      <c r="BC18" s="68">
        <v>220</v>
      </c>
      <c r="BD18" s="68">
        <v>245</v>
      </c>
      <c r="BE18" s="68">
        <v>446</v>
      </c>
      <c r="BF18" s="68">
        <v>302</v>
      </c>
      <c r="BG18" s="68">
        <v>18</v>
      </c>
      <c r="BH18" s="68">
        <v>19</v>
      </c>
      <c r="BI18" s="68">
        <v>331</v>
      </c>
      <c r="BJ18" s="68">
        <v>20</v>
      </c>
      <c r="BK18" s="68">
        <v>228</v>
      </c>
      <c r="BL18" s="68">
        <v>533</v>
      </c>
      <c r="BM18" s="68">
        <v>780</v>
      </c>
      <c r="BN18" s="68">
        <v>507</v>
      </c>
      <c r="BO18" s="68">
        <v>613</v>
      </c>
      <c r="BP18" s="68">
        <v>113</v>
      </c>
      <c r="BQ18" s="68">
        <v>320</v>
      </c>
      <c r="BR18" s="68">
        <v>787</v>
      </c>
      <c r="BS18" s="68">
        <v>600</v>
      </c>
      <c r="BT18" s="68">
        <v>937</v>
      </c>
      <c r="BU18" s="68">
        <v>1084</v>
      </c>
      <c r="BV18" s="68">
        <v>428</v>
      </c>
    </row>
    <row r="19" spans="1:74" x14ac:dyDescent="0.2">
      <c r="A19" s="60" t="s">
        <v>220</v>
      </c>
      <c r="B19" s="60" t="s">
        <v>221</v>
      </c>
      <c r="C19" s="76">
        <v>1.2383</v>
      </c>
      <c r="D19" s="76">
        <v>1.3345</v>
      </c>
      <c r="E19" s="76">
        <v>0.39600000000000002</v>
      </c>
      <c r="F19" s="76">
        <v>1.5014000000000001</v>
      </c>
      <c r="G19" s="76">
        <v>1.8294999999999999</v>
      </c>
      <c r="H19" s="77">
        <v>1.8314600000000001</v>
      </c>
      <c r="I19" s="76">
        <v>1.833</v>
      </c>
      <c r="J19" s="76">
        <v>1.984</v>
      </c>
      <c r="K19" s="76"/>
      <c r="L19" s="76"/>
      <c r="M19" s="76"/>
      <c r="O19" s="62" t="s">
        <v>222</v>
      </c>
      <c r="P19" s="62" t="s">
        <v>223</v>
      </c>
      <c r="Q19" s="68">
        <v>-30.416699999999999</v>
      </c>
      <c r="R19" s="68">
        <v>-92.814400000000006</v>
      </c>
      <c r="S19" s="68" t="s">
        <v>182</v>
      </c>
      <c r="T19" s="68" t="s">
        <v>182</v>
      </c>
      <c r="U19" s="68" t="s">
        <v>182</v>
      </c>
      <c r="V19" s="68">
        <v>53.271000000000001</v>
      </c>
      <c r="W19" s="68">
        <v>82</v>
      </c>
      <c r="X19" s="68">
        <v>-666.66669999999999</v>
      </c>
      <c r="Y19" s="68">
        <v>4.3478000000000003</v>
      </c>
      <c r="Z19" s="68" t="s">
        <v>182</v>
      </c>
      <c r="AA19" s="68" t="s">
        <v>182</v>
      </c>
      <c r="AB19" s="68" t="s">
        <v>182</v>
      </c>
      <c r="AC19" s="68">
        <v>-89.873400000000004</v>
      </c>
      <c r="AD19" s="68">
        <v>637.5</v>
      </c>
      <c r="AE19" s="68">
        <v>50</v>
      </c>
      <c r="AF19" s="68">
        <v>185.87569999999999</v>
      </c>
      <c r="AG19" s="68">
        <v>-10.2767</v>
      </c>
      <c r="AH19" s="68">
        <v>-1.5419</v>
      </c>
      <c r="AI19" s="68">
        <v>-9.6196999999999999</v>
      </c>
      <c r="AJ19" s="68">
        <v>8.4158000000000008</v>
      </c>
      <c r="AK19" s="68">
        <v>-19.863</v>
      </c>
      <c r="AL19" s="68">
        <v>-34.188000000000002</v>
      </c>
      <c r="AM19" s="68">
        <v>-28.571400000000001</v>
      </c>
      <c r="AN19" s="68">
        <v>34.545499999999997</v>
      </c>
      <c r="AO19" s="68">
        <v>0</v>
      </c>
      <c r="AP19" s="68">
        <v>56.3063</v>
      </c>
      <c r="AQ19" s="68">
        <v>60.518700000000003</v>
      </c>
      <c r="AR19" s="68">
        <v>1.9749000000000001</v>
      </c>
      <c r="AS19" s="68">
        <v>-5.1055999999999999</v>
      </c>
      <c r="AT19" s="68">
        <v>-8.1632999999999996</v>
      </c>
      <c r="AU19" s="68">
        <v>-34.545499999999997</v>
      </c>
      <c r="AV19" s="68">
        <v>-37.036999999999999</v>
      </c>
      <c r="AW19" s="68">
        <v>98.529399999999995</v>
      </c>
      <c r="AX19" s="68">
        <v>29.3827</v>
      </c>
      <c r="AY19" s="68">
        <v>0</v>
      </c>
      <c r="BA19" s="62" t="s">
        <v>224</v>
      </c>
      <c r="BB19" s="62" t="s">
        <v>225</v>
      </c>
      <c r="BC19" s="68">
        <v>18384</v>
      </c>
      <c r="BD19" s="68">
        <v>16663</v>
      </c>
      <c r="BE19" s="68">
        <v>16759</v>
      </c>
      <c r="BF19" s="68">
        <v>16486</v>
      </c>
      <c r="BG19" s="68">
        <v>14739</v>
      </c>
      <c r="BH19" s="68">
        <v>11790</v>
      </c>
      <c r="BI19" s="68">
        <v>10962</v>
      </c>
      <c r="BJ19" s="68">
        <v>10515</v>
      </c>
      <c r="BK19" s="68">
        <v>9514</v>
      </c>
      <c r="BL19" s="68">
        <v>9022</v>
      </c>
      <c r="BM19" s="68">
        <v>9052</v>
      </c>
      <c r="BN19" s="68">
        <v>8734</v>
      </c>
      <c r="BO19" s="68">
        <v>8051</v>
      </c>
      <c r="BP19" s="68">
        <v>7895</v>
      </c>
      <c r="BQ19" s="68">
        <v>7512</v>
      </c>
      <c r="BR19" s="68">
        <v>6470</v>
      </c>
      <c r="BS19" s="68">
        <v>5362</v>
      </c>
      <c r="BT19" s="68">
        <v>5093</v>
      </c>
      <c r="BU19" s="68">
        <v>6248</v>
      </c>
      <c r="BV19" s="68">
        <v>6886</v>
      </c>
    </row>
    <row r="20" spans="1:74" x14ac:dyDescent="0.2">
      <c r="A20" s="65" t="s">
        <v>193</v>
      </c>
      <c r="B20" s="65" t="s">
        <v>221</v>
      </c>
      <c r="C20" s="66">
        <v>65.458561203179499</v>
      </c>
      <c r="D20" s="66">
        <v>7.76737838361651</v>
      </c>
      <c r="E20" s="66">
        <v>-70.326001026597893</v>
      </c>
      <c r="F20" s="66">
        <v>279.14980012676699</v>
      </c>
      <c r="G20" s="66">
        <v>21.849001989427499</v>
      </c>
      <c r="H20" s="73">
        <v>3.2091621757631601</v>
      </c>
      <c r="I20" s="66">
        <v>0.192075807084614</v>
      </c>
      <c r="J20" s="66">
        <v>8.2378614293507901</v>
      </c>
      <c r="K20" s="66"/>
      <c r="L20" s="66"/>
      <c r="M20" s="66"/>
      <c r="O20" s="62" t="s">
        <v>226</v>
      </c>
      <c r="P20" s="62" t="s">
        <v>227</v>
      </c>
      <c r="Q20" s="68" t="s">
        <v>182</v>
      </c>
      <c r="R20" s="68">
        <v>0.95850000000000002</v>
      </c>
      <c r="S20" s="68">
        <v>6.7742000000000004</v>
      </c>
      <c r="T20" s="68">
        <v>-62.9758</v>
      </c>
      <c r="U20" s="68">
        <v>8.8109999999999999</v>
      </c>
      <c r="V20" s="68">
        <v>18.0442</v>
      </c>
      <c r="W20" s="68">
        <v>-19.318200000000001</v>
      </c>
      <c r="X20" s="68">
        <v>-25.714300000000001</v>
      </c>
      <c r="Y20" s="68">
        <v>35.132599999999996</v>
      </c>
      <c r="Z20" s="68">
        <v>22.335799999999999</v>
      </c>
      <c r="AA20" s="68">
        <v>-15.7895</v>
      </c>
      <c r="AB20" s="68">
        <v>-47.7273</v>
      </c>
      <c r="AC20" s="68">
        <v>-35.604399999999998</v>
      </c>
      <c r="AD20" s="68">
        <v>0.4052</v>
      </c>
      <c r="AE20" s="68">
        <v>45.890999999999998</v>
      </c>
      <c r="AF20" s="68">
        <v>53.834600000000002</v>
      </c>
      <c r="AG20" s="68">
        <v>-2.2801</v>
      </c>
      <c r="AH20" s="68">
        <v>-93.312100000000001</v>
      </c>
      <c r="AI20" s="68" t="s">
        <v>182</v>
      </c>
      <c r="AJ20" s="68" t="s">
        <v>182</v>
      </c>
      <c r="AK20" s="68">
        <v>92.777799999999999</v>
      </c>
      <c r="AL20" s="68" t="s">
        <v>182</v>
      </c>
      <c r="AM20" s="68">
        <v>-54.893599999999999</v>
      </c>
      <c r="AN20" s="68">
        <v>-22.012599999999999</v>
      </c>
      <c r="AO20" s="68">
        <v>-29.838699999999999</v>
      </c>
      <c r="AP20" s="68">
        <v>2.2989000000000002</v>
      </c>
      <c r="AQ20" s="68">
        <v>161.23599999999999</v>
      </c>
      <c r="AR20" s="68">
        <v>90.967699999999994</v>
      </c>
      <c r="AS20" s="68">
        <v>-49.662199999999999</v>
      </c>
      <c r="AT20" s="68">
        <v>-95.302000000000007</v>
      </c>
      <c r="AU20" s="68">
        <v>2995.2381</v>
      </c>
      <c r="AV20" s="68">
        <v>73.384600000000006</v>
      </c>
      <c r="AW20" s="68">
        <v>114.9068</v>
      </c>
      <c r="AX20" s="68">
        <v>-32.287399999999998</v>
      </c>
      <c r="AY20" s="68">
        <v>-15.9756</v>
      </c>
      <c r="BA20" s="62" t="s">
        <v>228</v>
      </c>
      <c r="BB20" s="62" t="s">
        <v>229</v>
      </c>
      <c r="BC20" s="68">
        <v>0</v>
      </c>
      <c r="BD20" s="68">
        <v>0</v>
      </c>
      <c r="BE20" s="68">
        <v>0</v>
      </c>
      <c r="BF20" s="68">
        <v>0</v>
      </c>
      <c r="BG20" s="68">
        <v>0</v>
      </c>
      <c r="BH20" s="68">
        <v>0</v>
      </c>
      <c r="BI20" s="68">
        <v>0</v>
      </c>
      <c r="BJ20" s="68">
        <v>0</v>
      </c>
      <c r="BK20" s="68">
        <v>0</v>
      </c>
      <c r="BL20" s="68">
        <v>0</v>
      </c>
      <c r="BM20" s="68">
        <v>0</v>
      </c>
      <c r="BN20" s="68">
        <v>0</v>
      </c>
      <c r="BO20" s="68">
        <v>0</v>
      </c>
      <c r="BP20" s="68">
        <v>0</v>
      </c>
      <c r="BQ20" s="68">
        <v>0</v>
      </c>
      <c r="BR20" s="68" t="s">
        <v>182</v>
      </c>
      <c r="BS20" s="68">
        <v>0</v>
      </c>
      <c r="BT20" s="68">
        <v>0</v>
      </c>
      <c r="BU20" s="68">
        <v>0</v>
      </c>
      <c r="BV20" s="68">
        <v>0</v>
      </c>
    </row>
    <row r="21" spans="1:74" x14ac:dyDescent="0.2">
      <c r="A21" s="60"/>
      <c r="B21" s="61"/>
      <c r="C21" s="61"/>
      <c r="D21" s="61"/>
      <c r="E21" s="61"/>
      <c r="F21" s="61"/>
      <c r="G21" s="61"/>
      <c r="H21" s="70"/>
      <c r="I21" s="61"/>
      <c r="J21" s="61"/>
      <c r="K21" s="61"/>
      <c r="L21" s="61"/>
      <c r="M21" s="61"/>
      <c r="O21" s="62" t="s">
        <v>230</v>
      </c>
      <c r="P21" s="62" t="s">
        <v>231</v>
      </c>
      <c r="Q21" s="68">
        <v>-3.3611</v>
      </c>
      <c r="R21" s="68">
        <v>-1.6138999999999999</v>
      </c>
      <c r="S21" s="68">
        <v>-3.1263999999999998</v>
      </c>
      <c r="T21" s="68">
        <v>-2.9161999999999999</v>
      </c>
      <c r="U21" s="68">
        <v>-4.6839000000000004</v>
      </c>
      <c r="V21" s="68">
        <v>-1.1240000000000001</v>
      </c>
      <c r="W21" s="68">
        <v>-9.7379999999999995</v>
      </c>
      <c r="X21" s="68">
        <v>10.6403</v>
      </c>
      <c r="Y21" s="68">
        <v>0.66810000000000003</v>
      </c>
      <c r="Z21" s="68">
        <v>-0.8518</v>
      </c>
      <c r="AA21" s="68">
        <v>-1.6286</v>
      </c>
      <c r="AB21" s="68" t="s">
        <v>182</v>
      </c>
      <c r="AC21" s="68" t="s">
        <v>182</v>
      </c>
      <c r="AD21" s="68">
        <v>-3.8717000000000001</v>
      </c>
      <c r="AE21" s="68" t="s">
        <v>182</v>
      </c>
      <c r="AF21" s="68" t="s">
        <v>182</v>
      </c>
      <c r="AG21" s="68">
        <v>-4.4488000000000003</v>
      </c>
      <c r="AH21" s="68">
        <v>-2.3628</v>
      </c>
      <c r="AI21" s="68">
        <v>2.8571</v>
      </c>
      <c r="AJ21" s="68">
        <v>-2.7778</v>
      </c>
      <c r="AK21" s="68">
        <v>-2.8571</v>
      </c>
      <c r="AL21" s="68">
        <v>-11.5059</v>
      </c>
      <c r="AM21" s="68">
        <v>-0.29249999999999998</v>
      </c>
      <c r="AN21" s="68">
        <v>3.3332999999999999</v>
      </c>
      <c r="AO21" s="68">
        <v>3.2258</v>
      </c>
      <c r="AP21" s="68">
        <v>-3.125</v>
      </c>
      <c r="AQ21" s="68">
        <v>3.2258</v>
      </c>
      <c r="AR21" s="68">
        <v>-9.375</v>
      </c>
      <c r="AS21" s="68">
        <v>-6.8966000000000003</v>
      </c>
      <c r="AT21" s="68">
        <v>-11.1111</v>
      </c>
      <c r="AU21" s="68">
        <v>-6.25</v>
      </c>
      <c r="AV21" s="68">
        <v>-6.6666999999999996</v>
      </c>
      <c r="AW21" s="68">
        <v>-8.1809999999999992</v>
      </c>
      <c r="AX21" s="68">
        <v>8.4898000000000007</v>
      </c>
      <c r="AY21" s="68">
        <v>7.7584999999999997</v>
      </c>
      <c r="BA21" s="60" t="s">
        <v>232</v>
      </c>
      <c r="BB21" s="60" t="s">
        <v>233</v>
      </c>
      <c r="BC21" s="76">
        <v>82620.049700000003</v>
      </c>
      <c r="BD21" s="76">
        <v>99695.191200000001</v>
      </c>
      <c r="BE21" s="76">
        <v>224803.5203</v>
      </c>
      <c r="BF21" s="76">
        <v>72756.361600000004</v>
      </c>
      <c r="BG21" s="76">
        <v>65590.523400000005</v>
      </c>
      <c r="BH21" s="76">
        <v>60759.703500000003</v>
      </c>
      <c r="BI21" s="76">
        <v>44642.507400000002</v>
      </c>
      <c r="BJ21" s="76">
        <v>35763.880799999999</v>
      </c>
      <c r="BK21" s="76">
        <v>46113.5579</v>
      </c>
      <c r="BL21" s="76">
        <v>38095.649400000002</v>
      </c>
      <c r="BM21" s="76">
        <v>29660.0236</v>
      </c>
      <c r="BN21" s="76">
        <v>31336.2464</v>
      </c>
      <c r="BO21" s="76">
        <v>32569.7</v>
      </c>
      <c r="BP21" s="76">
        <v>27815.200000000001</v>
      </c>
      <c r="BQ21" s="76">
        <v>20133.569</v>
      </c>
      <c r="BR21" s="76">
        <v>25313.139299999999</v>
      </c>
      <c r="BS21" s="76">
        <v>21034.214499999998</v>
      </c>
      <c r="BT21" s="76">
        <v>17108.166300000001</v>
      </c>
      <c r="BU21" s="76">
        <v>15970.4023</v>
      </c>
      <c r="BV21" s="76">
        <v>14983.4319</v>
      </c>
    </row>
    <row r="22" spans="1:74" x14ac:dyDescent="0.2">
      <c r="A22" s="60" t="s">
        <v>234</v>
      </c>
      <c r="B22" s="60" t="s">
        <v>235</v>
      </c>
      <c r="C22" s="64">
        <v>4641</v>
      </c>
      <c r="D22" s="64">
        <v>4850</v>
      </c>
      <c r="E22" s="64">
        <v>4263</v>
      </c>
      <c r="F22" s="64">
        <v>5099</v>
      </c>
      <c r="G22" s="64">
        <v>5619</v>
      </c>
      <c r="H22" s="72">
        <v>5413</v>
      </c>
      <c r="I22" s="64"/>
      <c r="J22" s="64"/>
      <c r="K22" s="64"/>
      <c r="L22" s="64"/>
      <c r="M22" s="64"/>
      <c r="O22" s="62" t="s">
        <v>236</v>
      </c>
      <c r="P22" s="62" t="s">
        <v>237</v>
      </c>
      <c r="Q22" s="68">
        <v>5.7971000000000004</v>
      </c>
      <c r="R22" s="68">
        <v>6.8493000000000004</v>
      </c>
      <c r="S22" s="68">
        <v>20.279699999999998</v>
      </c>
      <c r="T22" s="68">
        <v>-10.2713</v>
      </c>
      <c r="U22" s="68">
        <v>-2.6998000000000002</v>
      </c>
      <c r="V22" s="68">
        <v>1.7758</v>
      </c>
      <c r="W22" s="68">
        <v>0.98150000000000004</v>
      </c>
      <c r="X22" s="68">
        <v>21.058299999999999</v>
      </c>
      <c r="Y22" s="68">
        <v>6.0659999999999998</v>
      </c>
      <c r="Z22" s="68">
        <v>-0.84099999999999997</v>
      </c>
      <c r="AA22" s="68">
        <v>3.1383000000000001</v>
      </c>
      <c r="AB22" s="68">
        <v>-1.5625</v>
      </c>
      <c r="AC22" s="68">
        <v>-9.8580000000000005</v>
      </c>
      <c r="AD22" s="68">
        <v>-10.4727</v>
      </c>
      <c r="AE22" s="68">
        <v>-16.9772</v>
      </c>
      <c r="AF22" s="68">
        <v>3.1172</v>
      </c>
      <c r="AG22" s="68">
        <v>5.1994999999999996</v>
      </c>
      <c r="AH22" s="68">
        <v>9.6552000000000007</v>
      </c>
      <c r="AI22" s="68">
        <v>2.0964</v>
      </c>
      <c r="AJ22" s="68">
        <v>0.20530000000000001</v>
      </c>
      <c r="AK22" s="68">
        <v>-0.30740000000000001</v>
      </c>
      <c r="AL22" s="68">
        <v>-0.61660000000000004</v>
      </c>
      <c r="AM22" s="68">
        <v>8.1696000000000009</v>
      </c>
      <c r="AN22" s="68">
        <v>-2.6768999999999998</v>
      </c>
      <c r="AO22" s="68">
        <v>-0.39290000000000003</v>
      </c>
      <c r="AP22" s="68">
        <v>-5.6212999999999997</v>
      </c>
      <c r="AQ22" s="68">
        <v>-11.703200000000001</v>
      </c>
      <c r="AR22" s="68">
        <v>-9.5858000000000008</v>
      </c>
      <c r="AS22" s="68">
        <v>5.4973999999999998</v>
      </c>
      <c r="AT22" s="68">
        <v>5.0868000000000002</v>
      </c>
      <c r="AU22" s="68">
        <v>12.0425</v>
      </c>
      <c r="AV22" s="68">
        <v>9.9052000000000007</v>
      </c>
      <c r="AW22" s="68">
        <v>-22.435300000000002</v>
      </c>
      <c r="AX22" s="68">
        <v>19.035799999999998</v>
      </c>
      <c r="AY22" s="68">
        <v>17.3416</v>
      </c>
      <c r="BA22" s="60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</row>
    <row r="23" spans="1:74" x14ac:dyDescent="0.2">
      <c r="A23" s="60" t="s">
        <v>238</v>
      </c>
      <c r="B23" s="60" t="s">
        <v>239</v>
      </c>
      <c r="C23" s="64">
        <v>-1745</v>
      </c>
      <c r="D23" s="64">
        <v>-1657</v>
      </c>
      <c r="E23" s="64">
        <v>-1626</v>
      </c>
      <c r="F23" s="64">
        <v>-1791</v>
      </c>
      <c r="G23" s="64">
        <v>-2133</v>
      </c>
      <c r="H23" s="72">
        <v>-2286</v>
      </c>
      <c r="I23" s="64">
        <v>-2279.6190000000001</v>
      </c>
      <c r="J23" s="64">
        <v>-2244.0479999999998</v>
      </c>
      <c r="K23" s="64"/>
      <c r="L23" s="64"/>
      <c r="M23" s="64"/>
      <c r="O23" s="62" t="s">
        <v>240</v>
      </c>
      <c r="P23" s="62" t="s">
        <v>241</v>
      </c>
      <c r="Q23" s="68">
        <v>270.27859999999998</v>
      </c>
      <c r="R23" s="68">
        <v>-61.204000000000001</v>
      </c>
      <c r="S23" s="68">
        <v>-23.060300000000002</v>
      </c>
      <c r="T23" s="68">
        <v>11.4846</v>
      </c>
      <c r="U23" s="68">
        <v>-46.231200000000001</v>
      </c>
      <c r="V23" s="68">
        <v>44.8598</v>
      </c>
      <c r="W23" s="68">
        <v>65.483900000000006</v>
      </c>
      <c r="X23" s="68">
        <v>23.5867</v>
      </c>
      <c r="Y23" s="68">
        <v>-31.2303</v>
      </c>
      <c r="Z23" s="68">
        <v>-18.577999999999999</v>
      </c>
      <c r="AA23" s="68">
        <v>-19.154900000000001</v>
      </c>
      <c r="AB23" s="68">
        <v>221.6028</v>
      </c>
      <c r="AC23" s="68">
        <v>-0.2167</v>
      </c>
      <c r="AD23" s="68">
        <v>37.784999999999997</v>
      </c>
      <c r="AE23" s="68">
        <v>-57.919600000000003</v>
      </c>
      <c r="AF23" s="68">
        <v>-19.850200000000001</v>
      </c>
      <c r="AG23" s="68">
        <v>153.27099999999999</v>
      </c>
      <c r="AH23" s="68">
        <v>-13.5609</v>
      </c>
      <c r="AI23" s="68">
        <v>-35.965800000000002</v>
      </c>
      <c r="AJ23" s="68">
        <v>31.166699999999999</v>
      </c>
      <c r="AK23" s="68">
        <v>-59.339300000000001</v>
      </c>
      <c r="AL23" s="68">
        <v>-64.6875</v>
      </c>
      <c r="AM23" s="68">
        <v>442.47789999999998</v>
      </c>
      <c r="AN23" s="68">
        <v>-17.292000000000002</v>
      </c>
      <c r="AO23" s="68">
        <v>53.846200000000003</v>
      </c>
      <c r="AP23" s="68">
        <v>-31.666699999999999</v>
      </c>
      <c r="AQ23" s="68">
        <v>-57.223300000000002</v>
      </c>
      <c r="AR23" s="68">
        <v>-91.228099999999998</v>
      </c>
      <c r="AS23" s="68">
        <v>1555</v>
      </c>
      <c r="AT23" s="68">
        <v>-94.259799999999998</v>
      </c>
      <c r="AU23" s="68">
        <v>-5.2632000000000003</v>
      </c>
      <c r="AV23" s="68">
        <v>1577.7778000000001</v>
      </c>
      <c r="AW23" s="68">
        <v>47.682099999999998</v>
      </c>
      <c r="AX23" s="68">
        <v>-45.067300000000003</v>
      </c>
      <c r="AY23" s="68">
        <v>-10.2041</v>
      </c>
      <c r="BA23" s="60" t="s">
        <v>242</v>
      </c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</row>
    <row r="24" spans="1:74" x14ac:dyDescent="0.2">
      <c r="A24" s="60" t="s">
        <v>243</v>
      </c>
      <c r="B24" s="60" t="s">
        <v>244</v>
      </c>
      <c r="C24" s="64">
        <v>2896</v>
      </c>
      <c r="D24" s="64">
        <v>3193</v>
      </c>
      <c r="E24" s="64">
        <v>2637</v>
      </c>
      <c r="F24" s="64">
        <v>3308</v>
      </c>
      <c r="G24" s="64">
        <v>3486</v>
      </c>
      <c r="H24" s="72">
        <v>3127</v>
      </c>
      <c r="I24" s="64">
        <v>3130.9270000000001</v>
      </c>
      <c r="J24" s="64">
        <v>3480.17</v>
      </c>
      <c r="K24" s="64"/>
      <c r="L24" s="64"/>
      <c r="M24" s="64"/>
      <c r="O24" s="62" t="s">
        <v>245</v>
      </c>
      <c r="P24" s="62" t="s">
        <v>246</v>
      </c>
      <c r="Q24" s="68">
        <v>21.319900000000001</v>
      </c>
      <c r="R24" s="68">
        <v>-24.527000000000001</v>
      </c>
      <c r="S24" s="68">
        <v>5.9855999999999998</v>
      </c>
      <c r="T24" s="68">
        <v>-5.3223000000000003</v>
      </c>
      <c r="U24" s="68">
        <v>8.0261999999999993</v>
      </c>
      <c r="V24" s="68">
        <v>-0.46260000000000001</v>
      </c>
      <c r="W24" s="68">
        <v>-9.0618999999999996</v>
      </c>
      <c r="X24" s="68">
        <v>-8.7830999999999992</v>
      </c>
      <c r="Y24" s="68">
        <v>66.911799999999999</v>
      </c>
      <c r="Z24" s="68">
        <v>42.039000000000001</v>
      </c>
      <c r="AA24" s="68">
        <v>-0.76800000000000002</v>
      </c>
      <c r="AB24" s="68">
        <v>5.9532999999999996</v>
      </c>
      <c r="AC24" s="68">
        <v>-5.4501999999999997</v>
      </c>
      <c r="AD24" s="68">
        <v>5.601</v>
      </c>
      <c r="AE24" s="68">
        <v>-0.77380000000000004</v>
      </c>
      <c r="AF24" s="68">
        <v>3.7006000000000001</v>
      </c>
      <c r="AG24" s="68">
        <v>0.24610000000000001</v>
      </c>
      <c r="AH24" s="68">
        <v>-17.7578</v>
      </c>
      <c r="AI24" s="68">
        <v>-1.1276999999999999</v>
      </c>
      <c r="AJ24" s="68">
        <v>21.7209</v>
      </c>
      <c r="AK24" s="68">
        <v>7.9234</v>
      </c>
      <c r="AL24" s="68">
        <v>2.2471999999999999</v>
      </c>
      <c r="AM24" s="68">
        <v>8.1918000000000006</v>
      </c>
      <c r="AN24" s="68">
        <v>6.6597</v>
      </c>
      <c r="AO24" s="68">
        <v>6.3954000000000004</v>
      </c>
      <c r="AP24" s="68">
        <v>-2.8172999999999999</v>
      </c>
      <c r="AQ24" s="68">
        <v>1.9571000000000001</v>
      </c>
      <c r="AR24" s="68">
        <v>8.14</v>
      </c>
      <c r="AS24" s="68">
        <v>7.1951000000000001</v>
      </c>
      <c r="AT24" s="68">
        <v>4.5692000000000004</v>
      </c>
      <c r="AU24" s="68">
        <v>24.963999999999999</v>
      </c>
      <c r="AV24" s="68">
        <v>13.763</v>
      </c>
      <c r="AW24" s="68">
        <v>2.4839000000000002</v>
      </c>
      <c r="AX24" s="68">
        <v>-1.7262</v>
      </c>
      <c r="AY24" s="68">
        <v>10.030799999999999</v>
      </c>
      <c r="BA24" s="62" t="s">
        <v>247</v>
      </c>
      <c r="BB24" s="62" t="s">
        <v>248</v>
      </c>
      <c r="BC24" s="68">
        <v>5949</v>
      </c>
      <c r="BD24" s="68">
        <v>5536</v>
      </c>
      <c r="BE24" s="68">
        <v>4322</v>
      </c>
      <c r="BF24" s="68">
        <v>4927</v>
      </c>
      <c r="BG24" s="68">
        <v>4825</v>
      </c>
      <c r="BH24" s="68">
        <v>3753</v>
      </c>
      <c r="BI24" s="68">
        <v>3398</v>
      </c>
      <c r="BJ24" s="68">
        <v>3613</v>
      </c>
      <c r="BK24" s="68">
        <v>3693</v>
      </c>
      <c r="BL24" s="68">
        <v>3517</v>
      </c>
      <c r="BM24" s="68">
        <v>3496</v>
      </c>
      <c r="BN24" s="68">
        <v>3503</v>
      </c>
      <c r="BO24" s="68">
        <v>3086</v>
      </c>
      <c r="BP24" s="68">
        <v>2273</v>
      </c>
      <c r="BQ24" s="68">
        <v>2767</v>
      </c>
      <c r="BR24" s="68">
        <v>2287</v>
      </c>
      <c r="BS24" s="68">
        <v>2164</v>
      </c>
      <c r="BT24" s="68">
        <v>1562</v>
      </c>
      <c r="BU24" s="68">
        <v>1005</v>
      </c>
      <c r="BV24" s="68">
        <v>513</v>
      </c>
    </row>
    <row r="25" spans="1:74" x14ac:dyDescent="0.2">
      <c r="A25" s="69" t="s">
        <v>249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O25" s="62" t="s">
        <v>250</v>
      </c>
      <c r="P25" s="62" t="s">
        <v>251</v>
      </c>
      <c r="Q25" s="68">
        <v>-32.356299999999997</v>
      </c>
      <c r="R25" s="68">
        <v>0.37059999999999998</v>
      </c>
      <c r="S25" s="68">
        <v>0.56799999999999995</v>
      </c>
      <c r="T25" s="68">
        <v>-10.138400000000001</v>
      </c>
      <c r="U25" s="68">
        <v>-6.5053000000000001</v>
      </c>
      <c r="V25" s="68">
        <v>6.8907999999999996</v>
      </c>
      <c r="W25" s="68">
        <v>17.327000000000002</v>
      </c>
      <c r="X25" s="68">
        <v>13.696099999999999</v>
      </c>
      <c r="Y25" s="68">
        <v>17.751100000000001</v>
      </c>
      <c r="Z25" s="68">
        <v>15.4354</v>
      </c>
      <c r="AA25" s="68">
        <v>1.9771000000000001</v>
      </c>
      <c r="AB25" s="68">
        <v>-2.1088</v>
      </c>
      <c r="AC25" s="68">
        <v>4.5343999999999998</v>
      </c>
      <c r="AD25" s="68">
        <v>1.7118</v>
      </c>
      <c r="AE25" s="68">
        <v>1.9771000000000001</v>
      </c>
      <c r="AF25" s="68">
        <v>3.3969</v>
      </c>
      <c r="AG25" s="68">
        <v>5.5477999999999996</v>
      </c>
      <c r="AH25" s="68">
        <v>16.781700000000001</v>
      </c>
      <c r="AI25" s="68">
        <v>12.4214</v>
      </c>
      <c r="AJ25" s="68">
        <v>-2.8740999999999999</v>
      </c>
      <c r="AK25" s="68">
        <v>-7.3345000000000002</v>
      </c>
      <c r="AL25" s="68">
        <v>8.9463000000000008</v>
      </c>
      <c r="AM25" s="68">
        <v>-0.77549999999999997</v>
      </c>
      <c r="AN25" s="68">
        <v>-2.6667000000000001</v>
      </c>
      <c r="AO25" s="68">
        <v>6.3060999999999998</v>
      </c>
      <c r="AP25" s="68">
        <v>16.685199999999998</v>
      </c>
      <c r="AQ25" s="68">
        <v>6.3975999999999997</v>
      </c>
      <c r="AR25" s="68">
        <v>4.4023000000000003</v>
      </c>
      <c r="AS25" s="68">
        <v>0.2228</v>
      </c>
      <c r="AT25" s="68">
        <v>25.885100000000001</v>
      </c>
      <c r="AU25" s="68">
        <v>-14.543799999999999</v>
      </c>
      <c r="AV25" s="68">
        <v>-5.6994999999999996</v>
      </c>
      <c r="AW25" s="68">
        <v>10.511699999999999</v>
      </c>
      <c r="AX25" s="68">
        <v>2.9748000000000001</v>
      </c>
      <c r="AY25" s="68">
        <v>-6.4814999999999996</v>
      </c>
      <c r="BA25" s="62" t="s">
        <v>252</v>
      </c>
      <c r="BB25" s="62" t="s">
        <v>253</v>
      </c>
      <c r="BC25" s="68">
        <v>1202.3827000000001</v>
      </c>
      <c r="BD25" s="68">
        <v>1106.9511</v>
      </c>
      <c r="BE25" s="68">
        <v>829.6816</v>
      </c>
      <c r="BF25" s="68">
        <v>862.11519999999996</v>
      </c>
      <c r="BG25" s="68">
        <v>853.61689999999999</v>
      </c>
      <c r="BH25" s="68">
        <v>849</v>
      </c>
      <c r="BI25" s="68">
        <v>852.79309999999998</v>
      </c>
      <c r="BJ25" s="68">
        <v>874.29060000000004</v>
      </c>
      <c r="BK25" s="68">
        <v>1115.7953</v>
      </c>
      <c r="BL25" s="68">
        <v>727.50649999999996</v>
      </c>
      <c r="BM25" s="68">
        <v>730.79390000000001</v>
      </c>
      <c r="BN25" s="68">
        <v>723.77549999999997</v>
      </c>
      <c r="BO25" s="68">
        <v>694.70029999999997</v>
      </c>
      <c r="BP25" s="68">
        <v>465.4708</v>
      </c>
      <c r="BQ25" s="68">
        <v>816.33119999999997</v>
      </c>
      <c r="BR25" s="68">
        <v>841.39750000000004</v>
      </c>
      <c r="BS25" s="68">
        <v>615.66380000000004</v>
      </c>
      <c r="BT25" s="68">
        <v>625.7799</v>
      </c>
      <c r="BU25" s="68">
        <v>-2051.2008999999998</v>
      </c>
      <c r="BV25" s="68">
        <v>-22.333300000000001</v>
      </c>
    </row>
    <row r="26" spans="1:74" x14ac:dyDescent="0.2"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O26" s="62" t="s">
        <v>254</v>
      </c>
      <c r="P26" s="62" t="s">
        <v>255</v>
      </c>
      <c r="Q26" s="68">
        <v>-10.783099999999999</v>
      </c>
      <c r="R26" s="68">
        <v>-13.236800000000001</v>
      </c>
      <c r="S26" s="68">
        <v>3.1436000000000002</v>
      </c>
      <c r="T26" s="68">
        <v>-7.7855999999999996</v>
      </c>
      <c r="U26" s="68">
        <v>0.78320000000000001</v>
      </c>
      <c r="V26" s="68">
        <v>2.9375</v>
      </c>
      <c r="W26" s="68">
        <v>3.6086</v>
      </c>
      <c r="X26" s="68">
        <v>3.4392</v>
      </c>
      <c r="Y26" s="68">
        <v>37.531700000000001</v>
      </c>
      <c r="Z26" s="68">
        <v>28.426600000000001</v>
      </c>
      <c r="AA26" s="68">
        <v>0.4945</v>
      </c>
      <c r="AB26" s="68">
        <v>2.1907000000000001</v>
      </c>
      <c r="AC26" s="68">
        <v>-0.98640000000000005</v>
      </c>
      <c r="AD26" s="68">
        <v>3.7652999999999999</v>
      </c>
      <c r="AE26" s="68">
        <v>0.49890000000000001</v>
      </c>
      <c r="AF26" s="68">
        <v>3.5579999999999998</v>
      </c>
      <c r="AG26" s="68">
        <v>2.7311999999999999</v>
      </c>
      <c r="AH26" s="68">
        <v>-1.1242000000000001</v>
      </c>
      <c r="AI26" s="68">
        <v>6.5789</v>
      </c>
      <c r="AJ26" s="68">
        <v>6.9645999999999999</v>
      </c>
      <c r="AK26" s="68">
        <v>-0.38890000000000002</v>
      </c>
      <c r="AL26" s="68">
        <v>5.6422999999999996</v>
      </c>
      <c r="AM26" s="68">
        <v>3.5049999999999999</v>
      </c>
      <c r="AN26" s="68">
        <v>1.9869000000000001</v>
      </c>
      <c r="AO26" s="68">
        <v>6.3526999999999996</v>
      </c>
      <c r="AP26" s="68">
        <v>6.5042</v>
      </c>
      <c r="AQ26" s="68">
        <v>4.2824</v>
      </c>
      <c r="AR26" s="68">
        <v>6.1429999999999998</v>
      </c>
      <c r="AS26" s="68">
        <v>3.5310999999999999</v>
      </c>
      <c r="AT26" s="68">
        <v>15.4131</v>
      </c>
      <c r="AU26" s="68">
        <v>3.0417999999999998</v>
      </c>
      <c r="AV26" s="68">
        <v>4.8067000000000002</v>
      </c>
      <c r="AW26" s="68">
        <v>5.8078000000000003</v>
      </c>
      <c r="AX26" s="68">
        <v>0.30680000000000002</v>
      </c>
      <c r="AY26" s="68">
        <v>2.6999</v>
      </c>
      <c r="BA26" s="62" t="s">
        <v>256</v>
      </c>
      <c r="BB26" s="62" t="s">
        <v>257</v>
      </c>
      <c r="BC26" s="68">
        <v>4746.6172999999999</v>
      </c>
      <c r="BD26" s="68">
        <v>4429.0488999999998</v>
      </c>
      <c r="BE26" s="68">
        <v>3492.3184000000001</v>
      </c>
      <c r="BF26" s="68">
        <v>4064.8847999999998</v>
      </c>
      <c r="BG26" s="68">
        <v>3971.3831</v>
      </c>
      <c r="BH26" s="68">
        <v>2904</v>
      </c>
      <c r="BI26" s="68">
        <v>2545.2069000000001</v>
      </c>
      <c r="BJ26" s="68">
        <v>2738.7094000000002</v>
      </c>
      <c r="BK26" s="68">
        <v>2577.2046999999998</v>
      </c>
      <c r="BL26" s="68">
        <v>2789.4935</v>
      </c>
      <c r="BM26" s="68">
        <v>2765.2060999999999</v>
      </c>
      <c r="BN26" s="68">
        <v>2779.2244999999998</v>
      </c>
      <c r="BO26" s="68">
        <v>2391.2997</v>
      </c>
      <c r="BP26" s="68">
        <v>1807.5291999999999</v>
      </c>
      <c r="BQ26" s="68">
        <v>1950.6687999999999</v>
      </c>
      <c r="BR26" s="68">
        <v>1445.6025</v>
      </c>
      <c r="BS26" s="68">
        <v>1548.3362</v>
      </c>
      <c r="BT26" s="68">
        <v>936.2201</v>
      </c>
      <c r="BU26" s="68">
        <v>3056.2008999999998</v>
      </c>
      <c r="BV26" s="68">
        <v>535.33330000000001</v>
      </c>
    </row>
    <row r="27" spans="1:74" x14ac:dyDescent="0.2"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O27" s="62" t="s">
        <v>258</v>
      </c>
      <c r="P27" s="62" t="s">
        <v>259</v>
      </c>
      <c r="Q27" s="68">
        <v>-2.7610999999999999</v>
      </c>
      <c r="R27" s="68">
        <v>9.3673999999999999</v>
      </c>
      <c r="S27" s="68">
        <v>8.1204999999999998</v>
      </c>
      <c r="T27" s="68">
        <v>-13.507199999999999</v>
      </c>
      <c r="U27" s="68">
        <v>-7.4973999999999998</v>
      </c>
      <c r="V27" s="68">
        <v>6.1532</v>
      </c>
      <c r="W27" s="68">
        <v>16.736599999999999</v>
      </c>
      <c r="X27" s="68">
        <v>13.128399999999999</v>
      </c>
      <c r="Y27" s="68">
        <v>14.2818</v>
      </c>
      <c r="Z27" s="68">
        <v>14.681900000000001</v>
      </c>
      <c r="AA27" s="68">
        <v>2.5365000000000002</v>
      </c>
      <c r="AB27" s="68">
        <v>-2.7025999999999999</v>
      </c>
      <c r="AC27" s="68">
        <v>7.3381999999999996</v>
      </c>
      <c r="AD27" s="68">
        <v>1.2596000000000001</v>
      </c>
      <c r="AE27" s="68">
        <v>1.5025999999999999</v>
      </c>
      <c r="AF27" s="68">
        <v>3.2122999999999999</v>
      </c>
      <c r="AG27" s="68">
        <v>5.3235000000000001</v>
      </c>
      <c r="AH27" s="68">
        <v>15.3506</v>
      </c>
      <c r="AI27" s="68">
        <v>12.072699999999999</v>
      </c>
      <c r="AJ27" s="68">
        <v>4.2461000000000002</v>
      </c>
      <c r="AK27" s="68">
        <v>-3.2204999999999999</v>
      </c>
      <c r="AL27" s="68">
        <v>8.0876000000000001</v>
      </c>
      <c r="AM27" s="68">
        <v>5.3910999999999998</v>
      </c>
      <c r="AN27" s="68">
        <v>2.9855</v>
      </c>
      <c r="AO27" s="68">
        <v>9.2906999999999993</v>
      </c>
      <c r="AP27" s="68">
        <v>17.9772</v>
      </c>
      <c r="AQ27" s="68">
        <v>8.2344000000000008</v>
      </c>
      <c r="AR27" s="68">
        <v>7.3053999999999997</v>
      </c>
      <c r="AS27" s="68">
        <v>4.2633000000000001</v>
      </c>
      <c r="AT27" s="68">
        <v>31.333100000000002</v>
      </c>
      <c r="AU27" s="68">
        <v>-7.0827</v>
      </c>
      <c r="AV27" s="68">
        <v>-0.24</v>
      </c>
      <c r="AW27" s="68">
        <v>-62.6126</v>
      </c>
      <c r="AX27" s="68">
        <v>220.9453</v>
      </c>
      <c r="AY27" s="68">
        <v>-0.35780000000000001</v>
      </c>
      <c r="BA27" s="62" t="s">
        <v>260</v>
      </c>
      <c r="BB27" s="62" t="s">
        <v>261</v>
      </c>
      <c r="BC27" s="68">
        <v>38983</v>
      </c>
      <c r="BD27" s="68">
        <v>37959</v>
      </c>
      <c r="BE27" s="68">
        <v>37841</v>
      </c>
      <c r="BF27" s="68">
        <v>36008</v>
      </c>
      <c r="BG27" s="68">
        <v>34486</v>
      </c>
      <c r="BH27" s="68">
        <v>33300</v>
      </c>
      <c r="BI27" s="68">
        <v>33077</v>
      </c>
      <c r="BJ27" s="68">
        <v>32078</v>
      </c>
      <c r="BK27" s="68">
        <v>30337</v>
      </c>
      <c r="BL27" s="68">
        <v>28869</v>
      </c>
      <c r="BM27" s="68">
        <v>27592</v>
      </c>
      <c r="BN27" s="68">
        <v>26118</v>
      </c>
      <c r="BO27" s="68">
        <v>24984</v>
      </c>
      <c r="BP27" s="68">
        <v>23919</v>
      </c>
      <c r="BQ27" s="68">
        <v>22849</v>
      </c>
      <c r="BR27" s="68">
        <v>22431</v>
      </c>
      <c r="BS27" s="68">
        <v>21523</v>
      </c>
      <c r="BT27" s="68">
        <v>20594</v>
      </c>
      <c r="BU27" s="68">
        <v>20902</v>
      </c>
      <c r="BV27" s="68">
        <v>18042</v>
      </c>
    </row>
    <row r="28" spans="1:74" x14ac:dyDescent="0.2">
      <c r="O28" s="62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BA28" s="62" t="s">
        <v>24</v>
      </c>
      <c r="BB28" s="62" t="s">
        <v>24</v>
      </c>
      <c r="BC28" s="68">
        <v>7.3055000000000003</v>
      </c>
      <c r="BD28" s="68">
        <v>8.5516000000000005</v>
      </c>
      <c r="BE28" s="68">
        <v>8.2088999999999999</v>
      </c>
      <c r="BF28" s="68">
        <v>7.4443000000000001</v>
      </c>
      <c r="BG28" s="68">
        <v>9.8254000000000001</v>
      </c>
      <c r="BH28" s="68">
        <v>8.8002000000000002</v>
      </c>
      <c r="BI28" s="68">
        <v>8.3720999999999997</v>
      </c>
      <c r="BJ28" s="68">
        <v>8.1579999999999995</v>
      </c>
      <c r="BK28" s="68">
        <v>8.2548999999999992</v>
      </c>
      <c r="BL28" s="68">
        <v>9.0653000000000006</v>
      </c>
      <c r="BM28" s="68">
        <v>8.7372999999999994</v>
      </c>
      <c r="BN28" s="68">
        <v>9.7072000000000003</v>
      </c>
      <c r="BO28" s="68">
        <v>11.7766</v>
      </c>
      <c r="BP28" s="68">
        <v>9.2292000000000005</v>
      </c>
      <c r="BQ28" s="68">
        <v>7.9405999999999999</v>
      </c>
      <c r="BR28" s="68">
        <v>9.5635999999999992</v>
      </c>
      <c r="BS28" s="68">
        <v>9.6937999999999995</v>
      </c>
      <c r="BT28" s="68">
        <v>8.6571999999999996</v>
      </c>
      <c r="BU28" s="68">
        <v>6.7801999999999998</v>
      </c>
      <c r="BV28" s="68">
        <v>6.6139000000000001</v>
      </c>
    </row>
    <row r="29" spans="1:74" x14ac:dyDescent="0.2">
      <c r="O29" s="62" t="s">
        <v>262</v>
      </c>
      <c r="P29" s="62" t="s">
        <v>263</v>
      </c>
      <c r="Q29" s="68">
        <v>-32.919800000000002</v>
      </c>
      <c r="R29" s="68">
        <v>24.1677</v>
      </c>
      <c r="S29" s="68">
        <v>-11.718</v>
      </c>
      <c r="T29" s="68">
        <v>-2.5872000000000002</v>
      </c>
      <c r="U29" s="68">
        <v>8.4296000000000006</v>
      </c>
      <c r="V29" s="68">
        <v>2.4493999999999998</v>
      </c>
      <c r="W29" s="68">
        <v>37.837800000000001</v>
      </c>
      <c r="X29" s="68">
        <v>18.175000000000001</v>
      </c>
      <c r="Y29" s="68">
        <v>-8.1046999999999993</v>
      </c>
      <c r="Z29" s="68">
        <v>8.1943999999999999</v>
      </c>
      <c r="AA29" s="68">
        <v>-35.815100000000001</v>
      </c>
      <c r="AB29" s="68">
        <v>7.1</v>
      </c>
      <c r="AC29" s="68">
        <v>-33.706800000000001</v>
      </c>
      <c r="AD29" s="68">
        <v>16.478899999999999</v>
      </c>
      <c r="AE29" s="68">
        <v>36.275700000000001</v>
      </c>
      <c r="AF29" s="68">
        <v>-28.6602</v>
      </c>
      <c r="AG29" s="68">
        <v>79.850700000000003</v>
      </c>
      <c r="AH29" s="68">
        <v>-23.236499999999999</v>
      </c>
      <c r="AI29" s="68">
        <v>85.4054</v>
      </c>
      <c r="AJ29" s="68">
        <v>6.1223999999999998</v>
      </c>
      <c r="AK29" s="68">
        <v>33.424900000000001</v>
      </c>
      <c r="AL29" s="68">
        <v>-30.0275</v>
      </c>
      <c r="AM29" s="68">
        <v>59.9313</v>
      </c>
      <c r="AN29" s="68">
        <v>7.0530999999999997</v>
      </c>
      <c r="AO29" s="68">
        <v>-15.611599999999999</v>
      </c>
      <c r="AP29" s="68">
        <v>10.896100000000001</v>
      </c>
      <c r="AQ29" s="68">
        <v>2.3262999999999998</v>
      </c>
      <c r="AR29" s="68">
        <v>0.80769999999999997</v>
      </c>
      <c r="AS29" s="68">
        <v>-9.7626000000000008</v>
      </c>
      <c r="AT29" s="68">
        <v>14.173</v>
      </c>
      <c r="AU29" s="68">
        <v>33.669400000000003</v>
      </c>
      <c r="AV29" s="68">
        <v>4.5033000000000003</v>
      </c>
      <c r="AW29" s="68">
        <v>-12.1031</v>
      </c>
      <c r="AX29" s="68">
        <v>19.610600000000002</v>
      </c>
      <c r="AY29" s="68">
        <v>10.1981</v>
      </c>
      <c r="BA29" s="62" t="s">
        <v>264</v>
      </c>
      <c r="BB29" s="62" t="s">
        <v>265</v>
      </c>
      <c r="BC29" s="68">
        <v>2847.8995</v>
      </c>
      <c r="BD29" s="68">
        <v>3246.1048999999998</v>
      </c>
      <c r="BE29" s="68">
        <v>3106.3292000000001</v>
      </c>
      <c r="BF29" s="68">
        <v>2680.5590000000002</v>
      </c>
      <c r="BG29" s="68">
        <v>3388.3883999999998</v>
      </c>
      <c r="BH29" s="68">
        <v>2930.4645999999998</v>
      </c>
      <c r="BI29" s="68">
        <v>2769.2336</v>
      </c>
      <c r="BJ29" s="68">
        <v>2616.9094</v>
      </c>
      <c r="BK29" s="68">
        <v>2504.2847999999999</v>
      </c>
      <c r="BL29" s="68">
        <v>2617.0650999999998</v>
      </c>
      <c r="BM29" s="68">
        <v>2410.7885999999999</v>
      </c>
      <c r="BN29" s="68">
        <v>2535.3353999999999</v>
      </c>
      <c r="BO29" s="68">
        <v>2942.2646</v>
      </c>
      <c r="BP29" s="68">
        <v>2207.5387999999998</v>
      </c>
      <c r="BQ29" s="68">
        <v>1814.3501000000001</v>
      </c>
      <c r="BR29" s="68">
        <v>2145.2112000000002</v>
      </c>
      <c r="BS29" s="68">
        <v>2086.3874000000001</v>
      </c>
      <c r="BT29" s="68">
        <v>1782.8579</v>
      </c>
      <c r="BU29" s="68">
        <v>1417.1948</v>
      </c>
      <c r="BV29" s="68">
        <v>1193.2710999999999</v>
      </c>
    </row>
    <row r="30" spans="1:74" x14ac:dyDescent="0.2">
      <c r="O30" s="62" t="s">
        <v>238</v>
      </c>
      <c r="P30" s="62" t="s">
        <v>266</v>
      </c>
      <c r="Q30" s="68">
        <v>49.569499999999998</v>
      </c>
      <c r="R30" s="68">
        <v>7.2367999999999997</v>
      </c>
      <c r="S30" s="68">
        <v>-9.0490999999999993</v>
      </c>
      <c r="T30" s="68">
        <v>-27.150099999999998</v>
      </c>
      <c r="U30" s="68">
        <v>20.4861</v>
      </c>
      <c r="V30" s="68">
        <v>-26.224799999999998</v>
      </c>
      <c r="W30" s="68">
        <v>13.9323</v>
      </c>
      <c r="X30" s="68">
        <v>32.1143</v>
      </c>
      <c r="Y30" s="68">
        <v>5.7957999999999998</v>
      </c>
      <c r="Z30" s="68">
        <v>-8.0130999999999997</v>
      </c>
      <c r="AA30" s="68">
        <v>31.466699999999999</v>
      </c>
      <c r="AB30" s="68">
        <v>2.5693000000000001</v>
      </c>
      <c r="AC30" s="68">
        <v>-39.815399999999997</v>
      </c>
      <c r="AD30" s="68">
        <v>1.8620000000000001</v>
      </c>
      <c r="AE30" s="68">
        <v>16.129000000000001</v>
      </c>
      <c r="AF30" s="68">
        <v>-1.9443999999999999</v>
      </c>
      <c r="AG30" s="68">
        <v>-2.7383999999999999</v>
      </c>
      <c r="AH30" s="68">
        <v>10.2913</v>
      </c>
      <c r="AI30" s="68">
        <v>44.278199999999998</v>
      </c>
      <c r="AJ30" s="68">
        <v>8.1757000000000009</v>
      </c>
      <c r="AK30" s="68">
        <v>-1.8613</v>
      </c>
      <c r="AL30" s="68">
        <v>-18.045999999999999</v>
      </c>
      <c r="AM30" s="68">
        <v>29.032299999999999</v>
      </c>
      <c r="AN30" s="68">
        <v>24.837</v>
      </c>
      <c r="AO30" s="68">
        <v>1.9155</v>
      </c>
      <c r="AP30" s="68">
        <v>-1.1960999999999999</v>
      </c>
      <c r="AQ30" s="68">
        <v>5.8798000000000004</v>
      </c>
      <c r="AR30" s="68">
        <v>4.6140999999999996</v>
      </c>
      <c r="AS30" s="68">
        <v>-6.4012000000000002</v>
      </c>
      <c r="AT30" s="68">
        <v>-14.9291</v>
      </c>
      <c r="AU30" s="68">
        <v>-14.460800000000001</v>
      </c>
      <c r="AV30" s="68">
        <v>-5.0430000000000001</v>
      </c>
      <c r="AW30" s="68">
        <v>-1.8709</v>
      </c>
      <c r="AX30" s="68">
        <v>10.147600000000001</v>
      </c>
      <c r="AY30" s="68">
        <v>19.095500000000001</v>
      </c>
      <c r="BA30" s="60" t="s">
        <v>267</v>
      </c>
      <c r="BB30" s="60" t="s">
        <v>268</v>
      </c>
      <c r="BC30" s="76">
        <v>1898.7177999999999</v>
      </c>
      <c r="BD30" s="76">
        <v>1182.944</v>
      </c>
      <c r="BE30" s="76">
        <v>385.98930000000001</v>
      </c>
      <c r="BF30" s="76">
        <v>1384.3258000000001</v>
      </c>
      <c r="BG30" s="76">
        <v>582.99469999999997</v>
      </c>
      <c r="BH30" s="76">
        <v>-26.464600000000001</v>
      </c>
      <c r="BI30" s="76">
        <v>-224.02670000000001</v>
      </c>
      <c r="BJ30" s="76">
        <v>121.79989999999999</v>
      </c>
      <c r="BK30" s="76">
        <v>72.919899999999998</v>
      </c>
      <c r="BL30" s="76">
        <v>172.42840000000001</v>
      </c>
      <c r="BM30" s="76">
        <v>354.41750000000002</v>
      </c>
      <c r="BN30" s="76">
        <v>243.88910000000001</v>
      </c>
      <c r="BO30" s="76">
        <v>-550.96500000000003</v>
      </c>
      <c r="BP30" s="76">
        <v>-400.00959999999998</v>
      </c>
      <c r="BQ30" s="76">
        <v>136.3186</v>
      </c>
      <c r="BR30" s="76">
        <v>-699.6087</v>
      </c>
      <c r="BS30" s="76">
        <v>-538.05119999999999</v>
      </c>
      <c r="BT30" s="76">
        <v>-846.63779999999997</v>
      </c>
      <c r="BU30" s="76">
        <v>1639.0061000000001</v>
      </c>
      <c r="BV30" s="76">
        <v>-657.93769999999995</v>
      </c>
    </row>
    <row r="31" spans="1:74" x14ac:dyDescent="0.2">
      <c r="O31" s="62" t="s">
        <v>269</v>
      </c>
      <c r="P31" s="62" t="s">
        <v>270</v>
      </c>
      <c r="Q31" s="68" t="s">
        <v>182</v>
      </c>
      <c r="R31" s="68" t="s">
        <v>182</v>
      </c>
      <c r="S31" s="68" t="s">
        <v>182</v>
      </c>
      <c r="T31" s="68">
        <v>88.888900000000007</v>
      </c>
      <c r="U31" s="68" t="s">
        <v>182</v>
      </c>
      <c r="V31" s="68" t="s">
        <v>182</v>
      </c>
      <c r="W31" s="68">
        <v>56.578899999999997</v>
      </c>
      <c r="X31" s="68" t="s">
        <v>182</v>
      </c>
      <c r="Y31" s="68">
        <v>-12.7273</v>
      </c>
      <c r="Z31" s="68" t="s">
        <v>182</v>
      </c>
      <c r="AA31" s="68">
        <v>-24.786300000000001</v>
      </c>
      <c r="AB31" s="68" t="s">
        <v>182</v>
      </c>
      <c r="AC31" s="68" t="s">
        <v>182</v>
      </c>
      <c r="AD31" s="68">
        <v>66.3934</v>
      </c>
      <c r="AE31" s="68">
        <v>91.869900000000001</v>
      </c>
      <c r="AF31" s="68" t="s">
        <v>182</v>
      </c>
      <c r="AG31" s="68">
        <v>33.727800000000002</v>
      </c>
      <c r="AH31" s="68" t="s">
        <v>182</v>
      </c>
      <c r="AI31" s="68" t="s">
        <v>182</v>
      </c>
      <c r="AJ31" s="68" t="s">
        <v>182</v>
      </c>
      <c r="AK31" s="68" t="s">
        <v>182</v>
      </c>
      <c r="AL31" s="68">
        <v>19.601299999999998</v>
      </c>
      <c r="AM31" s="68">
        <v>-26.944400000000002</v>
      </c>
      <c r="AN31" s="68" t="s">
        <v>182</v>
      </c>
      <c r="AO31" s="68" t="s">
        <v>182</v>
      </c>
      <c r="AP31" s="68" t="s">
        <v>182</v>
      </c>
      <c r="AQ31" s="68" t="s">
        <v>182</v>
      </c>
      <c r="AR31" s="68" t="s">
        <v>182</v>
      </c>
      <c r="AS31" s="68">
        <v>39.0244</v>
      </c>
      <c r="AT31" s="68">
        <v>-708</v>
      </c>
      <c r="AU31" s="68" t="s">
        <v>182</v>
      </c>
      <c r="AV31" s="68">
        <v>-78.118200000000002</v>
      </c>
      <c r="AW31" s="68">
        <v>2071</v>
      </c>
      <c r="AX31" s="68" t="s">
        <v>182</v>
      </c>
      <c r="AY31" s="68">
        <v>68.427000000000007</v>
      </c>
      <c r="BA31" s="62" t="s">
        <v>271</v>
      </c>
      <c r="BB31" s="62" t="s">
        <v>272</v>
      </c>
      <c r="BC31" s="68">
        <v>12.1761</v>
      </c>
      <c r="BD31" s="68">
        <v>11.667999999999999</v>
      </c>
      <c r="BE31" s="68">
        <v>9.2288999999999994</v>
      </c>
      <c r="BF31" s="68">
        <v>11.2888</v>
      </c>
      <c r="BG31" s="68">
        <v>11.5159</v>
      </c>
      <c r="BH31" s="68">
        <v>8.7207000000000008</v>
      </c>
      <c r="BI31" s="68">
        <v>7.6947999999999999</v>
      </c>
      <c r="BJ31" s="68">
        <v>8.5376999999999992</v>
      </c>
      <c r="BK31" s="68">
        <v>8.4953000000000003</v>
      </c>
      <c r="BL31" s="68">
        <v>9.6625999999999994</v>
      </c>
      <c r="BM31" s="68">
        <v>10.021800000000001</v>
      </c>
      <c r="BN31" s="68">
        <v>10.641</v>
      </c>
      <c r="BO31" s="68">
        <v>9.5713000000000008</v>
      </c>
      <c r="BP31" s="68">
        <v>7.5568999999999997</v>
      </c>
      <c r="BQ31" s="68">
        <v>8.5372000000000003</v>
      </c>
      <c r="BR31" s="68">
        <v>6.4447000000000001</v>
      </c>
      <c r="BS31" s="68">
        <v>7.1939000000000002</v>
      </c>
      <c r="BT31" s="68">
        <v>4.5461</v>
      </c>
      <c r="BU31" s="68">
        <v>14.621600000000001</v>
      </c>
      <c r="BV31" s="68">
        <v>2.9672000000000001</v>
      </c>
    </row>
    <row r="32" spans="1:74" x14ac:dyDescent="0.2">
      <c r="O32" s="62" t="s">
        <v>243</v>
      </c>
      <c r="P32" s="62" t="s">
        <v>273</v>
      </c>
      <c r="Q32" s="68" t="s">
        <v>182</v>
      </c>
      <c r="R32" s="68">
        <v>26.666699999999999</v>
      </c>
      <c r="S32" s="68">
        <v>0</v>
      </c>
      <c r="T32" s="68" t="s">
        <v>182</v>
      </c>
      <c r="U32" s="68" t="s">
        <v>182</v>
      </c>
      <c r="V32" s="68" t="s">
        <v>182</v>
      </c>
      <c r="W32" s="68">
        <v>132.4742</v>
      </c>
      <c r="X32" s="68">
        <v>-8.8691999999999993</v>
      </c>
      <c r="Y32" s="68">
        <v>-47.201900000000002</v>
      </c>
      <c r="Z32" s="68">
        <v>99.539199999999994</v>
      </c>
      <c r="AA32" s="68" t="s">
        <v>182</v>
      </c>
      <c r="AB32" s="68">
        <v>6.8894000000000002</v>
      </c>
      <c r="AC32" s="68">
        <v>54.484299999999998</v>
      </c>
      <c r="AD32" s="68">
        <v>49.261099999999999</v>
      </c>
      <c r="AE32" s="68" t="s">
        <v>182</v>
      </c>
      <c r="AF32" s="68" t="s">
        <v>182</v>
      </c>
      <c r="AG32" s="68" t="s">
        <v>182</v>
      </c>
      <c r="AH32" s="68" t="s">
        <v>182</v>
      </c>
      <c r="AI32" s="68" t="s">
        <v>182</v>
      </c>
      <c r="AJ32" s="68">
        <v>-1.9093</v>
      </c>
      <c r="AK32" s="68">
        <v>185.6448</v>
      </c>
      <c r="AL32" s="68">
        <v>-47.785299999999999</v>
      </c>
      <c r="AM32" s="68">
        <v>131.8108</v>
      </c>
      <c r="AN32" s="68">
        <v>-15.9747</v>
      </c>
      <c r="AO32" s="68">
        <v>-49.33</v>
      </c>
      <c r="AP32" s="68">
        <v>57.686</v>
      </c>
      <c r="AQ32" s="68">
        <v>-6.2892999999999999</v>
      </c>
      <c r="AR32" s="68">
        <v>-9.6196999999999999</v>
      </c>
      <c r="AS32" s="68">
        <v>-20.4208</v>
      </c>
      <c r="AT32" s="68">
        <v>122.70610000000001</v>
      </c>
      <c r="AU32" s="68">
        <v>102.2346</v>
      </c>
      <c r="AV32" s="68">
        <v>10.2555</v>
      </c>
      <c r="AW32" s="68">
        <v>-17.4131</v>
      </c>
      <c r="AX32" s="68">
        <v>25.445599999999999</v>
      </c>
      <c r="AY32" s="68">
        <v>5.3808999999999996</v>
      </c>
      <c r="BA32" s="62" t="s">
        <v>274</v>
      </c>
      <c r="BB32" s="62" t="s">
        <v>275</v>
      </c>
      <c r="BC32" s="68">
        <v>4.8705999999999996</v>
      </c>
      <c r="BD32" s="68">
        <v>3.1164000000000001</v>
      </c>
      <c r="BE32" s="68">
        <v>1.02</v>
      </c>
      <c r="BF32" s="68">
        <v>3.8445</v>
      </c>
      <c r="BG32" s="68">
        <v>1.6904999999999999</v>
      </c>
      <c r="BH32" s="68">
        <v>-7.9500000000000001E-2</v>
      </c>
      <c r="BI32" s="68">
        <v>-0.67730000000000001</v>
      </c>
      <c r="BJ32" s="68">
        <v>0.37969999999999998</v>
      </c>
      <c r="BK32" s="68">
        <v>0.2404</v>
      </c>
      <c r="BL32" s="68">
        <v>0.59730000000000005</v>
      </c>
      <c r="BM32" s="68">
        <v>1.2845</v>
      </c>
      <c r="BN32" s="68">
        <v>0.93379999999999996</v>
      </c>
      <c r="BO32" s="68">
        <v>-2.2052999999999998</v>
      </c>
      <c r="BP32" s="68">
        <v>-1.6724000000000001</v>
      </c>
      <c r="BQ32" s="68">
        <v>0.59660000000000002</v>
      </c>
      <c r="BR32" s="68">
        <v>-3.1189</v>
      </c>
      <c r="BS32" s="68">
        <v>-2.4998999999999998</v>
      </c>
      <c r="BT32" s="68">
        <v>-4.1111000000000004</v>
      </c>
      <c r="BU32" s="68">
        <v>7.8414000000000001</v>
      </c>
      <c r="BV32" s="68">
        <v>-3.6467000000000001</v>
      </c>
    </row>
    <row r="33" spans="15:74" x14ac:dyDescent="0.2">
      <c r="O33" s="62" t="s">
        <v>276</v>
      </c>
      <c r="P33" s="62" t="s">
        <v>277</v>
      </c>
      <c r="Q33" s="68" t="s">
        <v>182</v>
      </c>
      <c r="R33" s="68" t="s">
        <v>182</v>
      </c>
      <c r="S33" s="68">
        <v>-9.3577999999999992</v>
      </c>
      <c r="T33" s="68" t="s">
        <v>182</v>
      </c>
      <c r="U33" s="68" t="s">
        <v>182</v>
      </c>
      <c r="V33" s="68" t="s">
        <v>182</v>
      </c>
      <c r="W33" s="68">
        <v>33.014699999999998</v>
      </c>
      <c r="X33" s="68">
        <v>15.2637</v>
      </c>
      <c r="Y33" s="68">
        <v>-7.6994999999999996</v>
      </c>
      <c r="Z33" s="68">
        <v>16.393999999999998</v>
      </c>
      <c r="AA33" s="68">
        <v>-27.271699999999999</v>
      </c>
      <c r="AB33" s="68">
        <v>-9.3431999999999995</v>
      </c>
      <c r="AC33" s="68">
        <v>-12.7258</v>
      </c>
      <c r="AD33" s="68">
        <v>8.4837000000000007</v>
      </c>
      <c r="AE33" s="68">
        <v>21.3293</v>
      </c>
      <c r="AF33" s="68">
        <v>-22.395</v>
      </c>
      <c r="AG33" s="68">
        <v>57.738199999999999</v>
      </c>
      <c r="AH33" s="68">
        <v>-18.9131</v>
      </c>
      <c r="AI33" s="68">
        <v>66.451099999999997</v>
      </c>
      <c r="AJ33" s="68">
        <v>4.7789999999999999</v>
      </c>
      <c r="AK33" s="68">
        <v>32.495699999999999</v>
      </c>
      <c r="AL33" s="68">
        <v>-26.04</v>
      </c>
      <c r="AM33" s="68">
        <v>50.154299999999999</v>
      </c>
      <c r="AN33" s="68">
        <v>6.5545</v>
      </c>
      <c r="AO33" s="68">
        <v>-14.016500000000001</v>
      </c>
      <c r="AP33" s="68">
        <v>9.8309999999999995</v>
      </c>
      <c r="AQ33" s="68">
        <v>1.7239</v>
      </c>
      <c r="AR33" s="68">
        <v>0.62790000000000001</v>
      </c>
      <c r="AS33" s="68">
        <v>-8.3021999999999991</v>
      </c>
      <c r="AT33" s="68" t="s">
        <v>182</v>
      </c>
      <c r="AU33" s="68" t="s">
        <v>182</v>
      </c>
      <c r="AV33" s="68">
        <v>5.5827999999999998</v>
      </c>
      <c r="AW33" s="68">
        <v>-10.7219</v>
      </c>
      <c r="AX33" s="68">
        <v>16.796399999999998</v>
      </c>
      <c r="AY33" s="68">
        <v>9.5494000000000003</v>
      </c>
      <c r="BA33" s="69" t="s">
        <v>249</v>
      </c>
      <c r="BB33" s="69"/>
      <c r="BC33" s="69" t="s">
        <v>278</v>
      </c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</row>
    <row r="34" spans="15:74" x14ac:dyDescent="0.2">
      <c r="O34" s="62" t="s">
        <v>279</v>
      </c>
      <c r="P34" s="62" t="s">
        <v>280</v>
      </c>
      <c r="Q34" s="68" t="s">
        <v>182</v>
      </c>
      <c r="R34" s="68" t="s">
        <v>182</v>
      </c>
      <c r="S34" s="68">
        <v>4.3852000000000002</v>
      </c>
      <c r="T34" s="68" t="s">
        <v>182</v>
      </c>
      <c r="U34" s="68" t="s">
        <v>182</v>
      </c>
      <c r="V34" s="68" t="s">
        <v>182</v>
      </c>
      <c r="W34" s="68">
        <v>73.078400000000002</v>
      </c>
      <c r="X34" s="68">
        <v>-8.0245999999999995</v>
      </c>
      <c r="Y34" s="68">
        <v>-34.490299999999998</v>
      </c>
      <c r="Z34" s="68">
        <v>94.643299999999996</v>
      </c>
      <c r="AA34" s="68" t="s">
        <v>182</v>
      </c>
      <c r="AB34" s="68">
        <v>-136.51580000000001</v>
      </c>
      <c r="AC34" s="68" t="s">
        <v>182</v>
      </c>
      <c r="AD34" s="68">
        <v>45.8919</v>
      </c>
      <c r="AE34" s="68">
        <v>41.840899999999998</v>
      </c>
      <c r="AF34" s="68">
        <v>-88.436700000000002</v>
      </c>
      <c r="AG34" s="68">
        <v>1713.8476000000001</v>
      </c>
      <c r="AH34" s="68">
        <v>-61.796599999999998</v>
      </c>
      <c r="AI34" s="68">
        <v>160.4462</v>
      </c>
      <c r="AJ34" s="68">
        <v>-3.1976</v>
      </c>
      <c r="AK34" s="68">
        <v>122.65730000000001</v>
      </c>
      <c r="AL34" s="68">
        <v>-35.2864</v>
      </c>
      <c r="AM34" s="68">
        <v>81.094399999999993</v>
      </c>
      <c r="AN34" s="68">
        <v>-12.527100000000001</v>
      </c>
      <c r="AO34" s="68">
        <v>-37.747700000000002</v>
      </c>
      <c r="AP34" s="68">
        <v>36.7211</v>
      </c>
      <c r="AQ34" s="68">
        <v>-5.5998999999999999</v>
      </c>
      <c r="AR34" s="68">
        <v>-7.2510000000000003</v>
      </c>
      <c r="AS34" s="68">
        <v>-12.5404</v>
      </c>
      <c r="AT34" s="68" t="s">
        <v>182</v>
      </c>
      <c r="AU34" s="68" t="s">
        <v>182</v>
      </c>
      <c r="AV34" s="68">
        <v>11.056800000000001</v>
      </c>
      <c r="AW34" s="68">
        <v>-14.6206</v>
      </c>
      <c r="AX34" s="68">
        <v>20.162400000000002</v>
      </c>
      <c r="AY34" s="68">
        <v>5.1195000000000004</v>
      </c>
    </row>
    <row r="35" spans="15:74" x14ac:dyDescent="0.2">
      <c r="O35" s="62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</row>
    <row r="36" spans="15:74" x14ac:dyDescent="0.2">
      <c r="O36" s="60" t="s">
        <v>281</v>
      </c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</row>
    <row r="37" spans="15:74" x14ac:dyDescent="0.2">
      <c r="O37" s="62" t="s">
        <v>66</v>
      </c>
      <c r="P37" s="62" t="s">
        <v>282</v>
      </c>
      <c r="Q37" s="68" t="s">
        <v>182</v>
      </c>
      <c r="R37" s="68" t="s">
        <v>182</v>
      </c>
      <c r="S37" s="68" t="s">
        <v>182</v>
      </c>
      <c r="T37" s="68" t="s">
        <v>182</v>
      </c>
      <c r="U37" s="68">
        <v>1.6620999999999999</v>
      </c>
      <c r="V37" s="68">
        <v>3.3228</v>
      </c>
      <c r="W37" s="68">
        <v>4.4051999999999998</v>
      </c>
      <c r="X37" s="68">
        <v>5.0643000000000002</v>
      </c>
      <c r="Y37" s="68">
        <v>4.0572999999999997</v>
      </c>
      <c r="Z37" s="68">
        <v>3.9897</v>
      </c>
      <c r="AA37" s="68">
        <v>1.9948999999999999</v>
      </c>
      <c r="AB37" s="68">
        <v>1.5479000000000001</v>
      </c>
      <c r="AC37" s="68">
        <v>-4.8526999999999996</v>
      </c>
      <c r="AD37" s="68">
        <v>-5.0994000000000002</v>
      </c>
      <c r="AE37" s="68">
        <v>-5.1538000000000004</v>
      </c>
      <c r="AF37" s="68">
        <v>-5.1740000000000004</v>
      </c>
      <c r="AG37" s="68">
        <v>-4.9715999999999996</v>
      </c>
      <c r="AH37" s="68">
        <v>1.0215000000000001</v>
      </c>
      <c r="AI37" s="68">
        <v>3.3574999999999999</v>
      </c>
      <c r="AJ37" s="68">
        <v>4.2335000000000003</v>
      </c>
      <c r="AK37" s="68">
        <v>8.2668999999999997</v>
      </c>
      <c r="AL37" s="68">
        <v>2.3746</v>
      </c>
      <c r="AM37" s="68">
        <v>4.2976000000000001</v>
      </c>
      <c r="AN37" s="68">
        <v>4.2782</v>
      </c>
      <c r="AO37" s="68">
        <v>3.2265999999999999</v>
      </c>
      <c r="AP37" s="68">
        <v>1.3340000000000001</v>
      </c>
      <c r="AQ37" s="68">
        <v>6.9805999999999999</v>
      </c>
      <c r="AR37" s="68">
        <v>2.1179000000000001</v>
      </c>
      <c r="AS37" s="68">
        <v>-1.2625</v>
      </c>
      <c r="AT37" s="68">
        <v>-0.59919999999999995</v>
      </c>
      <c r="AU37" s="68">
        <v>0.36980000000000002</v>
      </c>
      <c r="AV37" s="68">
        <v>-1.1832</v>
      </c>
      <c r="AW37" s="68">
        <v>-2.1717</v>
      </c>
      <c r="AX37" s="68">
        <v>2.4975000000000001</v>
      </c>
      <c r="AY37" s="68">
        <v>5.4195000000000002</v>
      </c>
    </row>
    <row r="38" spans="15:74" x14ac:dyDescent="0.2">
      <c r="O38" s="62" t="s">
        <v>67</v>
      </c>
      <c r="P38" s="62" t="s">
        <v>283</v>
      </c>
      <c r="Q38" s="68" t="s">
        <v>182</v>
      </c>
      <c r="R38" s="68" t="s">
        <v>182</v>
      </c>
      <c r="S38" s="68" t="s">
        <v>182</v>
      </c>
      <c r="T38" s="68" t="s">
        <v>182</v>
      </c>
      <c r="U38" s="68">
        <v>0.72599999999999998</v>
      </c>
      <c r="V38" s="68">
        <v>1.5364</v>
      </c>
      <c r="W38" s="68">
        <v>6.5704000000000002</v>
      </c>
      <c r="X38" s="68">
        <v>9.5149000000000008</v>
      </c>
      <c r="Y38" s="68">
        <v>9.5913000000000004</v>
      </c>
      <c r="Z38" s="68">
        <v>8.7651000000000003</v>
      </c>
      <c r="AA38" s="68">
        <v>3.4563999999999999</v>
      </c>
      <c r="AB38" s="68">
        <v>-7.9733999999999998</v>
      </c>
      <c r="AC38" s="68">
        <v>-7.0865</v>
      </c>
      <c r="AD38" s="68">
        <v>-5.9166999999999996</v>
      </c>
      <c r="AE38" s="68">
        <v>-4.7981999999999996</v>
      </c>
      <c r="AF38" s="68">
        <v>-7.9522000000000004</v>
      </c>
      <c r="AG38" s="68">
        <v>7.6981999999999999</v>
      </c>
      <c r="AH38" s="68">
        <v>11.1449</v>
      </c>
      <c r="AI38" s="68">
        <v>13.7346</v>
      </c>
      <c r="AJ38" s="68">
        <v>12.1149</v>
      </c>
      <c r="AK38" s="68">
        <v>25.949100000000001</v>
      </c>
      <c r="AL38" s="68">
        <v>12.897600000000001</v>
      </c>
      <c r="AM38" s="68">
        <v>11.0139</v>
      </c>
      <c r="AN38" s="68">
        <v>8.1495999999999995</v>
      </c>
      <c r="AO38" s="68">
        <v>7.4977</v>
      </c>
      <c r="AP38" s="68">
        <v>4.4252000000000002</v>
      </c>
      <c r="AQ38" s="68">
        <v>8.4677000000000007</v>
      </c>
      <c r="AR38" s="68">
        <v>3.5861000000000001</v>
      </c>
      <c r="AS38" s="68">
        <v>1.0743</v>
      </c>
      <c r="AT38" s="68">
        <v>2.1996000000000002</v>
      </c>
      <c r="AU38" s="68">
        <v>6.2580999999999998</v>
      </c>
      <c r="AV38" s="68">
        <v>6.0754000000000001</v>
      </c>
      <c r="AW38" s="68">
        <v>3.9885999999999999</v>
      </c>
      <c r="AX38" s="68">
        <v>8.6560000000000006</v>
      </c>
      <c r="AY38" s="68">
        <v>8.6745000000000001</v>
      </c>
    </row>
    <row r="39" spans="15:74" x14ac:dyDescent="0.2">
      <c r="O39" s="62" t="s">
        <v>176</v>
      </c>
      <c r="P39" s="62" t="s">
        <v>284</v>
      </c>
      <c r="Q39" s="68" t="s">
        <v>182</v>
      </c>
      <c r="R39" s="68" t="s">
        <v>182</v>
      </c>
      <c r="S39" s="68" t="s">
        <v>182</v>
      </c>
      <c r="T39" s="68" t="s">
        <v>182</v>
      </c>
      <c r="U39" s="68">
        <v>1.5175000000000001</v>
      </c>
      <c r="V39" s="68">
        <v>8.7900000000000006E-2</v>
      </c>
      <c r="W39" s="68">
        <v>7.2305000000000001</v>
      </c>
      <c r="X39" s="68">
        <v>11.8858</v>
      </c>
      <c r="Y39" s="68">
        <v>12.251300000000001</v>
      </c>
      <c r="Z39" s="68">
        <v>10.4055</v>
      </c>
      <c r="AA39" s="68">
        <v>4.3570000000000002</v>
      </c>
      <c r="AB39" s="68">
        <v>-14.1958</v>
      </c>
      <c r="AC39" s="68">
        <v>-10.8436</v>
      </c>
      <c r="AD39" s="68">
        <v>-8.8620000000000001</v>
      </c>
      <c r="AE39" s="68">
        <v>-6.5694999999999997</v>
      </c>
      <c r="AF39" s="68">
        <v>-14.3781</v>
      </c>
      <c r="AG39" s="68">
        <v>11.7813</v>
      </c>
      <c r="AH39" s="68">
        <v>14.0006</v>
      </c>
      <c r="AI39" s="68">
        <v>17.440799999999999</v>
      </c>
      <c r="AJ39" s="68">
        <v>14.8902</v>
      </c>
      <c r="AK39" s="68">
        <v>39.711599999999997</v>
      </c>
      <c r="AL39" s="68">
        <v>17.816199999999998</v>
      </c>
      <c r="AM39" s="68">
        <v>14.6541</v>
      </c>
      <c r="AN39" s="68">
        <v>10.170299999999999</v>
      </c>
      <c r="AO39" s="68">
        <v>8.9110999999999994</v>
      </c>
      <c r="AP39" s="68">
        <v>4.6424000000000003</v>
      </c>
      <c r="AQ39" s="68">
        <v>9.7408999999999999</v>
      </c>
      <c r="AR39" s="68">
        <v>3.1377000000000002</v>
      </c>
      <c r="AS39" s="68">
        <v>-0.4713</v>
      </c>
      <c r="AT39" s="68">
        <v>1.4773000000000001</v>
      </c>
      <c r="AU39" s="68">
        <v>6.9908999999999999</v>
      </c>
      <c r="AV39" s="68">
        <v>6.5639000000000003</v>
      </c>
      <c r="AW39" s="68">
        <v>4.0072000000000001</v>
      </c>
      <c r="AX39" s="68">
        <v>10.5427</v>
      </c>
      <c r="AY39" s="68">
        <v>10.116899999999999</v>
      </c>
    </row>
    <row r="40" spans="15:74" x14ac:dyDescent="0.2">
      <c r="O40" s="62" t="s">
        <v>180</v>
      </c>
      <c r="P40" s="62" t="s">
        <v>285</v>
      </c>
      <c r="Q40" s="68" t="s">
        <v>182</v>
      </c>
      <c r="R40" s="68" t="s">
        <v>182</v>
      </c>
      <c r="S40" s="68" t="s">
        <v>182</v>
      </c>
      <c r="T40" s="68" t="s">
        <v>182</v>
      </c>
      <c r="U40" s="68">
        <v>-31.844899999999999</v>
      </c>
      <c r="V40" s="68">
        <v>21.248100000000001</v>
      </c>
      <c r="W40" s="68">
        <v>8.2322000000000006</v>
      </c>
      <c r="X40" s="68">
        <v>8.7123000000000008</v>
      </c>
      <c r="Y40" s="68" t="s">
        <v>182</v>
      </c>
      <c r="Z40" s="68">
        <v>109.07559999999999</v>
      </c>
      <c r="AA40" s="68">
        <v>8.3866999999999994</v>
      </c>
      <c r="AB40" s="68">
        <v>-68.569100000000006</v>
      </c>
      <c r="AC40" s="68">
        <v>-1.7773000000000001</v>
      </c>
      <c r="AD40" s="68">
        <v>-19.280200000000001</v>
      </c>
      <c r="AE40" s="68">
        <v>-11.9025</v>
      </c>
      <c r="AF40" s="68">
        <v>-14.455500000000001</v>
      </c>
      <c r="AG40" s="68">
        <v>179.14760000000001</v>
      </c>
      <c r="AH40" s="68">
        <v>15.1732</v>
      </c>
      <c r="AI40" s="68">
        <v>34.921399999999998</v>
      </c>
      <c r="AJ40" s="68">
        <v>25.802199999999999</v>
      </c>
      <c r="AK40" s="68">
        <v>40.876800000000003</v>
      </c>
      <c r="AL40" s="68">
        <v>27.517399999999999</v>
      </c>
      <c r="AM40" s="68">
        <v>6.4218000000000002</v>
      </c>
      <c r="AN40" s="68">
        <v>7.2049000000000003</v>
      </c>
      <c r="AO40" s="68">
        <v>6.8303000000000003</v>
      </c>
      <c r="AP40" s="68">
        <v>6.4181999999999997</v>
      </c>
      <c r="AQ40" s="68">
        <v>10.9998</v>
      </c>
      <c r="AR40" s="68">
        <v>4.7054</v>
      </c>
      <c r="AS40" s="68">
        <v>-1.5802</v>
      </c>
      <c r="AT40" s="68">
        <v>24.0914</v>
      </c>
      <c r="AU40" s="68">
        <v>12.1684</v>
      </c>
      <c r="AV40" s="68">
        <v>11.5793</v>
      </c>
      <c r="AW40" s="68">
        <v>7.0479000000000003</v>
      </c>
      <c r="AX40" s="68">
        <v>17.157399999999999</v>
      </c>
      <c r="AY40" s="68">
        <v>-5.3007999999999997</v>
      </c>
    </row>
    <row r="41" spans="15:74" x14ac:dyDescent="0.2">
      <c r="O41" s="62" t="s">
        <v>184</v>
      </c>
      <c r="P41" s="62" t="s">
        <v>286</v>
      </c>
      <c r="Q41" s="68" t="s">
        <v>182</v>
      </c>
      <c r="R41" s="68" t="s">
        <v>182</v>
      </c>
      <c r="S41" s="68" t="s">
        <v>182</v>
      </c>
      <c r="T41" s="68" t="s">
        <v>182</v>
      </c>
      <c r="U41" s="68">
        <v>-26.404</v>
      </c>
      <c r="V41" s="68">
        <v>30.052499999999998</v>
      </c>
      <c r="W41" s="68">
        <v>7.4977999999999998</v>
      </c>
      <c r="X41" s="68">
        <v>7.2175000000000002</v>
      </c>
      <c r="Y41" s="68" t="s">
        <v>182</v>
      </c>
      <c r="Z41" s="68">
        <v>108.23990000000001</v>
      </c>
      <c r="AA41" s="68">
        <v>7.7271999999999998</v>
      </c>
      <c r="AB41" s="68">
        <v>-68.281800000000004</v>
      </c>
      <c r="AC41" s="68">
        <v>-1.9081999999999999</v>
      </c>
      <c r="AD41" s="68">
        <v>-19.009</v>
      </c>
      <c r="AE41" s="68">
        <v>-11.7607</v>
      </c>
      <c r="AF41" s="68">
        <v>-15.0566</v>
      </c>
      <c r="AG41" s="68">
        <v>173.12960000000001</v>
      </c>
      <c r="AH41" s="68">
        <v>13.549099999999999</v>
      </c>
      <c r="AI41" s="68">
        <v>32.519599999999997</v>
      </c>
      <c r="AJ41" s="68">
        <v>24.614799999999999</v>
      </c>
      <c r="AK41" s="68">
        <v>43.182699999999997</v>
      </c>
      <c r="AL41" s="68">
        <v>30.622199999999999</v>
      </c>
      <c r="AM41" s="68">
        <v>9.9540000000000006</v>
      </c>
      <c r="AN41" s="68">
        <v>12.5808</v>
      </c>
      <c r="AO41" s="68">
        <v>12.4244</v>
      </c>
      <c r="AP41" s="68">
        <v>10.4499</v>
      </c>
      <c r="AQ41" s="68">
        <v>14.7902</v>
      </c>
      <c r="AR41" s="68">
        <v>8.1781000000000006</v>
      </c>
      <c r="AS41" s="68">
        <v>1.2619</v>
      </c>
      <c r="AT41" s="68">
        <v>27.325299999999999</v>
      </c>
      <c r="AU41" s="68">
        <v>15.9781</v>
      </c>
      <c r="AV41" s="68">
        <v>16.779599999999999</v>
      </c>
      <c r="AW41" s="68">
        <v>-9.7119999999999997</v>
      </c>
      <c r="AX41" s="68">
        <v>22.729900000000001</v>
      </c>
      <c r="AY41" s="68">
        <v>-0.47189999999999999</v>
      </c>
    </row>
    <row r="42" spans="15:74" x14ac:dyDescent="0.2">
      <c r="O42" s="62" t="s">
        <v>190</v>
      </c>
      <c r="P42" s="62" t="s">
        <v>287</v>
      </c>
      <c r="Q42" s="68" t="s">
        <v>182</v>
      </c>
      <c r="R42" s="68" t="s">
        <v>182</v>
      </c>
      <c r="S42" s="68" t="s">
        <v>182</v>
      </c>
      <c r="T42" s="68" t="s">
        <v>182</v>
      </c>
      <c r="U42" s="68" t="s">
        <v>182</v>
      </c>
      <c r="V42" s="68" t="s">
        <v>182</v>
      </c>
      <c r="W42" s="68">
        <v>8.7810000000000006</v>
      </c>
      <c r="X42" s="68">
        <v>10.1271</v>
      </c>
      <c r="Y42" s="68" t="s">
        <v>182</v>
      </c>
      <c r="Z42" s="68">
        <v>108.23990000000001</v>
      </c>
      <c r="AA42" s="68">
        <v>7.7271999999999998</v>
      </c>
      <c r="AB42" s="68">
        <v>-40.110500000000002</v>
      </c>
      <c r="AC42" s="68">
        <v>-21.498699999999999</v>
      </c>
      <c r="AD42" s="68">
        <v>-19.009</v>
      </c>
      <c r="AE42" s="68">
        <v>-10.0543</v>
      </c>
      <c r="AF42" s="68">
        <v>-24.1539</v>
      </c>
      <c r="AG42" s="68">
        <v>50.773899999999998</v>
      </c>
      <c r="AH42" s="68">
        <v>29.319900000000001</v>
      </c>
      <c r="AI42" s="68">
        <v>32.519599999999997</v>
      </c>
      <c r="AJ42" s="68">
        <v>20.134399999999999</v>
      </c>
      <c r="AK42" s="68">
        <v>63.317999999999998</v>
      </c>
      <c r="AL42" s="68">
        <v>24.970300000000002</v>
      </c>
      <c r="AM42" s="68">
        <v>20.638300000000001</v>
      </c>
      <c r="AN42" s="68">
        <v>12.5808</v>
      </c>
      <c r="AO42" s="68">
        <v>14.4049</v>
      </c>
      <c r="AP42" s="68">
        <v>8.4472000000000005</v>
      </c>
      <c r="AQ42" s="68">
        <v>15.1107</v>
      </c>
      <c r="AR42" s="68">
        <v>8.1781000000000006</v>
      </c>
      <c r="AS42" s="68">
        <v>1.2619</v>
      </c>
      <c r="AT42" s="68">
        <v>27.325299999999999</v>
      </c>
      <c r="AU42" s="68">
        <v>15.9781</v>
      </c>
      <c r="AV42" s="68">
        <v>16.779599999999999</v>
      </c>
      <c r="AW42" s="68">
        <v>-9.7119999999999997</v>
      </c>
      <c r="AX42" s="68">
        <v>22.729900000000001</v>
      </c>
      <c r="AY42" s="68">
        <v>-0.47189999999999999</v>
      </c>
    </row>
    <row r="43" spans="15:74" x14ac:dyDescent="0.2">
      <c r="O43" s="62" t="s">
        <v>194</v>
      </c>
      <c r="P43" s="62" t="s">
        <v>288</v>
      </c>
      <c r="Q43" s="68" t="s">
        <v>182</v>
      </c>
      <c r="R43" s="68" t="s">
        <v>182</v>
      </c>
      <c r="S43" s="68" t="s">
        <v>182</v>
      </c>
      <c r="T43" s="68" t="s">
        <v>182</v>
      </c>
      <c r="U43" s="68" t="s">
        <v>182</v>
      </c>
      <c r="V43" s="68" t="s">
        <v>182</v>
      </c>
      <c r="W43" s="68">
        <v>8.7810000000000006</v>
      </c>
      <c r="X43" s="68">
        <v>10.1271</v>
      </c>
      <c r="Y43" s="68" t="s">
        <v>182</v>
      </c>
      <c r="Z43" s="68">
        <v>113.0505</v>
      </c>
      <c r="AA43" s="68">
        <v>2.9430000000000001</v>
      </c>
      <c r="AB43" s="68">
        <v>-45.483699999999999</v>
      </c>
      <c r="AC43" s="68">
        <v>-21.435400000000001</v>
      </c>
      <c r="AD43" s="68">
        <v>-19.009</v>
      </c>
      <c r="AE43" s="68">
        <v>-13.7531</v>
      </c>
      <c r="AF43" s="68">
        <v>-10.6335</v>
      </c>
      <c r="AG43" s="68">
        <v>65.634200000000007</v>
      </c>
      <c r="AH43" s="68">
        <v>29.215699999999998</v>
      </c>
      <c r="AI43" s="68">
        <v>32.519599999999997</v>
      </c>
      <c r="AJ43" s="68">
        <v>22.097899999999999</v>
      </c>
      <c r="AK43" s="68">
        <v>45.051200000000001</v>
      </c>
      <c r="AL43" s="68">
        <v>24.970300000000002</v>
      </c>
      <c r="AM43" s="68">
        <v>21.1831</v>
      </c>
      <c r="AN43" s="68">
        <v>12.5808</v>
      </c>
      <c r="AO43" s="68">
        <v>13.421799999999999</v>
      </c>
      <c r="AP43" s="68">
        <v>7.7756999999999996</v>
      </c>
      <c r="AQ43" s="68">
        <v>15.535299999999999</v>
      </c>
      <c r="AR43" s="68">
        <v>7.0437000000000003</v>
      </c>
      <c r="AS43" s="68">
        <v>1.1491</v>
      </c>
      <c r="AT43" s="68">
        <v>5.8540999999999999</v>
      </c>
      <c r="AU43" s="68">
        <v>15.9306</v>
      </c>
      <c r="AV43" s="68">
        <v>15.4061</v>
      </c>
      <c r="AW43" s="68">
        <v>-9.3476999999999997</v>
      </c>
      <c r="AX43" s="68">
        <v>20.136199999999999</v>
      </c>
      <c r="AY43" s="68">
        <v>19.574100000000001</v>
      </c>
    </row>
    <row r="44" spans="15:74" x14ac:dyDescent="0.2">
      <c r="O44" s="62" t="s">
        <v>200</v>
      </c>
      <c r="P44" s="62" t="s">
        <v>289</v>
      </c>
      <c r="Q44" s="68" t="s">
        <v>182</v>
      </c>
      <c r="R44" s="68" t="s">
        <v>182</v>
      </c>
      <c r="S44" s="68" t="s">
        <v>182</v>
      </c>
      <c r="T44" s="68" t="s">
        <v>182</v>
      </c>
      <c r="U44" s="68">
        <v>5.5545999999999998</v>
      </c>
      <c r="V44" s="68">
        <v>4.1390000000000002</v>
      </c>
      <c r="W44" s="68">
        <v>6.5762999999999998</v>
      </c>
      <c r="X44" s="68">
        <v>5.6180000000000003</v>
      </c>
      <c r="Y44" s="68">
        <v>7.7817999999999996</v>
      </c>
      <c r="Z44" s="68">
        <v>7.2808000000000002</v>
      </c>
      <c r="AA44" s="68">
        <v>8.7202999999999999</v>
      </c>
      <c r="AB44" s="68">
        <v>6.3994999999999997</v>
      </c>
      <c r="AC44" s="68">
        <v>5.4577999999999998</v>
      </c>
      <c r="AD44" s="68">
        <v>-5.1120000000000001</v>
      </c>
      <c r="AE44" s="68">
        <v>-18.016400000000001</v>
      </c>
      <c r="AF44" s="68">
        <v>-19.7258</v>
      </c>
      <c r="AG44" s="68">
        <v>-19.7258</v>
      </c>
      <c r="AH44" s="68">
        <v>-18.5563</v>
      </c>
      <c r="AI44" s="68">
        <v>-3.7744</v>
      </c>
      <c r="AJ44" s="68">
        <v>21.9755</v>
      </c>
      <c r="AK44" s="68">
        <v>30.946000000000002</v>
      </c>
      <c r="AL44" s="68">
        <v>34.490200000000002</v>
      </c>
      <c r="AM44" s="68">
        <v>35.718600000000002</v>
      </c>
      <c r="AN44" s="68">
        <v>32.545200000000001</v>
      </c>
      <c r="AO44" s="68">
        <v>24.5731</v>
      </c>
      <c r="AP44" s="68">
        <v>18.1127</v>
      </c>
      <c r="AQ44" s="68">
        <v>16.518799999999999</v>
      </c>
      <c r="AR44" s="68">
        <v>16.229600000000001</v>
      </c>
      <c r="AS44" s="68">
        <v>9.8560999999999996</v>
      </c>
      <c r="AT44" s="68">
        <v>7.6317000000000004</v>
      </c>
      <c r="AU44" s="68">
        <v>8.3244000000000007</v>
      </c>
      <c r="AV44" s="68">
        <v>35.522199999999998</v>
      </c>
      <c r="AW44" s="68">
        <v>-13.044700000000001</v>
      </c>
      <c r="AX44" s="68">
        <v>9.1607000000000003</v>
      </c>
      <c r="AY44" s="68">
        <v>8.9977</v>
      </c>
    </row>
    <row r="45" spans="15:74" x14ac:dyDescent="0.2">
      <c r="O45" s="62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</row>
    <row r="46" spans="15:74" x14ac:dyDescent="0.2">
      <c r="O46" s="62" t="s">
        <v>206</v>
      </c>
      <c r="P46" s="62" t="s">
        <v>290</v>
      </c>
      <c r="Q46" s="68" t="s">
        <v>182</v>
      </c>
      <c r="R46" s="68" t="s">
        <v>182</v>
      </c>
      <c r="S46" s="68" t="s">
        <v>182</v>
      </c>
      <c r="T46" s="68" t="s">
        <v>182</v>
      </c>
      <c r="U46" s="68">
        <v>-7.1353999999999997</v>
      </c>
      <c r="V46" s="68">
        <v>-5.7039</v>
      </c>
      <c r="W46" s="68">
        <v>1.8237000000000001</v>
      </c>
      <c r="X46" s="68">
        <v>2.7065999999999999</v>
      </c>
      <c r="Y46" s="68">
        <v>4.1936</v>
      </c>
      <c r="Z46" s="68">
        <v>10.284000000000001</v>
      </c>
      <c r="AA46" s="68">
        <v>6.0961999999999996</v>
      </c>
      <c r="AB46" s="68">
        <v>9.9609000000000005</v>
      </c>
      <c r="AC46" s="68">
        <v>0.42899999999999999</v>
      </c>
      <c r="AD46" s="68">
        <v>-0.36049999999999999</v>
      </c>
      <c r="AE46" s="68">
        <v>-4.1380999999999997</v>
      </c>
      <c r="AF46" s="68">
        <v>5.3078000000000003</v>
      </c>
      <c r="AG46" s="68">
        <v>0.4194</v>
      </c>
      <c r="AH46" s="68">
        <v>7.1759000000000004</v>
      </c>
      <c r="AI46" s="68">
        <v>5.9825999999999997</v>
      </c>
      <c r="AJ46" s="68">
        <v>8.0000999999999998</v>
      </c>
      <c r="AK46" s="68">
        <v>-0.98209999999999997</v>
      </c>
      <c r="AL46" s="68">
        <v>-3.0053000000000001</v>
      </c>
      <c r="AM46" s="68">
        <v>-3.7482000000000002</v>
      </c>
      <c r="AN46" s="68">
        <v>-3.1574</v>
      </c>
      <c r="AO46" s="68">
        <v>-3.9049</v>
      </c>
      <c r="AP46" s="68">
        <v>-1.014</v>
      </c>
      <c r="AQ46" s="68">
        <v>2.5590999999999999</v>
      </c>
      <c r="AR46" s="68">
        <v>-0.2225</v>
      </c>
      <c r="AS46" s="68">
        <v>-1.2719</v>
      </c>
      <c r="AT46" s="68">
        <v>0.1658</v>
      </c>
      <c r="AU46" s="68">
        <v>-0.8115</v>
      </c>
      <c r="AV46" s="68">
        <v>-2.6722999999999999</v>
      </c>
      <c r="AW46" s="68">
        <v>-1.4681</v>
      </c>
      <c r="AX46" s="68">
        <v>4.1233000000000004</v>
      </c>
      <c r="AY46" s="68">
        <v>6.2426000000000004</v>
      </c>
    </row>
    <row r="47" spans="15:74" x14ac:dyDescent="0.2">
      <c r="O47" s="62" t="s">
        <v>208</v>
      </c>
      <c r="P47" s="62" t="s">
        <v>291</v>
      </c>
      <c r="Q47" s="68" t="s">
        <v>182</v>
      </c>
      <c r="R47" s="68" t="s">
        <v>182</v>
      </c>
      <c r="S47" s="68" t="s">
        <v>182</v>
      </c>
      <c r="T47" s="68" t="s">
        <v>182</v>
      </c>
      <c r="U47" s="68">
        <v>-12.2371</v>
      </c>
      <c r="V47" s="68">
        <v>-3.7574000000000001</v>
      </c>
      <c r="W47" s="68">
        <v>-2.2972000000000001</v>
      </c>
      <c r="X47" s="68">
        <v>-3.0611000000000002</v>
      </c>
      <c r="Y47" s="68">
        <v>2.1395</v>
      </c>
      <c r="Z47" s="68">
        <v>3.7320000000000002</v>
      </c>
      <c r="AA47" s="68">
        <v>2.4863</v>
      </c>
      <c r="AB47" s="68">
        <v>0.83889999999999998</v>
      </c>
      <c r="AC47" s="68">
        <v>2.1758999999999999</v>
      </c>
      <c r="AD47" s="68">
        <v>-2.0947</v>
      </c>
      <c r="AE47" s="68">
        <v>-4.5339</v>
      </c>
      <c r="AF47" s="68">
        <v>-5.4518000000000004</v>
      </c>
      <c r="AG47" s="68">
        <v>-5.5911999999999997</v>
      </c>
      <c r="AH47" s="68">
        <v>-4.0738000000000003</v>
      </c>
      <c r="AI47" s="68">
        <v>-0.19489999999999999</v>
      </c>
      <c r="AJ47" s="68">
        <v>5.9223999999999997</v>
      </c>
      <c r="AK47" s="68">
        <v>5.0030999999999999</v>
      </c>
      <c r="AL47" s="68">
        <v>4.2323000000000004</v>
      </c>
      <c r="AM47" s="68">
        <v>1.8405</v>
      </c>
      <c r="AN47" s="68">
        <v>3.3037999999999998</v>
      </c>
      <c r="AO47" s="68">
        <v>2.6852</v>
      </c>
      <c r="AP47" s="68">
        <v>3.0358000000000001</v>
      </c>
      <c r="AQ47" s="68">
        <v>6.1044</v>
      </c>
      <c r="AR47" s="68">
        <v>9.9314999999999998</v>
      </c>
      <c r="AS47" s="68">
        <v>11.1416</v>
      </c>
      <c r="AT47" s="68">
        <v>6.3061999999999996</v>
      </c>
      <c r="AU47" s="68">
        <v>0.85819999999999996</v>
      </c>
      <c r="AV47" s="68">
        <v>-0.89500000000000002</v>
      </c>
      <c r="AW47" s="68">
        <v>-2.907</v>
      </c>
      <c r="AX47" s="68">
        <v>-3.5901999999999998</v>
      </c>
      <c r="AY47" s="68">
        <v>-1.7252000000000001</v>
      </c>
    </row>
    <row r="48" spans="15:74" x14ac:dyDescent="0.2">
      <c r="O48" s="62" t="s">
        <v>213</v>
      </c>
      <c r="P48" s="62" t="s">
        <v>292</v>
      </c>
      <c r="Q48" s="68" t="s">
        <v>182</v>
      </c>
      <c r="R48" s="68" t="s">
        <v>182</v>
      </c>
      <c r="S48" s="68" t="s">
        <v>182</v>
      </c>
      <c r="T48" s="68" t="s">
        <v>182</v>
      </c>
      <c r="U48" s="68">
        <v>0.91600000000000004</v>
      </c>
      <c r="V48" s="68">
        <v>2.2949000000000002</v>
      </c>
      <c r="W48" s="68">
        <v>2.7311000000000001</v>
      </c>
      <c r="X48" s="68">
        <v>2.4874999999999998</v>
      </c>
      <c r="Y48" s="68">
        <v>3.1880000000000002</v>
      </c>
      <c r="Z48" s="68">
        <v>3.1265999999999998</v>
      </c>
      <c r="AA48" s="68">
        <v>3.2275</v>
      </c>
      <c r="AB48" s="68">
        <v>2.1061000000000001</v>
      </c>
      <c r="AC48" s="68">
        <v>2.2751999999999999</v>
      </c>
      <c r="AD48" s="68">
        <v>1.7298</v>
      </c>
      <c r="AE48" s="68">
        <v>1.38</v>
      </c>
      <c r="AF48" s="68">
        <v>1.6600999999999999</v>
      </c>
      <c r="AG48" s="68">
        <v>10.227499999999999</v>
      </c>
      <c r="AH48" s="68">
        <v>9.7861999999999991</v>
      </c>
      <c r="AI48" s="68">
        <v>10.033099999999999</v>
      </c>
      <c r="AJ48" s="68">
        <v>10.3908</v>
      </c>
      <c r="AK48" s="68">
        <v>10.5669</v>
      </c>
      <c r="AL48" s="68">
        <v>2.9485000000000001</v>
      </c>
      <c r="AM48" s="68">
        <v>3.3715000000000002</v>
      </c>
      <c r="AN48" s="68">
        <v>3.6031</v>
      </c>
      <c r="AO48" s="68">
        <v>3.6454</v>
      </c>
      <c r="AP48" s="68">
        <v>3.7635000000000001</v>
      </c>
      <c r="AQ48" s="68">
        <v>4.3849</v>
      </c>
      <c r="AR48" s="68">
        <v>4.8612000000000002</v>
      </c>
      <c r="AS48" s="68">
        <v>4.5186999999999999</v>
      </c>
      <c r="AT48" s="68">
        <v>4.0460000000000003</v>
      </c>
      <c r="AU48" s="68">
        <v>3.2334999999999998</v>
      </c>
      <c r="AV48" s="68">
        <v>2.7271000000000001</v>
      </c>
      <c r="AW48" s="68">
        <v>1.7547999999999999</v>
      </c>
      <c r="AX48" s="68">
        <v>1.4749000000000001</v>
      </c>
      <c r="AY48" s="68">
        <v>1.8113999999999999</v>
      </c>
    </row>
    <row r="49" spans="15:51" x14ac:dyDescent="0.2">
      <c r="O49" s="62" t="s">
        <v>216</v>
      </c>
      <c r="P49" s="62" t="s">
        <v>293</v>
      </c>
      <c r="Q49" s="68" t="s">
        <v>182</v>
      </c>
      <c r="R49" s="68" t="s">
        <v>182</v>
      </c>
      <c r="S49" s="68" t="s">
        <v>182</v>
      </c>
      <c r="T49" s="68" t="s">
        <v>182</v>
      </c>
      <c r="U49" s="68">
        <v>-0.27660000000000001</v>
      </c>
      <c r="V49" s="68">
        <v>0.5978</v>
      </c>
      <c r="W49" s="68">
        <v>2.2183999999999999</v>
      </c>
      <c r="X49" s="68">
        <v>2.2088999999999999</v>
      </c>
      <c r="Y49" s="68">
        <v>5.7991999999999999</v>
      </c>
      <c r="Z49" s="68">
        <v>8.8688000000000002</v>
      </c>
      <c r="AA49" s="68">
        <v>8.7652999999999999</v>
      </c>
      <c r="AB49" s="68">
        <v>8.5879999999999992</v>
      </c>
      <c r="AC49" s="68">
        <v>7.4866999999999999</v>
      </c>
      <c r="AD49" s="68">
        <v>4.1612</v>
      </c>
      <c r="AE49" s="68">
        <v>0.97689999999999999</v>
      </c>
      <c r="AF49" s="68">
        <v>1.2723</v>
      </c>
      <c r="AG49" s="68">
        <v>3.4967999999999999</v>
      </c>
      <c r="AH49" s="68">
        <v>3.4106000000000001</v>
      </c>
      <c r="AI49" s="68">
        <v>3.8527999999999998</v>
      </c>
      <c r="AJ49" s="68">
        <v>4.0358000000000001</v>
      </c>
      <c r="AK49" s="68">
        <v>3.8532000000000002</v>
      </c>
      <c r="AL49" s="68">
        <v>1.7897000000000001</v>
      </c>
      <c r="AM49" s="68">
        <v>3.0363000000000002</v>
      </c>
      <c r="AN49" s="68">
        <v>3.1499000000000001</v>
      </c>
      <c r="AO49" s="68">
        <v>3.6663999999999999</v>
      </c>
      <c r="AP49" s="68">
        <v>3.8687</v>
      </c>
      <c r="AQ49" s="68">
        <v>4.2157999999999998</v>
      </c>
      <c r="AR49" s="68">
        <v>4.3063000000000002</v>
      </c>
      <c r="AS49" s="68">
        <v>3.8319999999999999</v>
      </c>
      <c r="AT49" s="68">
        <v>3.1730999999999998</v>
      </c>
      <c r="AU49" s="68">
        <v>2.9356</v>
      </c>
      <c r="AV49" s="68">
        <v>2.9674999999999998</v>
      </c>
      <c r="AW49" s="68">
        <v>2.7502</v>
      </c>
      <c r="AX49" s="68">
        <v>2.7360000000000002</v>
      </c>
      <c r="AY49" s="68">
        <v>3.2378999999999998</v>
      </c>
    </row>
    <row r="50" spans="15:51" x14ac:dyDescent="0.2">
      <c r="O50" s="62" t="s">
        <v>222</v>
      </c>
      <c r="P50" s="62" t="s">
        <v>294</v>
      </c>
      <c r="Q50" s="68" t="s">
        <v>182</v>
      </c>
      <c r="R50" s="68" t="s">
        <v>182</v>
      </c>
      <c r="S50" s="68" t="s">
        <v>182</v>
      </c>
      <c r="T50" s="68" t="s">
        <v>182</v>
      </c>
      <c r="U50" s="68" t="s">
        <v>182</v>
      </c>
      <c r="V50" s="68" t="s">
        <v>182</v>
      </c>
      <c r="W50" s="68" t="s">
        <v>182</v>
      </c>
      <c r="X50" s="68" t="s">
        <v>182</v>
      </c>
      <c r="Y50" s="68" t="s">
        <v>182</v>
      </c>
      <c r="Z50" s="68" t="s">
        <v>182</v>
      </c>
      <c r="AA50" s="68" t="s">
        <v>182</v>
      </c>
      <c r="AB50" s="68" t="s">
        <v>182</v>
      </c>
      <c r="AC50" s="68" t="s">
        <v>182</v>
      </c>
      <c r="AD50" s="68" t="s">
        <v>182</v>
      </c>
      <c r="AE50" s="68">
        <v>38.286900000000003</v>
      </c>
      <c r="AF50" s="68" t="s">
        <v>182</v>
      </c>
      <c r="AG50" s="68">
        <v>23.503599999999999</v>
      </c>
      <c r="AH50" s="68">
        <v>94.642399999999995</v>
      </c>
      <c r="AI50" s="68">
        <v>27.9086</v>
      </c>
      <c r="AJ50" s="68">
        <v>19.867100000000001</v>
      </c>
      <c r="AK50" s="68">
        <v>-7.0538999999999996</v>
      </c>
      <c r="AL50" s="68">
        <v>-12.6403</v>
      </c>
      <c r="AM50" s="68">
        <v>-18.071400000000001</v>
      </c>
      <c r="AN50" s="68">
        <v>-11.285600000000001</v>
      </c>
      <c r="AO50" s="68">
        <v>-12.707700000000001</v>
      </c>
      <c r="AP50" s="68">
        <v>-0.22900000000000001</v>
      </c>
      <c r="AQ50" s="68">
        <v>19.247299999999999</v>
      </c>
      <c r="AR50" s="68">
        <v>28.047999999999998</v>
      </c>
      <c r="AS50" s="68">
        <v>19.411799999999999</v>
      </c>
      <c r="AT50" s="68">
        <v>17.395199999999999</v>
      </c>
      <c r="AU50" s="68">
        <v>-1.3623000000000001</v>
      </c>
      <c r="AV50" s="68">
        <v>-18.1997</v>
      </c>
      <c r="AW50" s="68">
        <v>-6.5410000000000004</v>
      </c>
      <c r="AX50" s="68">
        <v>-0.56289999999999996</v>
      </c>
      <c r="AY50" s="68">
        <v>1.1452</v>
      </c>
    </row>
    <row r="51" spans="15:51" x14ac:dyDescent="0.2">
      <c r="O51" s="62" t="s">
        <v>226</v>
      </c>
      <c r="P51" s="62" t="s">
        <v>295</v>
      </c>
      <c r="Q51" s="68" t="s">
        <v>182</v>
      </c>
      <c r="R51" s="68" t="s">
        <v>182</v>
      </c>
      <c r="S51" s="68" t="s">
        <v>182</v>
      </c>
      <c r="T51" s="68" t="s">
        <v>182</v>
      </c>
      <c r="U51" s="68" t="s">
        <v>182</v>
      </c>
      <c r="V51" s="68" t="s">
        <v>182</v>
      </c>
      <c r="W51" s="68" t="s">
        <v>182</v>
      </c>
      <c r="X51" s="68" t="s">
        <v>182</v>
      </c>
      <c r="Y51" s="68" t="s">
        <v>182</v>
      </c>
      <c r="Z51" s="68" t="s">
        <v>182</v>
      </c>
      <c r="AA51" s="68" t="s">
        <v>182</v>
      </c>
      <c r="AB51" s="68" t="s">
        <v>182</v>
      </c>
      <c r="AC51" s="68" t="s">
        <v>182</v>
      </c>
      <c r="AD51" s="68" t="s">
        <v>182</v>
      </c>
      <c r="AE51" s="68" t="s">
        <v>182</v>
      </c>
      <c r="AF51" s="68" t="s">
        <v>182</v>
      </c>
      <c r="AG51" s="68" t="s">
        <v>182</v>
      </c>
      <c r="AH51" s="68" t="s">
        <v>182</v>
      </c>
      <c r="AI51" s="68" t="s">
        <v>182</v>
      </c>
      <c r="AJ51" s="68" t="s">
        <v>182</v>
      </c>
      <c r="AK51" s="68" t="s">
        <v>182</v>
      </c>
      <c r="AL51" s="68" t="s">
        <v>182</v>
      </c>
      <c r="AM51" s="68" t="s">
        <v>182</v>
      </c>
      <c r="AN51" s="68" t="s">
        <v>182</v>
      </c>
      <c r="AO51" s="68" t="s">
        <v>182</v>
      </c>
      <c r="AP51" s="68" t="s">
        <v>182</v>
      </c>
      <c r="AQ51" s="68">
        <v>-7.9862000000000002</v>
      </c>
      <c r="AR51" s="68">
        <v>22.799700000000001</v>
      </c>
      <c r="AS51" s="68">
        <v>12.504799999999999</v>
      </c>
      <c r="AT51" s="68">
        <v>-34.485999999999997</v>
      </c>
      <c r="AU51" s="68">
        <v>29.568300000000001</v>
      </c>
      <c r="AV51" s="68">
        <v>19.369700000000002</v>
      </c>
      <c r="AW51" s="68">
        <v>22.222799999999999</v>
      </c>
      <c r="AX51" s="68">
        <v>29.690200000000001</v>
      </c>
      <c r="AY51" s="68">
        <v>130.8905</v>
      </c>
    </row>
    <row r="52" spans="15:51" x14ac:dyDescent="0.2">
      <c r="O52" s="62" t="s">
        <v>230</v>
      </c>
      <c r="P52" s="62" t="s">
        <v>296</v>
      </c>
      <c r="Q52" s="68" t="s">
        <v>182</v>
      </c>
      <c r="R52" s="68" t="s">
        <v>182</v>
      </c>
      <c r="S52" s="68" t="s">
        <v>182</v>
      </c>
      <c r="T52" s="68" t="s">
        <v>182</v>
      </c>
      <c r="U52" s="68">
        <v>-3.1453000000000002</v>
      </c>
      <c r="V52" s="68">
        <v>-2.7008999999999999</v>
      </c>
      <c r="W52" s="68">
        <v>-4.3636999999999997</v>
      </c>
      <c r="X52" s="68">
        <v>-1.788</v>
      </c>
      <c r="Y52" s="68">
        <v>-1.0732999999999999</v>
      </c>
      <c r="Z52" s="68">
        <v>-0.2903</v>
      </c>
      <c r="AA52" s="68">
        <v>-0.39229999999999998</v>
      </c>
      <c r="AB52" s="68" t="s">
        <v>182</v>
      </c>
      <c r="AC52" s="68" t="s">
        <v>182</v>
      </c>
      <c r="AD52" s="68" t="s">
        <v>182</v>
      </c>
      <c r="AE52" s="68" t="s">
        <v>182</v>
      </c>
      <c r="AF52" s="68" t="s">
        <v>182</v>
      </c>
      <c r="AG52" s="68" t="s">
        <v>182</v>
      </c>
      <c r="AH52" s="68" t="s">
        <v>182</v>
      </c>
      <c r="AI52" s="68" t="s">
        <v>182</v>
      </c>
      <c r="AJ52" s="68" t="s">
        <v>182</v>
      </c>
      <c r="AK52" s="68">
        <v>-1.9489000000000001</v>
      </c>
      <c r="AL52" s="68">
        <v>-3.4420000000000002</v>
      </c>
      <c r="AM52" s="68">
        <v>-3.036</v>
      </c>
      <c r="AN52" s="68">
        <v>-2.9464000000000001</v>
      </c>
      <c r="AO52" s="68">
        <v>-1.7763</v>
      </c>
      <c r="AP52" s="68">
        <v>-1.8305</v>
      </c>
      <c r="AQ52" s="68">
        <v>1.2398</v>
      </c>
      <c r="AR52" s="68">
        <v>-0.67569999999999997</v>
      </c>
      <c r="AS52" s="68">
        <v>-2.7252000000000001</v>
      </c>
      <c r="AT52" s="68">
        <v>-5.5911999999999997</v>
      </c>
      <c r="AU52" s="68">
        <v>-6.2084000000000001</v>
      </c>
      <c r="AV52" s="68">
        <v>-8.0792000000000002</v>
      </c>
      <c r="AW52" s="68">
        <v>-7.8381999999999996</v>
      </c>
      <c r="AX52" s="68">
        <v>-4.9755000000000003</v>
      </c>
      <c r="AY52" s="68">
        <v>-1.2456</v>
      </c>
    </row>
    <row r="53" spans="15:51" x14ac:dyDescent="0.2">
      <c r="O53" s="62" t="s">
        <v>236</v>
      </c>
      <c r="P53" s="62" t="s">
        <v>297</v>
      </c>
      <c r="Q53" s="68" t="s">
        <v>182</v>
      </c>
      <c r="R53" s="68" t="s">
        <v>182</v>
      </c>
      <c r="S53" s="68" t="s">
        <v>182</v>
      </c>
      <c r="T53" s="68" t="s">
        <v>182</v>
      </c>
      <c r="U53" s="68">
        <v>3.4895999999999998</v>
      </c>
      <c r="V53" s="68">
        <v>2.6905999999999999</v>
      </c>
      <c r="W53" s="68">
        <v>1.5370999999999999</v>
      </c>
      <c r="X53" s="68">
        <v>1.6681999999999999</v>
      </c>
      <c r="Y53" s="68">
        <v>5.1269999999999998</v>
      </c>
      <c r="Z53" s="68">
        <v>5.5255999999999998</v>
      </c>
      <c r="AA53" s="68">
        <v>5.8066000000000004</v>
      </c>
      <c r="AB53" s="68">
        <v>5.2680999999999996</v>
      </c>
      <c r="AC53" s="68">
        <v>-0.76080000000000003</v>
      </c>
      <c r="AD53" s="68">
        <v>-4.069</v>
      </c>
      <c r="AE53" s="68">
        <v>-7.4168000000000003</v>
      </c>
      <c r="AF53" s="68">
        <v>-7.4206000000000003</v>
      </c>
      <c r="AG53" s="68">
        <v>-6.1821999999999999</v>
      </c>
      <c r="AH53" s="68">
        <v>-2.4325000000000001</v>
      </c>
      <c r="AI53" s="68">
        <v>0.1651</v>
      </c>
      <c r="AJ53" s="68">
        <v>4.0052000000000003</v>
      </c>
      <c r="AK53" s="68">
        <v>3.3050000000000002</v>
      </c>
      <c r="AL53" s="68">
        <v>2.1366000000000001</v>
      </c>
      <c r="AM53" s="68">
        <v>1.8584000000000001</v>
      </c>
      <c r="AN53" s="68">
        <v>0.88759999999999994</v>
      </c>
      <c r="AO53" s="68">
        <v>0.76680000000000004</v>
      </c>
      <c r="AP53" s="68">
        <v>-0.33110000000000001</v>
      </c>
      <c r="AQ53" s="68">
        <v>-2.6612</v>
      </c>
      <c r="AR53" s="68">
        <v>-6.0899000000000001</v>
      </c>
      <c r="AS53" s="68">
        <v>-4.5629</v>
      </c>
      <c r="AT53" s="68">
        <v>-3.5352000000000001</v>
      </c>
      <c r="AU53" s="68">
        <v>-0.1678</v>
      </c>
      <c r="AV53" s="68">
        <v>4.3003</v>
      </c>
      <c r="AW53" s="68">
        <v>1.1512</v>
      </c>
      <c r="AX53" s="68">
        <v>3.6234999999999999</v>
      </c>
      <c r="AY53" s="68">
        <v>5.9348999999999998</v>
      </c>
    </row>
    <row r="54" spans="15:51" x14ac:dyDescent="0.2">
      <c r="O54" s="62" t="s">
        <v>240</v>
      </c>
      <c r="P54" s="62" t="s">
        <v>298</v>
      </c>
      <c r="Q54" s="68" t="s">
        <v>182</v>
      </c>
      <c r="R54" s="68" t="s">
        <v>182</v>
      </c>
      <c r="S54" s="68" t="s">
        <v>182</v>
      </c>
      <c r="T54" s="68" t="s">
        <v>182</v>
      </c>
      <c r="U54" s="68">
        <v>-7.9036999999999997</v>
      </c>
      <c r="V54" s="68">
        <v>-23.6646</v>
      </c>
      <c r="W54" s="68">
        <v>2.0280999999999998</v>
      </c>
      <c r="X54" s="68">
        <v>12.171900000000001</v>
      </c>
      <c r="Y54" s="68">
        <v>1.8405</v>
      </c>
      <c r="Z54" s="68">
        <v>10.652900000000001</v>
      </c>
      <c r="AA54" s="68">
        <v>-1.53</v>
      </c>
      <c r="AB54" s="68">
        <v>12.4649</v>
      </c>
      <c r="AC54" s="68">
        <v>7.7542</v>
      </c>
      <c r="AD54" s="68">
        <v>23.821200000000001</v>
      </c>
      <c r="AE54" s="68">
        <v>8.5082000000000004</v>
      </c>
      <c r="AF54" s="68">
        <v>8.3209</v>
      </c>
      <c r="AG54" s="68">
        <v>3.2679</v>
      </c>
      <c r="AH54" s="68">
        <v>0.34510000000000002</v>
      </c>
      <c r="AI54" s="68">
        <v>-13.9129</v>
      </c>
      <c r="AJ54" s="68">
        <v>8.0654000000000003</v>
      </c>
      <c r="AK54" s="68">
        <v>-5.6501000000000001</v>
      </c>
      <c r="AL54" s="68">
        <v>-36.377600000000001</v>
      </c>
      <c r="AM54" s="68">
        <v>-8.1362000000000005</v>
      </c>
      <c r="AN54" s="68">
        <v>-3.3123</v>
      </c>
      <c r="AO54" s="68">
        <v>-0.17849999999999999</v>
      </c>
      <c r="AP54" s="68">
        <v>10.742800000000001</v>
      </c>
      <c r="AQ54" s="68">
        <v>15.0724</v>
      </c>
      <c r="AR54" s="68">
        <v>-49.567100000000003</v>
      </c>
      <c r="AS54" s="68">
        <v>-8.1744000000000003</v>
      </c>
      <c r="AT54" s="68">
        <v>-52.430100000000003</v>
      </c>
      <c r="AU54" s="68">
        <v>-49.2181</v>
      </c>
      <c r="AV54" s="68">
        <v>5.7826000000000004</v>
      </c>
      <c r="AW54" s="68">
        <v>86.063400000000001</v>
      </c>
      <c r="AX54" s="68">
        <v>-5.8396999999999997</v>
      </c>
      <c r="AY54" s="68">
        <v>63.205100000000002</v>
      </c>
    </row>
    <row r="55" spans="15:51" x14ac:dyDescent="0.2">
      <c r="O55" s="62" t="s">
        <v>245</v>
      </c>
      <c r="P55" s="62" t="s">
        <v>299</v>
      </c>
      <c r="Q55" s="68" t="s">
        <v>182</v>
      </c>
      <c r="R55" s="68" t="s">
        <v>182</v>
      </c>
      <c r="S55" s="68" t="s">
        <v>182</v>
      </c>
      <c r="T55" s="68" t="s">
        <v>182</v>
      </c>
      <c r="U55" s="68">
        <v>-0.1497</v>
      </c>
      <c r="V55" s="68">
        <v>-4.0244999999999997</v>
      </c>
      <c r="W55" s="68">
        <v>-0.37890000000000001</v>
      </c>
      <c r="X55" s="68">
        <v>-3.3243999999999998</v>
      </c>
      <c r="Y55" s="68">
        <v>8.2841000000000005</v>
      </c>
      <c r="Z55" s="68">
        <v>14.3775</v>
      </c>
      <c r="AA55" s="68">
        <v>14.3072</v>
      </c>
      <c r="AB55" s="68">
        <v>17.854800000000001</v>
      </c>
      <c r="AC55" s="68">
        <v>18.703700000000001</v>
      </c>
      <c r="AD55" s="68">
        <v>8.3179999999999996</v>
      </c>
      <c r="AE55" s="68">
        <v>0.81940000000000002</v>
      </c>
      <c r="AF55" s="68">
        <v>1.7115</v>
      </c>
      <c r="AG55" s="68">
        <v>0.59140000000000004</v>
      </c>
      <c r="AH55" s="68">
        <v>-2.1755</v>
      </c>
      <c r="AI55" s="68">
        <v>-3.4552</v>
      </c>
      <c r="AJ55" s="68">
        <v>0.57189999999999996</v>
      </c>
      <c r="AK55" s="68">
        <v>1.3779999999999999</v>
      </c>
      <c r="AL55" s="68">
        <v>1.7795000000000001</v>
      </c>
      <c r="AM55" s="68">
        <v>7.5178000000000003</v>
      </c>
      <c r="AN55" s="68">
        <v>9.1605000000000008</v>
      </c>
      <c r="AO55" s="68">
        <v>6.2617000000000003</v>
      </c>
      <c r="AP55" s="68">
        <v>4.0571000000000002</v>
      </c>
      <c r="AQ55" s="68">
        <v>3.9980000000000002</v>
      </c>
      <c r="AR55" s="68">
        <v>3.988</v>
      </c>
      <c r="AS55" s="68">
        <v>4.0922000000000001</v>
      </c>
      <c r="AT55" s="68">
        <v>3.7324000000000002</v>
      </c>
      <c r="AU55" s="68">
        <v>9.0821000000000005</v>
      </c>
      <c r="AV55" s="68">
        <v>11.498799999999999</v>
      </c>
      <c r="AW55" s="68">
        <v>10.3072</v>
      </c>
      <c r="AX55" s="68">
        <v>8.4068000000000005</v>
      </c>
      <c r="AY55" s="68">
        <v>9.5162999999999993</v>
      </c>
    </row>
    <row r="56" spans="15:51" x14ac:dyDescent="0.2">
      <c r="O56" s="62" t="s">
        <v>250</v>
      </c>
      <c r="P56" s="62" t="s">
        <v>300</v>
      </c>
      <c r="Q56" s="68" t="s">
        <v>182</v>
      </c>
      <c r="R56" s="68" t="s">
        <v>182</v>
      </c>
      <c r="S56" s="68" t="s">
        <v>182</v>
      </c>
      <c r="T56" s="68" t="s">
        <v>182</v>
      </c>
      <c r="U56" s="68">
        <v>-10.519</v>
      </c>
      <c r="V56" s="68">
        <v>-1.9441999999999999</v>
      </c>
      <c r="W56" s="68">
        <v>1.1654</v>
      </c>
      <c r="X56" s="68">
        <v>3.6785999999999999</v>
      </c>
      <c r="Y56" s="68">
        <v>9.4376999999999995</v>
      </c>
      <c r="Z56" s="68">
        <v>14.150399999999999</v>
      </c>
      <c r="AA56" s="68">
        <v>13.081099999999999</v>
      </c>
      <c r="AB56" s="68">
        <v>9.0584000000000007</v>
      </c>
      <c r="AC56" s="68">
        <v>7.2412999999999998</v>
      </c>
      <c r="AD56" s="68">
        <v>4.1460999999999997</v>
      </c>
      <c r="AE56" s="68">
        <v>1.5958000000000001</v>
      </c>
      <c r="AF56" s="68">
        <v>1.8772</v>
      </c>
      <c r="AG56" s="68">
        <v>3.4232</v>
      </c>
      <c r="AH56" s="68">
        <v>5.7404000000000002</v>
      </c>
      <c r="AI56" s="68">
        <v>7.8788999999999998</v>
      </c>
      <c r="AJ56" s="68">
        <v>6.8323999999999998</v>
      </c>
      <c r="AK56" s="68">
        <v>4.5166000000000004</v>
      </c>
      <c r="AL56" s="68">
        <v>5.1811999999999996</v>
      </c>
      <c r="AM56" s="68">
        <v>1.8090999999999999</v>
      </c>
      <c r="AN56" s="68">
        <v>-1.0833999999999999</v>
      </c>
      <c r="AO56" s="68">
        <v>0.71960000000000002</v>
      </c>
      <c r="AP56" s="68">
        <v>5.4710999999999999</v>
      </c>
      <c r="AQ56" s="68">
        <v>4.9729000000000001</v>
      </c>
      <c r="AR56" s="68">
        <v>6.0462999999999996</v>
      </c>
      <c r="AS56" s="68">
        <v>6.6685999999999996</v>
      </c>
      <c r="AT56" s="68">
        <v>10.336600000000001</v>
      </c>
      <c r="AU56" s="68">
        <v>3.6728999999999998</v>
      </c>
      <c r="AV56" s="68">
        <v>1.2002999999999999</v>
      </c>
      <c r="AW56" s="68">
        <v>2.3578999999999999</v>
      </c>
      <c r="AX56" s="68">
        <v>2.9138999999999999</v>
      </c>
      <c r="AY56" s="68">
        <v>-3.0251999999999999</v>
      </c>
    </row>
    <row r="57" spans="15:51" x14ac:dyDescent="0.2">
      <c r="O57" s="62" t="s">
        <v>301</v>
      </c>
      <c r="P57" s="62" t="s">
        <v>302</v>
      </c>
      <c r="Q57" s="68" t="s">
        <v>182</v>
      </c>
      <c r="R57" s="68" t="s">
        <v>182</v>
      </c>
      <c r="S57" s="68" t="s">
        <v>182</v>
      </c>
      <c r="T57" s="68" t="s">
        <v>182</v>
      </c>
      <c r="U57" s="68">
        <v>-5.7931999999999997</v>
      </c>
      <c r="V57" s="68">
        <v>-3.0590000000000002</v>
      </c>
      <c r="W57" s="68">
        <v>0.443</v>
      </c>
      <c r="X57" s="68">
        <v>0.50049999999999994</v>
      </c>
      <c r="Y57" s="68">
        <v>8.8651999999999997</v>
      </c>
      <c r="Z57" s="68">
        <v>14.2727</v>
      </c>
      <c r="AA57" s="68">
        <v>13.725099999999999</v>
      </c>
      <c r="AB57" s="68">
        <v>13.412100000000001</v>
      </c>
      <c r="AC57" s="68">
        <v>12.4246</v>
      </c>
      <c r="AD57" s="68">
        <v>6.2652000000000001</v>
      </c>
      <c r="AE57" s="68">
        <v>1.1795</v>
      </c>
      <c r="AF57" s="68">
        <v>1.7889999999999999</v>
      </c>
      <c r="AG57" s="68">
        <v>1.8964000000000001</v>
      </c>
      <c r="AH57" s="68">
        <v>1.8680000000000001</v>
      </c>
      <c r="AI57" s="68">
        <v>2.4146000000000001</v>
      </c>
      <c r="AJ57" s="68">
        <v>3.6997</v>
      </c>
      <c r="AK57" s="68">
        <v>2.8969</v>
      </c>
      <c r="AL57" s="68">
        <v>3.4735999999999998</v>
      </c>
      <c r="AM57" s="68">
        <v>4.4248000000000003</v>
      </c>
      <c r="AN57" s="68">
        <v>3.5089999999999999</v>
      </c>
      <c r="AO57" s="68">
        <v>3.3902999999999999</v>
      </c>
      <c r="AP57" s="68">
        <v>4.7831999999999999</v>
      </c>
      <c r="AQ57" s="68">
        <v>4.5119999999999996</v>
      </c>
      <c r="AR57" s="68">
        <v>5.0393999999999997</v>
      </c>
      <c r="AS57" s="68">
        <v>5.3555999999999999</v>
      </c>
      <c r="AT57" s="68">
        <v>7.0925000000000002</v>
      </c>
      <c r="AU57" s="68">
        <v>6.3868999999999998</v>
      </c>
      <c r="AV57" s="68">
        <v>6.4936999999999996</v>
      </c>
      <c r="AW57" s="68">
        <v>6.4264000000000001</v>
      </c>
      <c r="AX57" s="68">
        <v>5.7549999999999999</v>
      </c>
      <c r="AY57" s="68">
        <v>3.3151999999999999</v>
      </c>
    </row>
    <row r="58" spans="15:51" x14ac:dyDescent="0.2">
      <c r="O58" s="62" t="s">
        <v>258</v>
      </c>
      <c r="P58" s="62" t="s">
        <v>303</v>
      </c>
      <c r="Q58" s="68" t="s">
        <v>182</v>
      </c>
      <c r="R58" s="68" t="s">
        <v>182</v>
      </c>
      <c r="S58" s="68" t="s">
        <v>182</v>
      </c>
      <c r="T58" s="68" t="s">
        <v>182</v>
      </c>
      <c r="U58" s="68">
        <v>-1.6546000000000001</v>
      </c>
      <c r="V58" s="68">
        <v>8.5800000000000001E-2</v>
      </c>
      <c r="W58" s="68">
        <v>1.3996</v>
      </c>
      <c r="X58" s="68">
        <v>2.3220000000000001</v>
      </c>
      <c r="Y58" s="68">
        <v>8.1853999999999996</v>
      </c>
      <c r="Z58" s="68">
        <v>12.937099999999999</v>
      </c>
      <c r="AA58" s="68">
        <v>12.1569</v>
      </c>
      <c r="AB58" s="68">
        <v>8.1446000000000005</v>
      </c>
      <c r="AC58" s="68">
        <v>7.0141999999999998</v>
      </c>
      <c r="AD58" s="68">
        <v>4.4558999999999997</v>
      </c>
      <c r="AE58" s="68">
        <v>1.9363999999999999</v>
      </c>
      <c r="AF58" s="68">
        <v>2.0705</v>
      </c>
      <c r="AG58" s="68">
        <v>3.7014999999999998</v>
      </c>
      <c r="AH58" s="68">
        <v>5.2054</v>
      </c>
      <c r="AI58" s="68">
        <v>7.3620000000000001</v>
      </c>
      <c r="AJ58" s="68">
        <v>7.9362000000000004</v>
      </c>
      <c r="AK58" s="68">
        <v>6.5559000000000003</v>
      </c>
      <c r="AL58" s="68">
        <v>7.1093999999999999</v>
      </c>
      <c r="AM58" s="68">
        <v>5.1924999999999999</v>
      </c>
      <c r="AN58" s="68">
        <v>3.4283999999999999</v>
      </c>
      <c r="AO58" s="68">
        <v>4.4105999999999996</v>
      </c>
      <c r="AP58" s="68">
        <v>8.6295000000000002</v>
      </c>
      <c r="AQ58" s="68">
        <v>8.6588999999999992</v>
      </c>
      <c r="AR58" s="68">
        <v>9.0508000000000006</v>
      </c>
      <c r="AS58" s="68">
        <v>9.3201000000000001</v>
      </c>
      <c r="AT58" s="68">
        <v>13.411799999999999</v>
      </c>
      <c r="AU58" s="68">
        <v>8.1229999999999993</v>
      </c>
      <c r="AV58" s="68">
        <v>6.3742000000000001</v>
      </c>
      <c r="AW58" s="68">
        <v>-13.8497</v>
      </c>
      <c r="AX58" s="68">
        <v>7.8739999999999997</v>
      </c>
      <c r="AY58" s="68">
        <v>2.0775999999999999</v>
      </c>
    </row>
    <row r="59" spans="15:51" x14ac:dyDescent="0.2">
      <c r="O59" s="62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</row>
    <row r="60" spans="15:51" x14ac:dyDescent="0.2">
      <c r="O60" s="62" t="s">
        <v>262</v>
      </c>
      <c r="P60" s="62" t="s">
        <v>304</v>
      </c>
      <c r="Q60" s="68" t="s">
        <v>182</v>
      </c>
      <c r="R60" s="68" t="s">
        <v>182</v>
      </c>
      <c r="S60" s="68" t="s">
        <v>182</v>
      </c>
      <c r="T60" s="68" t="s">
        <v>182</v>
      </c>
      <c r="U60" s="68">
        <v>-4.9290000000000003</v>
      </c>
      <c r="V60" s="68">
        <v>3.4739</v>
      </c>
      <c r="W60" s="68">
        <v>5.6581000000000001</v>
      </c>
      <c r="X60" s="68">
        <v>12.004</v>
      </c>
      <c r="Y60" s="68">
        <v>10.705399999999999</v>
      </c>
      <c r="Z60" s="68">
        <v>10.657400000000001</v>
      </c>
      <c r="AA60" s="68">
        <v>0.77780000000000005</v>
      </c>
      <c r="AB60" s="68">
        <v>-4.1814999999999998</v>
      </c>
      <c r="AC60" s="68">
        <v>-14.6433</v>
      </c>
      <c r="AD60" s="68">
        <v>-10.498900000000001</v>
      </c>
      <c r="AE60" s="68">
        <v>-6.2716000000000003</v>
      </c>
      <c r="AF60" s="68">
        <v>-4.2693000000000003</v>
      </c>
      <c r="AG60" s="68">
        <v>6.1881000000000004</v>
      </c>
      <c r="AH60" s="68">
        <v>9.3484999999999996</v>
      </c>
      <c r="AI60" s="68">
        <v>20.001899999999999</v>
      </c>
      <c r="AJ60" s="68">
        <v>14.1473</v>
      </c>
      <c r="AK60" s="68">
        <v>29.373899999999999</v>
      </c>
      <c r="AL60" s="68">
        <v>7.1148999999999996</v>
      </c>
      <c r="AM60" s="68">
        <v>24.052499999999998</v>
      </c>
      <c r="AN60" s="68">
        <v>11.1478</v>
      </c>
      <c r="AO60" s="68">
        <v>6.1685999999999996</v>
      </c>
      <c r="AP60" s="68">
        <v>2.3132999999999999</v>
      </c>
      <c r="AQ60" s="68">
        <v>10.393599999999999</v>
      </c>
      <c r="AR60" s="68">
        <v>0.65969999999999995</v>
      </c>
      <c r="AS60" s="68">
        <v>-2.7223000000000002</v>
      </c>
      <c r="AT60" s="68">
        <v>3.3401999999999998</v>
      </c>
      <c r="AU60" s="68">
        <v>7.2735000000000003</v>
      </c>
      <c r="AV60" s="68">
        <v>7.7260999999999997</v>
      </c>
      <c r="AW60" s="68">
        <v>4.8135000000000003</v>
      </c>
      <c r="AX60" s="68">
        <v>10.8903</v>
      </c>
      <c r="AY60" s="68">
        <v>10.107200000000001</v>
      </c>
    </row>
    <row r="61" spans="15:51" x14ac:dyDescent="0.2">
      <c r="O61" s="62" t="s">
        <v>243</v>
      </c>
      <c r="P61" s="62" t="s">
        <v>305</v>
      </c>
      <c r="Q61" s="68" t="s">
        <v>182</v>
      </c>
      <c r="R61" s="68" t="s">
        <v>182</v>
      </c>
      <c r="S61" s="68" t="s">
        <v>182</v>
      </c>
      <c r="T61" s="68" t="s">
        <v>182</v>
      </c>
      <c r="U61" s="68" t="s">
        <v>182</v>
      </c>
      <c r="V61" s="68" t="s">
        <v>182</v>
      </c>
      <c r="W61" s="68" t="s">
        <v>182</v>
      </c>
      <c r="X61" s="68" t="s">
        <v>182</v>
      </c>
      <c r="Y61" s="68">
        <v>155.32069999999999</v>
      </c>
      <c r="Z61" s="68" t="s">
        <v>182</v>
      </c>
      <c r="AA61" s="68" t="s">
        <v>182</v>
      </c>
      <c r="AB61" s="68" t="s">
        <v>182</v>
      </c>
      <c r="AC61" s="68" t="s">
        <v>182</v>
      </c>
      <c r="AD61" s="68" t="s">
        <v>182</v>
      </c>
      <c r="AE61" s="68" t="s">
        <v>182</v>
      </c>
      <c r="AF61" s="68" t="s">
        <v>182</v>
      </c>
      <c r="AG61" s="68" t="s">
        <v>182</v>
      </c>
      <c r="AH61" s="68" t="s">
        <v>182</v>
      </c>
      <c r="AI61" s="68" t="s">
        <v>182</v>
      </c>
      <c r="AJ61" s="68" t="s">
        <v>182</v>
      </c>
      <c r="AK61" s="68" t="s">
        <v>182</v>
      </c>
      <c r="AL61" s="68">
        <v>8.0620999999999992</v>
      </c>
      <c r="AM61" s="68" t="s">
        <v>182</v>
      </c>
      <c r="AN61" s="68">
        <v>23.2986</v>
      </c>
      <c r="AO61" s="68">
        <v>8.0395000000000003</v>
      </c>
      <c r="AP61" s="68">
        <v>-4.0651999999999999</v>
      </c>
      <c r="AQ61" s="68">
        <v>7.8388999999999998</v>
      </c>
      <c r="AR61" s="68">
        <v>-10.677</v>
      </c>
      <c r="AS61" s="68">
        <v>-11.642899999999999</v>
      </c>
      <c r="AT61" s="68">
        <v>18.805800000000001</v>
      </c>
      <c r="AU61" s="68">
        <v>24.867699999999999</v>
      </c>
      <c r="AV61" s="68">
        <v>28.994800000000001</v>
      </c>
      <c r="AW61" s="68">
        <v>26.6892</v>
      </c>
      <c r="AX61" s="68">
        <v>38.762099999999997</v>
      </c>
      <c r="AY61" s="68">
        <v>19.475000000000001</v>
      </c>
    </row>
    <row r="62" spans="15:51" x14ac:dyDescent="0.2">
      <c r="O62" s="62" t="s">
        <v>276</v>
      </c>
      <c r="P62" s="62" t="s">
        <v>306</v>
      </c>
      <c r="Q62" s="68" t="s">
        <v>182</v>
      </c>
      <c r="R62" s="68" t="s">
        <v>182</v>
      </c>
      <c r="S62" s="68" t="s">
        <v>182</v>
      </c>
      <c r="T62" s="68" t="s">
        <v>182</v>
      </c>
      <c r="U62" s="68" t="s">
        <v>182</v>
      </c>
      <c r="V62" s="68" t="s">
        <v>182</v>
      </c>
      <c r="W62" s="68" t="s">
        <v>182</v>
      </c>
      <c r="X62" s="68" t="s">
        <v>182</v>
      </c>
      <c r="Y62" s="68" t="s">
        <v>182</v>
      </c>
      <c r="Z62" s="68" t="s">
        <v>182</v>
      </c>
      <c r="AA62" s="68">
        <v>3.6779000000000002</v>
      </c>
      <c r="AB62" s="68">
        <v>-3.9746000000000001</v>
      </c>
      <c r="AC62" s="68">
        <v>-9.1708999999999996</v>
      </c>
      <c r="AD62" s="68">
        <v>-6.1882999999999999</v>
      </c>
      <c r="AE62" s="68">
        <v>-5.4058999999999999</v>
      </c>
      <c r="AF62" s="68">
        <v>-4.1700999999999997</v>
      </c>
      <c r="AG62" s="68">
        <v>7.0553999999999997</v>
      </c>
      <c r="AH62" s="68">
        <v>5.4924999999999997</v>
      </c>
      <c r="AI62" s="68">
        <v>14.922700000000001</v>
      </c>
      <c r="AJ62" s="68">
        <v>11.600899999999999</v>
      </c>
      <c r="AK62" s="68">
        <v>24.202400000000001</v>
      </c>
      <c r="AL62" s="68">
        <v>6.7436999999999996</v>
      </c>
      <c r="AM62" s="68">
        <v>20.7423</v>
      </c>
      <c r="AN62" s="68">
        <v>10.4375</v>
      </c>
      <c r="AO62" s="68">
        <v>6.1559999999999997</v>
      </c>
      <c r="AP62" s="68">
        <v>2.2467000000000001</v>
      </c>
      <c r="AQ62" s="68">
        <v>8.9769000000000005</v>
      </c>
      <c r="AR62" s="68">
        <v>0.59370000000000001</v>
      </c>
      <c r="AS62" s="68">
        <v>-2.3824000000000001</v>
      </c>
      <c r="AT62" s="68" t="s">
        <v>182</v>
      </c>
      <c r="AU62" s="68" t="s">
        <v>182</v>
      </c>
      <c r="AV62" s="68" t="s">
        <v>182</v>
      </c>
      <c r="AW62" s="68" t="s">
        <v>182</v>
      </c>
      <c r="AX62" s="68" t="s">
        <v>182</v>
      </c>
      <c r="AY62" s="68" t="s">
        <v>182</v>
      </c>
    </row>
    <row r="63" spans="15:51" x14ac:dyDescent="0.2">
      <c r="O63" s="62" t="s">
        <v>279</v>
      </c>
      <c r="P63" s="62" t="s">
        <v>307</v>
      </c>
      <c r="Q63" s="68" t="s">
        <v>182</v>
      </c>
      <c r="R63" s="68" t="s">
        <v>182</v>
      </c>
      <c r="S63" s="68" t="s">
        <v>182</v>
      </c>
      <c r="T63" s="68" t="s">
        <v>182</v>
      </c>
      <c r="U63" s="68" t="s">
        <v>182</v>
      </c>
      <c r="V63" s="68" t="s">
        <v>182</v>
      </c>
      <c r="W63" s="68" t="s">
        <v>182</v>
      </c>
      <c r="X63" s="68" t="s">
        <v>182</v>
      </c>
      <c r="Y63" s="68" t="s">
        <v>182</v>
      </c>
      <c r="Z63" s="68" t="s">
        <v>182</v>
      </c>
      <c r="AA63" s="68" t="s">
        <v>182</v>
      </c>
      <c r="AB63" s="68" t="s">
        <v>182</v>
      </c>
      <c r="AC63" s="68" t="s">
        <v>182</v>
      </c>
      <c r="AD63" s="68" t="s">
        <v>182</v>
      </c>
      <c r="AE63" s="68" t="s">
        <v>182</v>
      </c>
      <c r="AF63" s="68" t="s">
        <v>182</v>
      </c>
      <c r="AG63" s="68" t="s">
        <v>182</v>
      </c>
      <c r="AH63" s="68">
        <v>10.643000000000001</v>
      </c>
      <c r="AI63" s="68">
        <v>24.239899999999999</v>
      </c>
      <c r="AJ63" s="68">
        <v>15.1007</v>
      </c>
      <c r="AK63" s="68">
        <v>107.96429999999999</v>
      </c>
      <c r="AL63" s="68">
        <v>6.7744999999999997</v>
      </c>
      <c r="AM63" s="68">
        <v>45.756599999999999</v>
      </c>
      <c r="AN63" s="68">
        <v>17.1816</v>
      </c>
      <c r="AO63" s="68">
        <v>7.2786</v>
      </c>
      <c r="AP63" s="68">
        <v>-2.6909999999999998</v>
      </c>
      <c r="AQ63" s="68">
        <v>4.9417999999999997</v>
      </c>
      <c r="AR63" s="68">
        <v>-8.2028999999999996</v>
      </c>
      <c r="AS63" s="68">
        <v>-8.2056000000000004</v>
      </c>
      <c r="AT63" s="68" t="s">
        <v>182</v>
      </c>
      <c r="AU63" s="68" t="s">
        <v>182</v>
      </c>
      <c r="AV63" s="68" t="s">
        <v>182</v>
      </c>
      <c r="AW63" s="68" t="s">
        <v>182</v>
      </c>
      <c r="AX63" s="68" t="s">
        <v>182</v>
      </c>
      <c r="AY63" s="68" t="s">
        <v>182</v>
      </c>
    </row>
    <row r="64" spans="15:51" x14ac:dyDescent="0.2">
      <c r="O64" s="62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</row>
    <row r="65" spans="15:51" x14ac:dyDescent="0.2">
      <c r="O65" s="60" t="s">
        <v>308</v>
      </c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</row>
    <row r="66" spans="15:51" x14ac:dyDescent="0.2">
      <c r="O66" s="62" t="s">
        <v>66</v>
      </c>
      <c r="P66" s="62" t="s">
        <v>309</v>
      </c>
      <c r="Q66" s="68">
        <v>-5.6074000000000002</v>
      </c>
      <c r="R66" s="68">
        <v>2.0152999999999999</v>
      </c>
      <c r="S66" s="68">
        <v>5.9393000000000002</v>
      </c>
      <c r="T66" s="68">
        <v>5.2529000000000003</v>
      </c>
      <c r="U66" s="68">
        <v>1.1348</v>
      </c>
      <c r="V66" s="68">
        <v>2.3586</v>
      </c>
      <c r="W66" s="68">
        <v>7.4720000000000004</v>
      </c>
      <c r="X66" s="68">
        <v>9.3255999999999997</v>
      </c>
      <c r="Y66" s="68">
        <v>0.30459999999999998</v>
      </c>
      <c r="Z66" s="68">
        <v>0.80679999999999996</v>
      </c>
      <c r="AA66" s="68">
        <v>-7.0896999999999997</v>
      </c>
      <c r="AB66" s="68">
        <v>5.1378000000000004</v>
      </c>
      <c r="AC66" s="68">
        <v>-21.050599999999999</v>
      </c>
      <c r="AD66" s="68">
        <v>-0.9889</v>
      </c>
      <c r="AE66" s="68">
        <v>0.51790000000000003</v>
      </c>
      <c r="AF66" s="68">
        <v>-7.1883999999999997</v>
      </c>
      <c r="AG66" s="68">
        <v>6.2648999999999999</v>
      </c>
      <c r="AH66" s="68">
        <v>7.1890999999999998</v>
      </c>
      <c r="AI66" s="68">
        <v>11.0002</v>
      </c>
      <c r="AJ66" s="68">
        <v>4.8505000000000003</v>
      </c>
      <c r="AK66" s="68">
        <v>12.2134</v>
      </c>
      <c r="AL66" s="68">
        <v>-19.671299999999999</v>
      </c>
      <c r="AM66" s="68">
        <v>17.6419</v>
      </c>
      <c r="AN66" s="68">
        <v>10.897</v>
      </c>
      <c r="AO66" s="68">
        <v>-0.3306</v>
      </c>
      <c r="AP66" s="68">
        <v>2.2967</v>
      </c>
      <c r="AQ66" s="68">
        <v>5.3467000000000002</v>
      </c>
      <c r="AR66" s="68">
        <v>-6.7724000000000002</v>
      </c>
      <c r="AS66" s="68">
        <v>-6.2823000000000002</v>
      </c>
      <c r="AT66" s="68">
        <v>3.0626000000000002</v>
      </c>
      <c r="AU66" s="68">
        <v>7.3807999999999998</v>
      </c>
      <c r="AV66" s="68">
        <v>-2.5550999999999999</v>
      </c>
      <c r="AW66" s="68">
        <v>-11.3429</v>
      </c>
      <c r="AX66" s="68">
        <v>18.3218</v>
      </c>
      <c r="AY66" s="68">
        <v>18.615200000000002</v>
      </c>
    </row>
    <row r="67" spans="15:51" x14ac:dyDescent="0.2">
      <c r="O67" s="62" t="s">
        <v>67</v>
      </c>
      <c r="P67" s="62" t="s">
        <v>310</v>
      </c>
      <c r="Q67" s="68">
        <v>-4.3780000000000001</v>
      </c>
      <c r="R67" s="68">
        <v>-4.3605</v>
      </c>
      <c r="S67" s="68">
        <v>-2.1276999999999999</v>
      </c>
      <c r="T67" s="68">
        <v>5.2019000000000002</v>
      </c>
      <c r="U67" s="68">
        <v>10.1107</v>
      </c>
      <c r="V67" s="68">
        <v>-0.46920000000000001</v>
      </c>
      <c r="W67" s="68">
        <v>21.818200000000001</v>
      </c>
      <c r="X67" s="68">
        <v>12.1614</v>
      </c>
      <c r="Y67" s="68">
        <v>5.5692000000000004</v>
      </c>
      <c r="Z67" s="68">
        <v>6.0224000000000002</v>
      </c>
      <c r="AA67" s="68">
        <v>-22.501100000000001</v>
      </c>
      <c r="AB67" s="68">
        <v>-32.159100000000002</v>
      </c>
      <c r="AC67" s="68">
        <v>17.671700000000001</v>
      </c>
      <c r="AD67" s="68">
        <v>12.3843</v>
      </c>
      <c r="AE67" s="68">
        <v>12.4763</v>
      </c>
      <c r="AF67" s="68">
        <v>-34.515799999999999</v>
      </c>
      <c r="AG67" s="68">
        <v>48.7532</v>
      </c>
      <c r="AH67" s="68">
        <v>37.745699999999999</v>
      </c>
      <c r="AI67" s="68">
        <v>26.101600000000001</v>
      </c>
      <c r="AJ67" s="68">
        <v>4.6921999999999997</v>
      </c>
      <c r="AK67" s="68">
        <v>17.1647</v>
      </c>
      <c r="AL67" s="68">
        <v>-13.9175</v>
      </c>
      <c r="AM67" s="68">
        <v>26.6309</v>
      </c>
      <c r="AN67" s="68">
        <v>10.652100000000001</v>
      </c>
      <c r="AO67" s="68">
        <v>1.5744</v>
      </c>
      <c r="AP67" s="68">
        <v>1.3508</v>
      </c>
      <c r="AQ67" s="68">
        <v>4.0856000000000003</v>
      </c>
      <c r="AR67" s="68">
        <v>0.5877</v>
      </c>
      <c r="AS67" s="68">
        <v>-2.1284999999999998</v>
      </c>
      <c r="AT67" s="68">
        <v>7.3560999999999996</v>
      </c>
      <c r="AU67" s="68">
        <v>23.138000000000002</v>
      </c>
      <c r="AV67" s="68">
        <v>3.1934999999999998</v>
      </c>
      <c r="AW67" s="68">
        <v>-8.9246999999999996</v>
      </c>
      <c r="AX67" s="68">
        <v>21.898099999999999</v>
      </c>
      <c r="AY67" s="68">
        <v>7.4476000000000004</v>
      </c>
    </row>
    <row r="68" spans="15:51" x14ac:dyDescent="0.2">
      <c r="O68" s="62" t="s">
        <v>176</v>
      </c>
      <c r="P68" s="62" t="s">
        <v>311</v>
      </c>
      <c r="Q68" s="68">
        <v>1.5642</v>
      </c>
      <c r="R68" s="68">
        <v>-4.4004000000000003</v>
      </c>
      <c r="S68" s="68">
        <v>-6.2140000000000004</v>
      </c>
      <c r="T68" s="68">
        <v>4.7853000000000003</v>
      </c>
      <c r="U68" s="68">
        <v>12.9977</v>
      </c>
      <c r="V68" s="68">
        <v>-5.3886000000000003</v>
      </c>
      <c r="W68" s="68">
        <v>34.939799999999998</v>
      </c>
      <c r="X68" s="68">
        <v>15.9903</v>
      </c>
      <c r="Y68" s="68">
        <v>6.508</v>
      </c>
      <c r="Z68" s="68">
        <v>4.0079000000000002</v>
      </c>
      <c r="AA68" s="68">
        <v>-28.616599999999998</v>
      </c>
      <c r="AB68" s="68">
        <v>-49.292000000000002</v>
      </c>
      <c r="AC68" s="68">
        <v>40.488700000000001</v>
      </c>
      <c r="AD68" s="68">
        <v>18.882000000000001</v>
      </c>
      <c r="AE68" s="68">
        <v>17.7638</v>
      </c>
      <c r="AF68" s="68">
        <v>-53.8598</v>
      </c>
      <c r="AG68" s="68">
        <v>92.307699999999997</v>
      </c>
      <c r="AH68" s="68">
        <v>55</v>
      </c>
      <c r="AI68" s="68">
        <v>37.935499999999998</v>
      </c>
      <c r="AJ68" s="68">
        <v>5.5191999999999997</v>
      </c>
      <c r="AK68" s="68">
        <v>22.695</v>
      </c>
      <c r="AL68" s="68">
        <v>-17.991299999999999</v>
      </c>
      <c r="AM68" s="68">
        <v>35.286299999999997</v>
      </c>
      <c r="AN68" s="68">
        <v>12.9925</v>
      </c>
      <c r="AO68" s="68">
        <v>-0.37459999999999999</v>
      </c>
      <c r="AP68" s="68">
        <v>0.46279999999999999</v>
      </c>
      <c r="AQ68" s="68">
        <v>4.0311000000000003</v>
      </c>
      <c r="AR68" s="68">
        <v>-0.80269999999999997</v>
      </c>
      <c r="AS68" s="68">
        <v>-5.4408000000000003</v>
      </c>
      <c r="AT68" s="68">
        <v>9.7668999999999997</v>
      </c>
      <c r="AU68" s="68">
        <v>30.8871</v>
      </c>
      <c r="AV68" s="68">
        <v>1.9717</v>
      </c>
      <c r="AW68" s="68">
        <v>-12.145</v>
      </c>
      <c r="AX68" s="68">
        <v>28.2439</v>
      </c>
      <c r="AY68" s="68">
        <v>7.6688999999999998</v>
      </c>
    </row>
    <row r="69" spans="15:51" x14ac:dyDescent="0.2">
      <c r="O69" s="62" t="s">
        <v>180</v>
      </c>
      <c r="P69" s="62" t="s">
        <v>312</v>
      </c>
      <c r="Q69" s="68">
        <v>0.73529999999999995</v>
      </c>
      <c r="R69" s="68">
        <v>220.43799999999999</v>
      </c>
      <c r="S69" s="68">
        <v>-7.2892999999999999</v>
      </c>
      <c r="T69" s="68">
        <v>-166.8305</v>
      </c>
      <c r="U69" s="68" t="s">
        <v>182</v>
      </c>
      <c r="V69" s="68">
        <v>1695</v>
      </c>
      <c r="W69" s="68">
        <v>81.615600000000001</v>
      </c>
      <c r="X69" s="68">
        <v>-5.2146999999999997</v>
      </c>
      <c r="Y69" s="68">
        <v>38.349499999999999</v>
      </c>
      <c r="Z69" s="68">
        <v>-6.5496999999999996</v>
      </c>
      <c r="AA69" s="68">
        <v>-32.790999999999997</v>
      </c>
      <c r="AB69" s="68">
        <v>-99.627600000000001</v>
      </c>
      <c r="AC69" s="68">
        <v>28150</v>
      </c>
      <c r="AD69" s="68">
        <v>-48.141599999999997</v>
      </c>
      <c r="AE69" s="68">
        <v>44.709899999999998</v>
      </c>
      <c r="AF69" s="68">
        <v>-41.981099999999998</v>
      </c>
      <c r="AG69" s="68">
        <v>37.804900000000004</v>
      </c>
      <c r="AH69" s="68">
        <v>237.75810000000001</v>
      </c>
      <c r="AI69" s="68">
        <v>14.410500000000001</v>
      </c>
      <c r="AJ69" s="68">
        <v>1.9846999999999999</v>
      </c>
      <c r="AK69" s="68">
        <v>2.1707000000000001</v>
      </c>
      <c r="AL69" s="68">
        <v>-16.2637</v>
      </c>
      <c r="AM69" s="68">
        <v>36.745399999999997</v>
      </c>
      <c r="AN69" s="68">
        <v>18.681999999999999</v>
      </c>
      <c r="AO69" s="68">
        <v>0.21560000000000001</v>
      </c>
      <c r="AP69" s="68">
        <v>0.2152</v>
      </c>
      <c r="AQ69" s="68">
        <v>3.3816000000000002</v>
      </c>
      <c r="AR69" s="68">
        <v>2.1288</v>
      </c>
      <c r="AS69" s="68">
        <v>-12.9131</v>
      </c>
      <c r="AT69" s="68">
        <v>219.3228</v>
      </c>
      <c r="AU69" s="68">
        <v>-39.524700000000003</v>
      </c>
      <c r="AV69" s="68">
        <v>0.69530000000000003</v>
      </c>
      <c r="AW69" s="68">
        <v>-16.991900000000001</v>
      </c>
      <c r="AX69" s="68">
        <v>36.744999999999997</v>
      </c>
      <c r="AY69" s="68">
        <v>10.182499999999999</v>
      </c>
    </row>
    <row r="70" spans="15:51" x14ac:dyDescent="0.2">
      <c r="O70" s="62" t="s">
        <v>184</v>
      </c>
      <c r="P70" s="62" t="s">
        <v>313</v>
      </c>
      <c r="Q70" s="68">
        <v>5.6818</v>
      </c>
      <c r="R70" s="68">
        <v>366.66669999999999</v>
      </c>
      <c r="S70" s="68">
        <v>-4.3779000000000003</v>
      </c>
      <c r="T70" s="68">
        <v>-165.06020000000001</v>
      </c>
      <c r="U70" s="68" t="s">
        <v>182</v>
      </c>
      <c r="V70" s="68">
        <v>1721.0526</v>
      </c>
      <c r="W70" s="68">
        <v>80.0578</v>
      </c>
      <c r="X70" s="68">
        <v>-5.6180000000000003</v>
      </c>
      <c r="Y70" s="68">
        <v>34.693899999999999</v>
      </c>
      <c r="Z70" s="68">
        <v>-6.0606</v>
      </c>
      <c r="AA70" s="68">
        <v>-32.526899999999998</v>
      </c>
      <c r="AB70" s="68">
        <v>-99.601600000000005</v>
      </c>
      <c r="AC70" s="68">
        <v>26600</v>
      </c>
      <c r="AD70" s="68">
        <v>-48.314599999999999</v>
      </c>
      <c r="AE70" s="68">
        <v>44.2029</v>
      </c>
      <c r="AF70" s="68">
        <v>-44.2211</v>
      </c>
      <c r="AG70" s="68">
        <v>36.936900000000001</v>
      </c>
      <c r="AH70" s="68">
        <v>231.5789</v>
      </c>
      <c r="AI70" s="68">
        <v>11.9048</v>
      </c>
      <c r="AJ70" s="68">
        <v>6.0284000000000004</v>
      </c>
      <c r="AK70" s="68">
        <v>11.7057</v>
      </c>
      <c r="AL70" s="68">
        <v>-13.473100000000001</v>
      </c>
      <c r="AM70" s="68">
        <v>40.138399999999997</v>
      </c>
      <c r="AN70" s="68">
        <v>25.925899999999999</v>
      </c>
      <c r="AO70" s="68">
        <v>5.2941000000000003</v>
      </c>
      <c r="AP70" s="68">
        <v>2.2345999999999999</v>
      </c>
      <c r="AQ70" s="68">
        <v>4.9180000000000001</v>
      </c>
      <c r="AR70" s="68">
        <v>4.1666999999999996</v>
      </c>
      <c r="AS70" s="68">
        <v>-9.5</v>
      </c>
      <c r="AT70" s="68">
        <v>230.9392</v>
      </c>
      <c r="AU70" s="68">
        <v>-35.8932</v>
      </c>
      <c r="AV70" s="68">
        <v>8.5937999999999999</v>
      </c>
      <c r="AW70" s="68">
        <v>-71.222999999999999</v>
      </c>
      <c r="AX70" s="68">
        <v>320</v>
      </c>
      <c r="AY70" s="68">
        <v>16.071400000000001</v>
      </c>
    </row>
    <row r="71" spans="15:51" x14ac:dyDescent="0.2">
      <c r="O71" s="62" t="s">
        <v>190</v>
      </c>
      <c r="P71" s="62" t="s">
        <v>314</v>
      </c>
      <c r="Q71" s="68">
        <v>-111.87050000000001</v>
      </c>
      <c r="R71" s="68" t="s">
        <v>182</v>
      </c>
      <c r="S71" s="68">
        <v>-11.2469</v>
      </c>
      <c r="T71" s="68">
        <v>-120.66119999999999</v>
      </c>
      <c r="U71" s="68" t="s">
        <v>182</v>
      </c>
      <c r="V71" s="68">
        <v>1721.0526</v>
      </c>
      <c r="W71" s="68">
        <v>80.0578</v>
      </c>
      <c r="X71" s="68">
        <v>-5.6180000000000003</v>
      </c>
      <c r="Y71" s="68">
        <v>34.693899999999999</v>
      </c>
      <c r="Z71" s="68">
        <v>-6.0606</v>
      </c>
      <c r="AA71" s="68">
        <v>-32.526899999999998</v>
      </c>
      <c r="AB71" s="68">
        <v>-90.438199999999995</v>
      </c>
      <c r="AC71" s="68">
        <v>265.19209999999998</v>
      </c>
      <c r="AD71" s="68">
        <v>57.4514</v>
      </c>
      <c r="AE71" s="68">
        <v>58.695700000000002</v>
      </c>
      <c r="AF71" s="68">
        <v>-71.232900000000001</v>
      </c>
      <c r="AG71" s="68">
        <v>196.8254</v>
      </c>
      <c r="AH71" s="68">
        <v>69.518699999999995</v>
      </c>
      <c r="AI71" s="68">
        <v>77.918000000000006</v>
      </c>
      <c r="AJ71" s="68">
        <v>-2.8369</v>
      </c>
      <c r="AK71" s="68">
        <v>33.576599999999999</v>
      </c>
      <c r="AL71" s="68">
        <v>-22.1311</v>
      </c>
      <c r="AM71" s="68">
        <v>42.1053</v>
      </c>
      <c r="AN71" s="68">
        <v>25.925899999999999</v>
      </c>
      <c r="AO71" s="68">
        <v>5.2941000000000003</v>
      </c>
      <c r="AP71" s="68">
        <v>2.2345999999999999</v>
      </c>
      <c r="AQ71" s="68">
        <v>4.9180000000000001</v>
      </c>
      <c r="AR71" s="68">
        <v>4.1666999999999996</v>
      </c>
      <c r="AS71" s="68">
        <v>-9.5</v>
      </c>
      <c r="AT71" s="68">
        <v>230.9392</v>
      </c>
      <c r="AU71" s="68">
        <v>-35.8932</v>
      </c>
      <c r="AV71" s="68">
        <v>8.5937999999999999</v>
      </c>
      <c r="AW71" s="68">
        <v>-71.222999999999999</v>
      </c>
      <c r="AX71" s="68">
        <v>320</v>
      </c>
      <c r="AY71" s="68">
        <v>16.071400000000001</v>
      </c>
    </row>
    <row r="72" spans="15:51" x14ac:dyDescent="0.2">
      <c r="O72" s="62" t="s">
        <v>194</v>
      </c>
      <c r="P72" s="62" t="s">
        <v>315</v>
      </c>
      <c r="Q72" s="68">
        <v>-111.87050000000001</v>
      </c>
      <c r="R72" s="68" t="s">
        <v>182</v>
      </c>
      <c r="S72" s="68">
        <v>-11.2469</v>
      </c>
      <c r="T72" s="68">
        <v>-120.66119999999999</v>
      </c>
      <c r="U72" s="68" t="s">
        <v>182</v>
      </c>
      <c r="V72" s="68">
        <v>1721.0526</v>
      </c>
      <c r="W72" s="68">
        <v>80.0578</v>
      </c>
      <c r="X72" s="68">
        <v>-5.6180000000000003</v>
      </c>
      <c r="Y72" s="68">
        <v>34.693899999999999</v>
      </c>
      <c r="Z72" s="68">
        <v>5.3029999999999999</v>
      </c>
      <c r="AA72" s="68">
        <v>-52.038400000000003</v>
      </c>
      <c r="AB72" s="68">
        <v>-92.5</v>
      </c>
      <c r="AC72" s="68">
        <v>486.66669999999999</v>
      </c>
      <c r="AD72" s="68">
        <v>56.818199999999997</v>
      </c>
      <c r="AE72" s="68">
        <v>44.2029</v>
      </c>
      <c r="AF72" s="68">
        <v>-42.7136</v>
      </c>
      <c r="AG72" s="68">
        <v>64.0351</v>
      </c>
      <c r="AH72" s="68">
        <v>69.518699999999995</v>
      </c>
      <c r="AI72" s="68">
        <v>77.918000000000006</v>
      </c>
      <c r="AJ72" s="68">
        <v>-4.2553000000000001</v>
      </c>
      <c r="AK72" s="68">
        <v>35.555599999999998</v>
      </c>
      <c r="AL72" s="68">
        <v>-22.1311</v>
      </c>
      <c r="AM72" s="68">
        <v>45.343400000000003</v>
      </c>
      <c r="AN72" s="68">
        <v>23.1204</v>
      </c>
      <c r="AO72" s="68">
        <v>-0.625</v>
      </c>
      <c r="AP72" s="68">
        <v>5.0118</v>
      </c>
      <c r="AQ72" s="68">
        <v>10.2385</v>
      </c>
      <c r="AR72" s="68">
        <v>-0.77359999999999995</v>
      </c>
      <c r="AS72" s="68">
        <v>-7.2454999999999998</v>
      </c>
      <c r="AT72" s="68">
        <v>24.739899999999999</v>
      </c>
      <c r="AU72" s="68">
        <v>65.458399999999997</v>
      </c>
      <c r="AV72" s="68">
        <v>7.7674000000000003</v>
      </c>
      <c r="AW72" s="68">
        <v>-70.325999999999993</v>
      </c>
      <c r="AX72" s="68">
        <v>279.14949999999999</v>
      </c>
      <c r="AY72" s="68">
        <v>21.849</v>
      </c>
    </row>
    <row r="73" spans="15:51" x14ac:dyDescent="0.2">
      <c r="O73" s="62" t="s">
        <v>200</v>
      </c>
      <c r="P73" s="62" t="s">
        <v>316</v>
      </c>
      <c r="Q73" s="68">
        <v>11.206899999999999</v>
      </c>
      <c r="R73" s="68">
        <v>-0.7752</v>
      </c>
      <c r="S73" s="68">
        <v>9.375</v>
      </c>
      <c r="T73" s="68">
        <v>2.1429</v>
      </c>
      <c r="U73" s="68">
        <v>6.2937000000000003</v>
      </c>
      <c r="V73" s="68">
        <v>3.9474</v>
      </c>
      <c r="W73" s="68">
        <v>11.3924</v>
      </c>
      <c r="X73" s="68">
        <v>4.5454999999999997</v>
      </c>
      <c r="Y73" s="68">
        <v>13.0435</v>
      </c>
      <c r="Z73" s="68">
        <v>3.8462000000000001</v>
      </c>
      <c r="AA73" s="68">
        <v>11.1111</v>
      </c>
      <c r="AB73" s="68">
        <v>0</v>
      </c>
      <c r="AC73" s="68">
        <v>0</v>
      </c>
      <c r="AD73" s="68">
        <v>-33.333300000000001</v>
      </c>
      <c r="AE73" s="68">
        <v>-50</v>
      </c>
      <c r="AF73" s="68">
        <v>0</v>
      </c>
      <c r="AG73" s="68">
        <v>0</v>
      </c>
      <c r="AH73" s="68">
        <v>7.5</v>
      </c>
      <c r="AI73" s="68">
        <v>53.488399999999999</v>
      </c>
      <c r="AJ73" s="68">
        <v>63.636400000000002</v>
      </c>
      <c r="AK73" s="68">
        <v>42.592599999999997</v>
      </c>
      <c r="AL73" s="68">
        <v>14.2857</v>
      </c>
      <c r="AM73" s="68">
        <v>12.5</v>
      </c>
      <c r="AN73" s="68">
        <v>36.363599999999998</v>
      </c>
      <c r="AO73" s="68">
        <v>20</v>
      </c>
      <c r="AP73" s="68">
        <v>9.2592999999999996</v>
      </c>
      <c r="AQ73" s="68">
        <v>6.7797000000000001</v>
      </c>
      <c r="AR73" s="68">
        <v>11.1111</v>
      </c>
      <c r="AS73" s="68">
        <v>2.8571</v>
      </c>
      <c r="AT73" s="68">
        <v>8.3332999999999995</v>
      </c>
      <c r="AU73" s="68">
        <v>12.820499999999999</v>
      </c>
      <c r="AV73" s="68">
        <v>227.27269999999999</v>
      </c>
      <c r="AW73" s="68">
        <v>-87.916700000000006</v>
      </c>
      <c r="AX73" s="68">
        <v>220.68960000000001</v>
      </c>
      <c r="AY73" s="68">
        <v>7.5269000000000004</v>
      </c>
    </row>
    <row r="74" spans="15:51" x14ac:dyDescent="0.2">
      <c r="O74" s="62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</row>
    <row r="75" spans="15:51" x14ac:dyDescent="0.2">
      <c r="O75" s="62" t="s">
        <v>206</v>
      </c>
      <c r="P75" s="62" t="s">
        <v>317</v>
      </c>
      <c r="Q75" s="68">
        <v>2.2831000000000001</v>
      </c>
      <c r="R75" s="68">
        <v>-28.013400000000001</v>
      </c>
      <c r="S75" s="68">
        <v>12.8682</v>
      </c>
      <c r="T75" s="68">
        <v>0</v>
      </c>
      <c r="U75" s="68">
        <v>-16.895600000000002</v>
      </c>
      <c r="V75" s="68">
        <v>10.4132</v>
      </c>
      <c r="W75" s="68">
        <v>5.6886000000000001</v>
      </c>
      <c r="X75" s="68">
        <v>17.847000000000001</v>
      </c>
      <c r="Y75" s="68">
        <v>7.4519000000000002</v>
      </c>
      <c r="Z75" s="68">
        <v>10.402699999999999</v>
      </c>
      <c r="AA75" s="68">
        <v>-9.0172000000000008</v>
      </c>
      <c r="AB75" s="68">
        <v>26.391999999999999</v>
      </c>
      <c r="AC75" s="68">
        <v>-25.110099999999999</v>
      </c>
      <c r="AD75" s="68">
        <v>3.2940999999999998</v>
      </c>
      <c r="AE75" s="68">
        <v>-8.9977</v>
      </c>
      <c r="AF75" s="68">
        <v>45.556899999999999</v>
      </c>
      <c r="AG75" s="68">
        <v>-0.34389999999999998</v>
      </c>
      <c r="AH75" s="68">
        <v>3.7101000000000002</v>
      </c>
      <c r="AI75" s="68">
        <v>-2.3294999999999999</v>
      </c>
      <c r="AJ75" s="68">
        <v>0</v>
      </c>
      <c r="AK75" s="68">
        <v>-5.7069999999999999</v>
      </c>
      <c r="AL75" s="68">
        <v>-10.1174</v>
      </c>
      <c r="AM75" s="68">
        <v>-0.20100000000000001</v>
      </c>
      <c r="AN75" s="68">
        <v>0.70489999999999997</v>
      </c>
      <c r="AO75" s="68">
        <v>-3.8</v>
      </c>
      <c r="AP75" s="68">
        <v>9.3554999999999993</v>
      </c>
      <c r="AQ75" s="68">
        <v>7.3193999999999999</v>
      </c>
      <c r="AR75" s="68">
        <v>-13.0204</v>
      </c>
      <c r="AS75" s="68">
        <v>-4.4806999999999997</v>
      </c>
      <c r="AT75" s="68">
        <v>3.4115000000000002</v>
      </c>
      <c r="AU75" s="68">
        <v>4.1237000000000004</v>
      </c>
      <c r="AV75" s="68">
        <v>-2.3761999999999999</v>
      </c>
      <c r="AW75" s="68">
        <v>-7.5050999999999997</v>
      </c>
      <c r="AX75" s="68">
        <v>25.877199999999998</v>
      </c>
      <c r="AY75" s="68">
        <v>14.3728</v>
      </c>
    </row>
    <row r="76" spans="15:51" x14ac:dyDescent="0.2">
      <c r="O76" s="62" t="s">
        <v>208</v>
      </c>
      <c r="P76" s="62" t="s">
        <v>318</v>
      </c>
      <c r="Q76" s="68">
        <v>-33.608800000000002</v>
      </c>
      <c r="R76" s="68">
        <v>-1.6597999999999999</v>
      </c>
      <c r="S76" s="68">
        <v>8.4388000000000005</v>
      </c>
      <c r="T76" s="68">
        <v>-19.8444</v>
      </c>
      <c r="U76" s="68">
        <v>-8.2523999999999997</v>
      </c>
      <c r="V76" s="68">
        <v>5.2910000000000004</v>
      </c>
      <c r="W76" s="68">
        <v>6.0301999999999998</v>
      </c>
      <c r="X76" s="68">
        <v>4.2653999999999996</v>
      </c>
      <c r="Y76" s="68">
        <v>4.0909000000000004</v>
      </c>
      <c r="Z76" s="68">
        <v>-0.87339999999999995</v>
      </c>
      <c r="AA76" s="68">
        <v>-0.88109999999999999</v>
      </c>
      <c r="AB76" s="68">
        <v>-2.2222</v>
      </c>
      <c r="AC76" s="68">
        <v>11.3636</v>
      </c>
      <c r="AD76" s="68">
        <v>-15.9184</v>
      </c>
      <c r="AE76" s="68">
        <v>-12.6214</v>
      </c>
      <c r="AF76" s="68">
        <v>-5.5556000000000001</v>
      </c>
      <c r="AG76" s="68">
        <v>-2.9411999999999998</v>
      </c>
      <c r="AH76" s="68">
        <v>20.606100000000001</v>
      </c>
      <c r="AI76" s="68">
        <v>2.5125999999999999</v>
      </c>
      <c r="AJ76" s="68">
        <v>17.647099999999998</v>
      </c>
      <c r="AK76" s="68">
        <v>-9.5832999999999995</v>
      </c>
      <c r="AL76" s="68">
        <v>-6.4516</v>
      </c>
      <c r="AM76" s="68">
        <v>7.3891999999999998</v>
      </c>
      <c r="AN76" s="68">
        <v>10.091699999999999</v>
      </c>
      <c r="AO76" s="68">
        <v>14.166700000000001</v>
      </c>
      <c r="AP76" s="68">
        <v>-8.0291999999999994</v>
      </c>
      <c r="AQ76" s="68">
        <v>8.3332999999999995</v>
      </c>
      <c r="AR76" s="68">
        <v>28.205100000000002</v>
      </c>
      <c r="AS76" s="68">
        <v>16.285699999999999</v>
      </c>
      <c r="AT76" s="68">
        <v>-8.5995000000000008</v>
      </c>
      <c r="AU76" s="68">
        <v>-29.301100000000002</v>
      </c>
      <c r="AV76" s="68">
        <v>-0.76049999999999995</v>
      </c>
      <c r="AW76" s="68">
        <v>15.7088</v>
      </c>
      <c r="AX76" s="68">
        <v>12.2517</v>
      </c>
      <c r="AY76" s="68">
        <v>0.59</v>
      </c>
    </row>
    <row r="77" spans="15:51" x14ac:dyDescent="0.2">
      <c r="O77" s="62" t="s">
        <v>213</v>
      </c>
      <c r="P77" s="62" t="s">
        <v>319</v>
      </c>
      <c r="Q77" s="68">
        <v>-5.2252999999999998</v>
      </c>
      <c r="R77" s="68">
        <v>0.218</v>
      </c>
      <c r="S77" s="68">
        <v>3.5122</v>
      </c>
      <c r="T77" s="68">
        <v>1.8616999999999999</v>
      </c>
      <c r="U77" s="68">
        <v>4.5102000000000002</v>
      </c>
      <c r="V77" s="68">
        <v>1.4291</v>
      </c>
      <c r="W77" s="68">
        <v>2.3730000000000002</v>
      </c>
      <c r="X77" s="68">
        <v>2.2907999999999999</v>
      </c>
      <c r="Y77" s="68">
        <v>5.3907999999999996</v>
      </c>
      <c r="Z77" s="68">
        <v>4.1996000000000002</v>
      </c>
      <c r="AA77" s="68">
        <v>1.9265000000000001</v>
      </c>
      <c r="AB77" s="68">
        <v>-3.0684</v>
      </c>
      <c r="AC77" s="68">
        <v>3.1410999999999998</v>
      </c>
      <c r="AD77" s="68">
        <v>2.6103000000000001</v>
      </c>
      <c r="AE77" s="68">
        <v>2.4205999999999999</v>
      </c>
      <c r="AF77" s="68">
        <v>3.3418999999999999</v>
      </c>
      <c r="AG77" s="68">
        <v>45.265799999999999</v>
      </c>
      <c r="AH77" s="68">
        <v>1.093</v>
      </c>
      <c r="AI77" s="68">
        <v>3.7692999999999999</v>
      </c>
      <c r="AJ77" s="68">
        <v>4.0960000000000001</v>
      </c>
      <c r="AK77" s="68">
        <v>4.1689999999999996</v>
      </c>
      <c r="AL77" s="68">
        <v>1.6573</v>
      </c>
      <c r="AM77" s="68">
        <v>3.1867999999999999</v>
      </c>
      <c r="AN77" s="68">
        <v>4.9371999999999998</v>
      </c>
      <c r="AO77" s="68">
        <v>4.3085000000000004</v>
      </c>
      <c r="AP77" s="68">
        <v>4.7638999999999996</v>
      </c>
      <c r="AQ77" s="68">
        <v>4.7378</v>
      </c>
      <c r="AR77" s="68">
        <v>5.5625999999999998</v>
      </c>
      <c r="AS77" s="68">
        <v>3.2345999999999999</v>
      </c>
      <c r="AT77" s="68">
        <v>1.9711000000000001</v>
      </c>
      <c r="AU77" s="68">
        <v>0.73670000000000002</v>
      </c>
      <c r="AV77" s="68">
        <v>2.1939000000000002</v>
      </c>
      <c r="AW77" s="68">
        <v>0.66059999999999997</v>
      </c>
      <c r="AX77" s="68">
        <v>1.8228</v>
      </c>
      <c r="AY77" s="68">
        <v>3.6728999999999998</v>
      </c>
    </row>
    <row r="78" spans="15:51" x14ac:dyDescent="0.2">
      <c r="O78" s="62" t="s">
        <v>216</v>
      </c>
      <c r="P78" s="62" t="s">
        <v>320</v>
      </c>
      <c r="Q78" s="68">
        <v>-1.5494000000000001</v>
      </c>
      <c r="R78" s="68">
        <v>-5.5888</v>
      </c>
      <c r="S78" s="68">
        <v>4.1144999999999996</v>
      </c>
      <c r="T78" s="68">
        <v>-4.6899999999999997E-2</v>
      </c>
      <c r="U78" s="68">
        <v>1.9612000000000001</v>
      </c>
      <c r="V78" s="68">
        <v>2.8431000000000002</v>
      </c>
      <c r="W78" s="68">
        <v>2.2652999999999999</v>
      </c>
      <c r="X78" s="68">
        <v>4.0659000000000001</v>
      </c>
      <c r="Y78" s="68">
        <v>18.785900000000002</v>
      </c>
      <c r="Z78" s="68">
        <v>17.636299999999999</v>
      </c>
      <c r="AA78" s="68">
        <v>2.3551000000000002</v>
      </c>
      <c r="AB78" s="68">
        <v>1.4343999999999999</v>
      </c>
      <c r="AC78" s="68">
        <v>-1.1052</v>
      </c>
      <c r="AD78" s="68">
        <v>1.5128999999999999</v>
      </c>
      <c r="AE78" s="68">
        <v>0.72109999999999996</v>
      </c>
      <c r="AF78" s="68">
        <v>3.8614000000000002</v>
      </c>
      <c r="AG78" s="68">
        <v>13.074400000000001</v>
      </c>
      <c r="AH78" s="68">
        <v>-1.516</v>
      </c>
      <c r="AI78" s="68">
        <v>3.7017000000000002</v>
      </c>
      <c r="AJ78" s="68">
        <v>1.6116999999999999</v>
      </c>
      <c r="AK78" s="68">
        <v>2.9529000000000001</v>
      </c>
      <c r="AL78" s="68">
        <v>2.2786</v>
      </c>
      <c r="AM78" s="68">
        <v>4.6639999999999997</v>
      </c>
      <c r="AN78" s="68">
        <v>4.2748999999999997</v>
      </c>
      <c r="AO78" s="68">
        <v>4.1814</v>
      </c>
      <c r="AP78" s="68">
        <v>3.9613</v>
      </c>
      <c r="AQ78" s="68">
        <v>3.9990999999999999</v>
      </c>
      <c r="AR78" s="68">
        <v>5.1191000000000004</v>
      </c>
      <c r="AS78" s="68">
        <v>1.9255</v>
      </c>
      <c r="AT78" s="68">
        <v>0.91769999999999996</v>
      </c>
      <c r="AU78" s="68">
        <v>2.7700999999999998</v>
      </c>
      <c r="AV78" s="68">
        <v>4.1601999999999997</v>
      </c>
      <c r="AW78" s="68">
        <v>4.0149999999999997</v>
      </c>
      <c r="AX78" s="68">
        <v>1.8546</v>
      </c>
      <c r="AY78" s="68">
        <v>3.4073000000000002</v>
      </c>
    </row>
    <row r="79" spans="15:51" x14ac:dyDescent="0.2">
      <c r="O79" s="62" t="s">
        <v>222</v>
      </c>
      <c r="P79" s="62" t="s">
        <v>321</v>
      </c>
      <c r="Q79" s="68">
        <v>-30.416699999999999</v>
      </c>
      <c r="R79" s="68">
        <v>-92.814400000000006</v>
      </c>
      <c r="S79" s="68">
        <v>-295.83330000000001</v>
      </c>
      <c r="T79" s="68" t="s">
        <v>182</v>
      </c>
      <c r="U79" s="68">
        <v>-1437.5</v>
      </c>
      <c r="V79" s="68" t="s">
        <v>182</v>
      </c>
      <c r="W79" s="68" t="s">
        <v>182</v>
      </c>
      <c r="X79" s="68" t="s">
        <v>182</v>
      </c>
      <c r="Y79" s="68" t="s">
        <v>182</v>
      </c>
      <c r="Z79" s="68" t="s">
        <v>182</v>
      </c>
      <c r="AA79" s="68">
        <v>-365.71429999999998</v>
      </c>
      <c r="AB79" s="68" t="s">
        <v>182</v>
      </c>
      <c r="AC79" s="68">
        <v>-89.873400000000004</v>
      </c>
      <c r="AD79" s="68">
        <v>637.5</v>
      </c>
      <c r="AE79" s="68">
        <v>50</v>
      </c>
      <c r="AF79" s="68">
        <v>185.87569999999999</v>
      </c>
      <c r="AG79" s="68">
        <v>-10.2767</v>
      </c>
      <c r="AH79" s="68">
        <v>-1.5419</v>
      </c>
      <c r="AI79" s="68">
        <v>-9.6196999999999999</v>
      </c>
      <c r="AJ79" s="68">
        <v>8.4158000000000008</v>
      </c>
      <c r="AK79" s="68">
        <v>-19.863</v>
      </c>
      <c r="AL79" s="68">
        <v>-34.188000000000002</v>
      </c>
      <c r="AM79" s="68">
        <v>-28.571400000000001</v>
      </c>
      <c r="AN79" s="68">
        <v>34.545499999999997</v>
      </c>
      <c r="AO79" s="68">
        <v>0</v>
      </c>
      <c r="AP79" s="68">
        <v>56.3063</v>
      </c>
      <c r="AQ79" s="68">
        <v>60.518700000000003</v>
      </c>
      <c r="AR79" s="68">
        <v>1.9749000000000001</v>
      </c>
      <c r="AS79" s="68">
        <v>-5.1055999999999999</v>
      </c>
      <c r="AT79" s="68">
        <v>-8.1632999999999996</v>
      </c>
      <c r="AU79" s="68">
        <v>-34.545499999999997</v>
      </c>
      <c r="AV79" s="68">
        <v>-37.036999999999999</v>
      </c>
      <c r="AW79" s="68">
        <v>98.529399999999995</v>
      </c>
      <c r="AX79" s="68">
        <v>29.3827</v>
      </c>
      <c r="AY79" s="68">
        <v>0</v>
      </c>
    </row>
    <row r="80" spans="15:51" x14ac:dyDescent="0.2">
      <c r="O80" s="62" t="s">
        <v>226</v>
      </c>
      <c r="P80" s="62" t="s">
        <v>322</v>
      </c>
      <c r="Q80" s="68">
        <v>-227.23580000000001</v>
      </c>
      <c r="R80" s="68" t="s">
        <v>182</v>
      </c>
      <c r="S80" s="68" t="s">
        <v>182</v>
      </c>
      <c r="T80" s="68" t="s">
        <v>182</v>
      </c>
      <c r="U80" s="68" t="s">
        <v>182</v>
      </c>
      <c r="V80" s="68" t="s">
        <v>182</v>
      </c>
      <c r="W80" s="68" t="s">
        <v>182</v>
      </c>
      <c r="X80" s="68" t="s">
        <v>182</v>
      </c>
      <c r="Y80" s="68" t="s">
        <v>182</v>
      </c>
      <c r="Z80" s="68" t="s">
        <v>182</v>
      </c>
      <c r="AA80" s="68" t="s">
        <v>182</v>
      </c>
      <c r="AB80" s="68" t="s">
        <v>182</v>
      </c>
      <c r="AC80" s="68" t="s">
        <v>182</v>
      </c>
      <c r="AD80" s="68" t="s">
        <v>182</v>
      </c>
      <c r="AE80" s="68" t="s">
        <v>182</v>
      </c>
      <c r="AF80" s="68" t="s">
        <v>182</v>
      </c>
      <c r="AG80" s="68" t="s">
        <v>182</v>
      </c>
      <c r="AH80" s="68" t="s">
        <v>182</v>
      </c>
      <c r="AI80" s="68" t="s">
        <v>182</v>
      </c>
      <c r="AJ80" s="68">
        <v>-220</v>
      </c>
      <c r="AK80" s="68" t="s">
        <v>182</v>
      </c>
      <c r="AL80" s="68" t="s">
        <v>182</v>
      </c>
      <c r="AM80" s="68">
        <v>-54.893599999999999</v>
      </c>
      <c r="AN80" s="68">
        <v>-22.012599999999999</v>
      </c>
      <c r="AO80" s="68">
        <v>-29.838699999999999</v>
      </c>
      <c r="AP80" s="68">
        <v>2.2989000000000002</v>
      </c>
      <c r="AQ80" s="68">
        <v>161.23599999999999</v>
      </c>
      <c r="AR80" s="68">
        <v>90.967699999999994</v>
      </c>
      <c r="AS80" s="68">
        <v>-49.662199999999999</v>
      </c>
      <c r="AT80" s="68">
        <v>-95.302000000000007</v>
      </c>
      <c r="AU80" s="68">
        <v>2995.2381</v>
      </c>
      <c r="AV80" s="68">
        <v>73.384600000000006</v>
      </c>
      <c r="AW80" s="68">
        <v>114.9068</v>
      </c>
      <c r="AX80" s="68">
        <v>-32.287399999999998</v>
      </c>
      <c r="AY80" s="68">
        <v>-15.9756</v>
      </c>
    </row>
    <row r="81" spans="15:51" x14ac:dyDescent="0.2">
      <c r="O81" s="62" t="s">
        <v>230</v>
      </c>
      <c r="P81" s="62" t="s">
        <v>323</v>
      </c>
      <c r="Q81" s="68">
        <v>-3.3611</v>
      </c>
      <c r="R81" s="68">
        <v>-1.6138999999999999</v>
      </c>
      <c r="S81" s="68">
        <v>-3.1263999999999998</v>
      </c>
      <c r="T81" s="68">
        <v>-2.9161999999999999</v>
      </c>
      <c r="U81" s="68">
        <v>-4.6839000000000004</v>
      </c>
      <c r="V81" s="68">
        <v>-1.1240000000000001</v>
      </c>
      <c r="W81" s="68">
        <v>-9.7379999999999995</v>
      </c>
      <c r="X81" s="68">
        <v>10.6403</v>
      </c>
      <c r="Y81" s="68">
        <v>0.66810000000000003</v>
      </c>
      <c r="Z81" s="68">
        <v>-0.8518</v>
      </c>
      <c r="AA81" s="68">
        <v>-1.6286</v>
      </c>
      <c r="AB81" s="68" t="s">
        <v>182</v>
      </c>
      <c r="AC81" s="68" t="s">
        <v>182</v>
      </c>
      <c r="AD81" s="68">
        <v>-3.8717000000000001</v>
      </c>
      <c r="AE81" s="68" t="s">
        <v>182</v>
      </c>
      <c r="AF81" s="68" t="s">
        <v>182</v>
      </c>
      <c r="AG81" s="68">
        <v>-4.4488000000000003</v>
      </c>
      <c r="AH81" s="68">
        <v>-2.3628</v>
      </c>
      <c r="AI81" s="68">
        <v>2.8571</v>
      </c>
      <c r="AJ81" s="68">
        <v>-2.7778</v>
      </c>
      <c r="AK81" s="68">
        <v>-2.8571</v>
      </c>
      <c r="AL81" s="68">
        <v>-11.5059</v>
      </c>
      <c r="AM81" s="68">
        <v>-0.29249999999999998</v>
      </c>
      <c r="AN81" s="68">
        <v>3.3332999999999999</v>
      </c>
      <c r="AO81" s="68">
        <v>3.2258</v>
      </c>
      <c r="AP81" s="68">
        <v>-3.125</v>
      </c>
      <c r="AQ81" s="68">
        <v>3.2258</v>
      </c>
      <c r="AR81" s="68">
        <v>-9.375</v>
      </c>
      <c r="AS81" s="68">
        <v>-6.8966000000000003</v>
      </c>
      <c r="AT81" s="68">
        <v>-11.1111</v>
      </c>
      <c r="AU81" s="68">
        <v>-6.25</v>
      </c>
      <c r="AV81" s="68">
        <v>-6.6666999999999996</v>
      </c>
      <c r="AW81" s="68">
        <v>-8.1809999999999992</v>
      </c>
      <c r="AX81" s="68">
        <v>8.4898000000000007</v>
      </c>
      <c r="AY81" s="68">
        <v>7.7584999999999997</v>
      </c>
    </row>
    <row r="82" spans="15:51" x14ac:dyDescent="0.2">
      <c r="O82" s="62" t="s">
        <v>236</v>
      </c>
      <c r="P82" s="62" t="s">
        <v>324</v>
      </c>
      <c r="Q82" s="68">
        <v>5.7971000000000004</v>
      </c>
      <c r="R82" s="68">
        <v>6.8493000000000004</v>
      </c>
      <c r="S82" s="68">
        <v>20.279699999999998</v>
      </c>
      <c r="T82" s="68">
        <v>-10.2713</v>
      </c>
      <c r="U82" s="68">
        <v>-2.6998000000000002</v>
      </c>
      <c r="V82" s="68">
        <v>1.7758</v>
      </c>
      <c r="W82" s="68">
        <v>0.98150000000000004</v>
      </c>
      <c r="X82" s="68">
        <v>21.058299999999999</v>
      </c>
      <c r="Y82" s="68">
        <v>6.0659999999999998</v>
      </c>
      <c r="Z82" s="68">
        <v>-0.84099999999999997</v>
      </c>
      <c r="AA82" s="68">
        <v>3.1383000000000001</v>
      </c>
      <c r="AB82" s="68">
        <v>-1.5625</v>
      </c>
      <c r="AC82" s="68">
        <v>-9.8580000000000005</v>
      </c>
      <c r="AD82" s="68">
        <v>-10.4727</v>
      </c>
      <c r="AE82" s="68">
        <v>-16.9772</v>
      </c>
      <c r="AF82" s="68">
        <v>3.1172</v>
      </c>
      <c r="AG82" s="68">
        <v>5.1994999999999996</v>
      </c>
      <c r="AH82" s="68">
        <v>9.6552000000000007</v>
      </c>
      <c r="AI82" s="68">
        <v>2.0964</v>
      </c>
      <c r="AJ82" s="68">
        <v>0.20530000000000001</v>
      </c>
      <c r="AK82" s="68">
        <v>-0.30740000000000001</v>
      </c>
      <c r="AL82" s="68">
        <v>-0.61660000000000004</v>
      </c>
      <c r="AM82" s="68">
        <v>8.1696000000000009</v>
      </c>
      <c r="AN82" s="68">
        <v>-2.6768999999999998</v>
      </c>
      <c r="AO82" s="68">
        <v>-0.39290000000000003</v>
      </c>
      <c r="AP82" s="68">
        <v>-5.6212999999999997</v>
      </c>
      <c r="AQ82" s="68">
        <v>-11.703200000000001</v>
      </c>
      <c r="AR82" s="68">
        <v>-9.5858000000000008</v>
      </c>
      <c r="AS82" s="68">
        <v>5.4973999999999998</v>
      </c>
      <c r="AT82" s="68">
        <v>5.0868000000000002</v>
      </c>
      <c r="AU82" s="68">
        <v>12.0425</v>
      </c>
      <c r="AV82" s="68">
        <v>9.9052000000000007</v>
      </c>
      <c r="AW82" s="68">
        <v>-22.435300000000002</v>
      </c>
      <c r="AX82" s="68">
        <v>19.035799999999998</v>
      </c>
      <c r="AY82" s="68">
        <v>17.3416</v>
      </c>
    </row>
    <row r="83" spans="15:51" x14ac:dyDescent="0.2">
      <c r="O83" s="62" t="s">
        <v>240</v>
      </c>
      <c r="P83" s="62" t="s">
        <v>325</v>
      </c>
      <c r="Q83" s="68">
        <v>270.27859999999998</v>
      </c>
      <c r="R83" s="68">
        <v>-61.204000000000001</v>
      </c>
      <c r="S83" s="68">
        <v>-23.060300000000002</v>
      </c>
      <c r="T83" s="68">
        <v>11.4846</v>
      </c>
      <c r="U83" s="68">
        <v>-46.231200000000001</v>
      </c>
      <c r="V83" s="68">
        <v>44.8598</v>
      </c>
      <c r="W83" s="68">
        <v>65.483900000000006</v>
      </c>
      <c r="X83" s="68">
        <v>23.5867</v>
      </c>
      <c r="Y83" s="68">
        <v>-31.2303</v>
      </c>
      <c r="Z83" s="68">
        <v>-18.577999999999999</v>
      </c>
      <c r="AA83" s="68">
        <v>-19.154900000000001</v>
      </c>
      <c r="AB83" s="68">
        <v>221.6028</v>
      </c>
      <c r="AC83" s="68">
        <v>-0.2167</v>
      </c>
      <c r="AD83" s="68">
        <v>37.784999999999997</v>
      </c>
      <c r="AE83" s="68">
        <v>-57.919600000000003</v>
      </c>
      <c r="AF83" s="68">
        <v>-19.850200000000001</v>
      </c>
      <c r="AG83" s="68">
        <v>153.27099999999999</v>
      </c>
      <c r="AH83" s="68">
        <v>-13.5609</v>
      </c>
      <c r="AI83" s="68">
        <v>-35.965800000000002</v>
      </c>
      <c r="AJ83" s="68">
        <v>31.166699999999999</v>
      </c>
      <c r="AK83" s="68">
        <v>-59.339300000000001</v>
      </c>
      <c r="AL83" s="68">
        <v>-64.6875</v>
      </c>
      <c r="AM83" s="68">
        <v>442.47789999999998</v>
      </c>
      <c r="AN83" s="68">
        <v>-17.292000000000002</v>
      </c>
      <c r="AO83" s="68">
        <v>53.846200000000003</v>
      </c>
      <c r="AP83" s="68">
        <v>-31.666699999999999</v>
      </c>
      <c r="AQ83" s="68">
        <v>-57.223300000000002</v>
      </c>
      <c r="AR83" s="68">
        <v>-91.228099999999998</v>
      </c>
      <c r="AS83" s="68">
        <v>1555</v>
      </c>
      <c r="AT83" s="68">
        <v>-94.259799999999998</v>
      </c>
      <c r="AU83" s="68">
        <v>-5.2632000000000003</v>
      </c>
      <c r="AV83" s="68">
        <v>1577.7778000000001</v>
      </c>
      <c r="AW83" s="68">
        <v>47.682099999999998</v>
      </c>
      <c r="AX83" s="68">
        <v>-45.067300000000003</v>
      </c>
      <c r="AY83" s="68">
        <v>-10.2041</v>
      </c>
    </row>
    <row r="84" spans="15:51" x14ac:dyDescent="0.2">
      <c r="O84" s="62" t="s">
        <v>245</v>
      </c>
      <c r="P84" s="62" t="s">
        <v>326</v>
      </c>
      <c r="Q84" s="68">
        <v>21.319900000000001</v>
      </c>
      <c r="R84" s="68">
        <v>-24.527000000000001</v>
      </c>
      <c r="S84" s="68">
        <v>5.9855999999999998</v>
      </c>
      <c r="T84" s="68">
        <v>-5.3223000000000003</v>
      </c>
      <c r="U84" s="68">
        <v>8.0261999999999993</v>
      </c>
      <c r="V84" s="68">
        <v>-0.46260000000000001</v>
      </c>
      <c r="W84" s="68">
        <v>-9.0618999999999996</v>
      </c>
      <c r="X84" s="68">
        <v>-8.7830999999999992</v>
      </c>
      <c r="Y84" s="68">
        <v>66.911799999999999</v>
      </c>
      <c r="Z84" s="68">
        <v>42.039000000000001</v>
      </c>
      <c r="AA84" s="68">
        <v>-0.76800000000000002</v>
      </c>
      <c r="AB84" s="68">
        <v>5.9532999999999996</v>
      </c>
      <c r="AC84" s="68">
        <v>-5.4501999999999997</v>
      </c>
      <c r="AD84" s="68">
        <v>5.601</v>
      </c>
      <c r="AE84" s="68">
        <v>-0.77380000000000004</v>
      </c>
      <c r="AF84" s="68">
        <v>3.7006000000000001</v>
      </c>
      <c r="AG84" s="68">
        <v>0.24610000000000001</v>
      </c>
      <c r="AH84" s="68">
        <v>-17.7578</v>
      </c>
      <c r="AI84" s="68">
        <v>-1.1276999999999999</v>
      </c>
      <c r="AJ84" s="68">
        <v>21.7209</v>
      </c>
      <c r="AK84" s="68">
        <v>7.9234</v>
      </c>
      <c r="AL84" s="68">
        <v>2.2471999999999999</v>
      </c>
      <c r="AM84" s="68">
        <v>8.1918000000000006</v>
      </c>
      <c r="AN84" s="68">
        <v>6.6597</v>
      </c>
      <c r="AO84" s="68">
        <v>6.3954000000000004</v>
      </c>
      <c r="AP84" s="68">
        <v>-2.8172999999999999</v>
      </c>
      <c r="AQ84" s="68">
        <v>1.9571000000000001</v>
      </c>
      <c r="AR84" s="68">
        <v>8.14</v>
      </c>
      <c r="AS84" s="68">
        <v>7.1951000000000001</v>
      </c>
      <c r="AT84" s="68">
        <v>4.5692000000000004</v>
      </c>
      <c r="AU84" s="68">
        <v>24.963999999999999</v>
      </c>
      <c r="AV84" s="68">
        <v>13.763</v>
      </c>
      <c r="AW84" s="68">
        <v>2.4839000000000002</v>
      </c>
      <c r="AX84" s="68">
        <v>-1.7262</v>
      </c>
      <c r="AY84" s="68">
        <v>10.030799999999999</v>
      </c>
    </row>
    <row r="85" spans="15:51" x14ac:dyDescent="0.2">
      <c r="O85" s="62" t="s">
        <v>250</v>
      </c>
      <c r="P85" s="62" t="s">
        <v>327</v>
      </c>
      <c r="Q85" s="68">
        <v>-32.356299999999997</v>
      </c>
      <c r="R85" s="68">
        <v>0.37059999999999998</v>
      </c>
      <c r="S85" s="68">
        <v>0.56799999999999995</v>
      </c>
      <c r="T85" s="68">
        <v>-10.138400000000001</v>
      </c>
      <c r="U85" s="68">
        <v>-6.5053000000000001</v>
      </c>
      <c r="V85" s="68">
        <v>6.8907999999999996</v>
      </c>
      <c r="W85" s="68">
        <v>17.327000000000002</v>
      </c>
      <c r="X85" s="68">
        <v>13.696099999999999</v>
      </c>
      <c r="Y85" s="68">
        <v>17.751100000000001</v>
      </c>
      <c r="Z85" s="68">
        <v>15.4354</v>
      </c>
      <c r="AA85" s="68">
        <v>1.9771000000000001</v>
      </c>
      <c r="AB85" s="68">
        <v>-2.1088</v>
      </c>
      <c r="AC85" s="68">
        <v>4.5343999999999998</v>
      </c>
      <c r="AD85" s="68">
        <v>1.7118</v>
      </c>
      <c r="AE85" s="68">
        <v>1.9771000000000001</v>
      </c>
      <c r="AF85" s="68">
        <v>3.3969</v>
      </c>
      <c r="AG85" s="68">
        <v>5.5477999999999996</v>
      </c>
      <c r="AH85" s="68">
        <v>16.781700000000001</v>
      </c>
      <c r="AI85" s="68">
        <v>12.4214</v>
      </c>
      <c r="AJ85" s="68">
        <v>-2.8740999999999999</v>
      </c>
      <c r="AK85" s="68">
        <v>-7.3345000000000002</v>
      </c>
      <c r="AL85" s="68">
        <v>8.9463000000000008</v>
      </c>
      <c r="AM85" s="68">
        <v>-0.77549999999999997</v>
      </c>
      <c r="AN85" s="68">
        <v>-2.6667000000000001</v>
      </c>
      <c r="AO85" s="68">
        <v>6.3060999999999998</v>
      </c>
      <c r="AP85" s="68">
        <v>16.685199999999998</v>
      </c>
      <c r="AQ85" s="68">
        <v>6.3975999999999997</v>
      </c>
      <c r="AR85" s="68">
        <v>4.4023000000000003</v>
      </c>
      <c r="AS85" s="68">
        <v>0.2228</v>
      </c>
      <c r="AT85" s="68">
        <v>25.885100000000001</v>
      </c>
      <c r="AU85" s="68">
        <v>-14.543799999999999</v>
      </c>
      <c r="AV85" s="68">
        <v>-5.6994999999999996</v>
      </c>
      <c r="AW85" s="68">
        <v>10.511699999999999</v>
      </c>
      <c r="AX85" s="68">
        <v>2.9748000000000001</v>
      </c>
      <c r="AY85" s="68">
        <v>-6.4814999999999996</v>
      </c>
    </row>
    <row r="86" spans="15:51" x14ac:dyDescent="0.2">
      <c r="O86" s="62" t="s">
        <v>254</v>
      </c>
      <c r="P86" s="62" t="s">
        <v>328</v>
      </c>
      <c r="Q86" s="68">
        <v>-10.783099999999999</v>
      </c>
      <c r="R86" s="68">
        <v>-13.236800000000001</v>
      </c>
      <c r="S86" s="68">
        <v>3.1436000000000002</v>
      </c>
      <c r="T86" s="68">
        <v>-7.7855999999999996</v>
      </c>
      <c r="U86" s="68">
        <v>0.78320000000000001</v>
      </c>
      <c r="V86" s="68">
        <v>2.9375</v>
      </c>
      <c r="W86" s="68">
        <v>3.6086</v>
      </c>
      <c r="X86" s="68">
        <v>3.4392</v>
      </c>
      <c r="Y86" s="68">
        <v>37.531700000000001</v>
      </c>
      <c r="Z86" s="68">
        <v>28.426600000000001</v>
      </c>
      <c r="AA86" s="68">
        <v>0.4945</v>
      </c>
      <c r="AB86" s="68">
        <v>2.1907000000000001</v>
      </c>
      <c r="AC86" s="68">
        <v>-0.98640000000000005</v>
      </c>
      <c r="AD86" s="68">
        <v>3.7652999999999999</v>
      </c>
      <c r="AE86" s="68">
        <v>0.49890000000000001</v>
      </c>
      <c r="AF86" s="68">
        <v>3.5579999999999998</v>
      </c>
      <c r="AG86" s="68">
        <v>2.7311999999999999</v>
      </c>
      <c r="AH86" s="68">
        <v>-1.1242000000000001</v>
      </c>
      <c r="AI86" s="68">
        <v>6.5789</v>
      </c>
      <c r="AJ86" s="68">
        <v>6.9645999999999999</v>
      </c>
      <c r="AK86" s="68">
        <v>-0.38890000000000002</v>
      </c>
      <c r="AL86" s="68">
        <v>5.6422999999999996</v>
      </c>
      <c r="AM86" s="68">
        <v>3.5049999999999999</v>
      </c>
      <c r="AN86" s="68">
        <v>1.9869000000000001</v>
      </c>
      <c r="AO86" s="68">
        <v>6.3526999999999996</v>
      </c>
      <c r="AP86" s="68">
        <v>6.5042</v>
      </c>
      <c r="AQ86" s="68">
        <v>4.2824</v>
      </c>
      <c r="AR86" s="68">
        <v>6.1429999999999998</v>
      </c>
      <c r="AS86" s="68">
        <v>3.5310999999999999</v>
      </c>
      <c r="AT86" s="68">
        <v>15.4131</v>
      </c>
      <c r="AU86" s="68">
        <v>3.0417999999999998</v>
      </c>
      <c r="AV86" s="68">
        <v>4.8067000000000002</v>
      </c>
      <c r="AW86" s="68">
        <v>5.8078000000000003</v>
      </c>
      <c r="AX86" s="68">
        <v>0.30680000000000002</v>
      </c>
      <c r="AY86" s="68">
        <v>2.6999</v>
      </c>
    </row>
    <row r="87" spans="15:51" x14ac:dyDescent="0.2">
      <c r="O87" s="62" t="s">
        <v>258</v>
      </c>
      <c r="P87" s="62" t="s">
        <v>329</v>
      </c>
      <c r="Q87" s="68">
        <v>-2.7610999999999999</v>
      </c>
      <c r="R87" s="68">
        <v>9.3673999999999999</v>
      </c>
      <c r="S87" s="68">
        <v>8.1204999999999998</v>
      </c>
      <c r="T87" s="68">
        <v>-13.507199999999999</v>
      </c>
      <c r="U87" s="68">
        <v>-7.4973999999999998</v>
      </c>
      <c r="V87" s="68">
        <v>6.1532</v>
      </c>
      <c r="W87" s="68">
        <v>16.736599999999999</v>
      </c>
      <c r="X87" s="68">
        <v>13.128399999999999</v>
      </c>
      <c r="Y87" s="68">
        <v>14.2818</v>
      </c>
      <c r="Z87" s="68">
        <v>14.681900000000001</v>
      </c>
      <c r="AA87" s="68">
        <v>2.5365000000000002</v>
      </c>
      <c r="AB87" s="68">
        <v>-2.7025999999999999</v>
      </c>
      <c r="AC87" s="68">
        <v>7.3381999999999996</v>
      </c>
      <c r="AD87" s="68">
        <v>1.2596000000000001</v>
      </c>
      <c r="AE87" s="68">
        <v>1.5025999999999999</v>
      </c>
      <c r="AF87" s="68">
        <v>3.2122999999999999</v>
      </c>
      <c r="AG87" s="68">
        <v>5.3235000000000001</v>
      </c>
      <c r="AH87" s="68">
        <v>15.3506</v>
      </c>
      <c r="AI87" s="68">
        <v>12.072699999999999</v>
      </c>
      <c r="AJ87" s="68">
        <v>4.2461000000000002</v>
      </c>
      <c r="AK87" s="68">
        <v>-3.2204999999999999</v>
      </c>
      <c r="AL87" s="68">
        <v>8.0876000000000001</v>
      </c>
      <c r="AM87" s="68">
        <v>5.3910999999999998</v>
      </c>
      <c r="AN87" s="68">
        <v>2.9855</v>
      </c>
      <c r="AO87" s="68">
        <v>9.2906999999999993</v>
      </c>
      <c r="AP87" s="68">
        <v>17.9772</v>
      </c>
      <c r="AQ87" s="68">
        <v>8.2344000000000008</v>
      </c>
      <c r="AR87" s="68">
        <v>7.3053999999999997</v>
      </c>
      <c r="AS87" s="68">
        <v>4.2633000000000001</v>
      </c>
      <c r="AT87" s="68">
        <v>31.333100000000002</v>
      </c>
      <c r="AU87" s="68">
        <v>-7.0827</v>
      </c>
      <c r="AV87" s="68">
        <v>-0.24</v>
      </c>
      <c r="AW87" s="68">
        <v>-62.6126</v>
      </c>
      <c r="AX87" s="68">
        <v>220.9453</v>
      </c>
      <c r="AY87" s="68">
        <v>-0.35780000000000001</v>
      </c>
    </row>
    <row r="88" spans="15:51" x14ac:dyDescent="0.2">
      <c r="O88" s="62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</row>
    <row r="89" spans="15:51" x14ac:dyDescent="0.2">
      <c r="O89" s="62" t="s">
        <v>262</v>
      </c>
      <c r="P89" s="62" t="s">
        <v>330</v>
      </c>
      <c r="Q89" s="68">
        <v>-32.919800000000002</v>
      </c>
      <c r="R89" s="68">
        <v>24.1677</v>
      </c>
      <c r="S89" s="68">
        <v>-11.718</v>
      </c>
      <c r="T89" s="68">
        <v>-2.5872000000000002</v>
      </c>
      <c r="U89" s="68">
        <v>8.4296000000000006</v>
      </c>
      <c r="V89" s="68">
        <v>2.4493999999999998</v>
      </c>
      <c r="W89" s="68">
        <v>37.837800000000001</v>
      </c>
      <c r="X89" s="68">
        <v>18.175000000000001</v>
      </c>
      <c r="Y89" s="68">
        <v>-8.1046999999999993</v>
      </c>
      <c r="Z89" s="68">
        <v>8.1943999999999999</v>
      </c>
      <c r="AA89" s="68">
        <v>-35.815100000000001</v>
      </c>
      <c r="AB89" s="68">
        <v>7.1</v>
      </c>
      <c r="AC89" s="68">
        <v>-33.706800000000001</v>
      </c>
      <c r="AD89" s="68">
        <v>16.478899999999999</v>
      </c>
      <c r="AE89" s="68">
        <v>36.275700000000001</v>
      </c>
      <c r="AF89" s="68">
        <v>-28.6602</v>
      </c>
      <c r="AG89" s="68">
        <v>79.850700000000003</v>
      </c>
      <c r="AH89" s="68">
        <v>-23.236499999999999</v>
      </c>
      <c r="AI89" s="68">
        <v>85.4054</v>
      </c>
      <c r="AJ89" s="68">
        <v>6.1223999999999998</v>
      </c>
      <c r="AK89" s="68">
        <v>33.424900000000001</v>
      </c>
      <c r="AL89" s="68">
        <v>-30.0275</v>
      </c>
      <c r="AM89" s="68">
        <v>59.9313</v>
      </c>
      <c r="AN89" s="68">
        <v>7.0530999999999997</v>
      </c>
      <c r="AO89" s="68">
        <v>-15.611599999999999</v>
      </c>
      <c r="AP89" s="68">
        <v>10.896100000000001</v>
      </c>
      <c r="AQ89" s="68">
        <v>2.3262999999999998</v>
      </c>
      <c r="AR89" s="68">
        <v>0.80769999999999997</v>
      </c>
      <c r="AS89" s="68">
        <v>-9.7626000000000008</v>
      </c>
      <c r="AT89" s="68">
        <v>14.173</v>
      </c>
      <c r="AU89" s="68">
        <v>33.669400000000003</v>
      </c>
      <c r="AV89" s="68">
        <v>4.5033000000000003</v>
      </c>
      <c r="AW89" s="68">
        <v>-12.1031</v>
      </c>
      <c r="AX89" s="68">
        <v>19.610600000000002</v>
      </c>
      <c r="AY89" s="68">
        <v>10.1981</v>
      </c>
    </row>
    <row r="90" spans="15:51" x14ac:dyDescent="0.2">
      <c r="O90" s="62" t="s">
        <v>238</v>
      </c>
      <c r="P90" s="62" t="s">
        <v>331</v>
      </c>
      <c r="Q90" s="68">
        <v>49.569499999999998</v>
      </c>
      <c r="R90" s="68">
        <v>7.2367999999999997</v>
      </c>
      <c r="S90" s="68">
        <v>-9.0490999999999993</v>
      </c>
      <c r="T90" s="68">
        <v>-27.150099999999998</v>
      </c>
      <c r="U90" s="68">
        <v>20.4861</v>
      </c>
      <c r="V90" s="68">
        <v>-26.224799999999998</v>
      </c>
      <c r="W90" s="68">
        <v>13.9323</v>
      </c>
      <c r="X90" s="68">
        <v>32.1143</v>
      </c>
      <c r="Y90" s="68">
        <v>5.7957999999999998</v>
      </c>
      <c r="Z90" s="68">
        <v>-8.0130999999999997</v>
      </c>
      <c r="AA90" s="68">
        <v>31.466699999999999</v>
      </c>
      <c r="AB90" s="68">
        <v>2.5693000000000001</v>
      </c>
      <c r="AC90" s="68">
        <v>-39.815399999999997</v>
      </c>
      <c r="AD90" s="68">
        <v>1.8620000000000001</v>
      </c>
      <c r="AE90" s="68">
        <v>16.129000000000001</v>
      </c>
      <c r="AF90" s="68">
        <v>-1.9443999999999999</v>
      </c>
      <c r="AG90" s="68">
        <v>-2.7383999999999999</v>
      </c>
      <c r="AH90" s="68">
        <v>10.2913</v>
      </c>
      <c r="AI90" s="68">
        <v>44.278199999999998</v>
      </c>
      <c r="AJ90" s="68">
        <v>8.1757000000000009</v>
      </c>
      <c r="AK90" s="68">
        <v>-1.8613</v>
      </c>
      <c r="AL90" s="68">
        <v>-18.045999999999999</v>
      </c>
      <c r="AM90" s="68">
        <v>29.032299999999999</v>
      </c>
      <c r="AN90" s="68">
        <v>24.837</v>
      </c>
      <c r="AO90" s="68">
        <v>1.9155</v>
      </c>
      <c r="AP90" s="68">
        <v>-1.1960999999999999</v>
      </c>
      <c r="AQ90" s="68">
        <v>5.8798000000000004</v>
      </c>
      <c r="AR90" s="68">
        <v>4.6140999999999996</v>
      </c>
      <c r="AS90" s="68">
        <v>-6.4012000000000002</v>
      </c>
      <c r="AT90" s="68">
        <v>-14.9291</v>
      </c>
      <c r="AU90" s="68">
        <v>-14.460800000000001</v>
      </c>
      <c r="AV90" s="68">
        <v>-5.0430000000000001</v>
      </c>
      <c r="AW90" s="68">
        <v>-1.8709</v>
      </c>
      <c r="AX90" s="68">
        <v>10.147600000000001</v>
      </c>
      <c r="AY90" s="68">
        <v>19.095500000000001</v>
      </c>
    </row>
    <row r="91" spans="15:51" x14ac:dyDescent="0.2">
      <c r="O91" s="62" t="s">
        <v>269</v>
      </c>
      <c r="P91" s="62" t="s">
        <v>332</v>
      </c>
      <c r="Q91" s="68">
        <v>-155.11670000000001</v>
      </c>
      <c r="R91" s="68" t="s">
        <v>182</v>
      </c>
      <c r="S91" s="68">
        <v>-307.69229999999999</v>
      </c>
      <c r="T91" s="68" t="s">
        <v>182</v>
      </c>
      <c r="U91" s="68" t="s">
        <v>182</v>
      </c>
      <c r="V91" s="68">
        <v>-190.47620000000001</v>
      </c>
      <c r="W91" s="68" t="s">
        <v>182</v>
      </c>
      <c r="X91" s="68" t="s">
        <v>182</v>
      </c>
      <c r="Y91" s="68">
        <v>-12.7273</v>
      </c>
      <c r="Z91" s="68">
        <v>-343.75</v>
      </c>
      <c r="AA91" s="68" t="s">
        <v>182</v>
      </c>
      <c r="AB91" s="68" t="s">
        <v>182</v>
      </c>
      <c r="AC91" s="68">
        <v>-170.24950000000001</v>
      </c>
      <c r="AD91" s="68" t="s">
        <v>182</v>
      </c>
      <c r="AE91" s="68" t="s">
        <v>182</v>
      </c>
      <c r="AF91" s="68" t="s">
        <v>182</v>
      </c>
      <c r="AG91" s="68">
        <v>33.727800000000002</v>
      </c>
      <c r="AH91" s="68">
        <v>-194.24780000000001</v>
      </c>
      <c r="AI91" s="68" t="s">
        <v>182</v>
      </c>
      <c r="AJ91" s="68">
        <v>-161.1842</v>
      </c>
      <c r="AK91" s="68" t="s">
        <v>182</v>
      </c>
      <c r="AL91" s="68">
        <v>19.601299999999998</v>
      </c>
      <c r="AM91" s="68">
        <v>-26.944400000000002</v>
      </c>
      <c r="AN91" s="68">
        <v>-293.53609999999998</v>
      </c>
      <c r="AO91" s="68" t="s">
        <v>182</v>
      </c>
      <c r="AP91" s="68">
        <v>-19300</v>
      </c>
      <c r="AQ91" s="68" t="s">
        <v>182</v>
      </c>
      <c r="AR91" s="68">
        <v>-153.24680000000001</v>
      </c>
      <c r="AS91" s="68" t="s">
        <v>182</v>
      </c>
      <c r="AT91" s="68" t="s">
        <v>182</v>
      </c>
      <c r="AU91" s="68" t="s">
        <v>182</v>
      </c>
      <c r="AV91" s="68">
        <v>-78.118200000000002</v>
      </c>
      <c r="AW91" s="68">
        <v>2071</v>
      </c>
      <c r="AX91" s="68">
        <v>-140.9949</v>
      </c>
      <c r="AY91" s="68" t="s">
        <v>182</v>
      </c>
    </row>
    <row r="92" spans="15:51" x14ac:dyDescent="0.2">
      <c r="O92" s="62" t="s">
        <v>243</v>
      </c>
      <c r="P92" s="62" t="s">
        <v>333</v>
      </c>
      <c r="Q92" s="68">
        <v>-202.27269999999999</v>
      </c>
      <c r="R92" s="68" t="s">
        <v>182</v>
      </c>
      <c r="S92" s="68" t="s">
        <v>182</v>
      </c>
      <c r="T92" s="68" t="s">
        <v>182</v>
      </c>
      <c r="U92" s="68">
        <v>-5200</v>
      </c>
      <c r="V92" s="68" t="s">
        <v>182</v>
      </c>
      <c r="W92" s="68">
        <v>132.4742</v>
      </c>
      <c r="X92" s="68">
        <v>-8.8691999999999993</v>
      </c>
      <c r="Y92" s="68">
        <v>-47.201900000000002</v>
      </c>
      <c r="Z92" s="68">
        <v>99.539199999999994</v>
      </c>
      <c r="AA92" s="68">
        <v>-210.62360000000001</v>
      </c>
      <c r="AB92" s="68" t="s">
        <v>182</v>
      </c>
      <c r="AC92" s="68" t="s">
        <v>182</v>
      </c>
      <c r="AD92" s="68" t="s">
        <v>182</v>
      </c>
      <c r="AE92" s="68" t="s">
        <v>182</v>
      </c>
      <c r="AF92" s="68">
        <v>-642.55319999999995</v>
      </c>
      <c r="AG92" s="68" t="s">
        <v>182</v>
      </c>
      <c r="AH92" s="68">
        <v>-106.25</v>
      </c>
      <c r="AI92" s="68" t="s">
        <v>182</v>
      </c>
      <c r="AJ92" s="68">
        <v>-1.9093</v>
      </c>
      <c r="AK92" s="68">
        <v>185.6448</v>
      </c>
      <c r="AL92" s="68">
        <v>-47.785299999999999</v>
      </c>
      <c r="AM92" s="68">
        <v>131.8108</v>
      </c>
      <c r="AN92" s="68">
        <v>-15.9747</v>
      </c>
      <c r="AO92" s="68">
        <v>-49.33</v>
      </c>
      <c r="AP92" s="68">
        <v>57.686</v>
      </c>
      <c r="AQ92" s="68">
        <v>-6.2892999999999999</v>
      </c>
      <c r="AR92" s="68">
        <v>-9.6196999999999999</v>
      </c>
      <c r="AS92" s="68">
        <v>-20.4208</v>
      </c>
      <c r="AT92" s="68">
        <v>122.70610000000001</v>
      </c>
      <c r="AU92" s="68">
        <v>102.2346</v>
      </c>
      <c r="AV92" s="68">
        <v>10.2555</v>
      </c>
      <c r="AW92" s="68">
        <v>-17.4131</v>
      </c>
      <c r="AX92" s="68">
        <v>25.445599999999999</v>
      </c>
      <c r="AY92" s="68">
        <v>5.3808999999999996</v>
      </c>
    </row>
    <row r="93" spans="15:51" x14ac:dyDescent="0.2">
      <c r="O93" s="62" t="s">
        <v>276</v>
      </c>
      <c r="P93" s="62" t="s">
        <v>334</v>
      </c>
      <c r="Q93" s="68" t="s">
        <v>182</v>
      </c>
      <c r="R93" s="68" t="s">
        <v>182</v>
      </c>
      <c r="S93" s="68">
        <v>-9.3577999999999992</v>
      </c>
      <c r="T93" s="68" t="s">
        <v>182</v>
      </c>
      <c r="U93" s="68" t="s">
        <v>182</v>
      </c>
      <c r="V93" s="68" t="s">
        <v>182</v>
      </c>
      <c r="W93" s="68">
        <v>33.014699999999998</v>
      </c>
      <c r="X93" s="68">
        <v>15.2637</v>
      </c>
      <c r="Y93" s="68">
        <v>-7.6994999999999996</v>
      </c>
      <c r="Z93" s="68">
        <v>16.393999999999998</v>
      </c>
      <c r="AA93" s="68">
        <v>-27.271699999999999</v>
      </c>
      <c r="AB93" s="68">
        <v>-9.3431999999999995</v>
      </c>
      <c r="AC93" s="68">
        <v>-12.7258</v>
      </c>
      <c r="AD93" s="68">
        <v>8.4837000000000007</v>
      </c>
      <c r="AE93" s="68">
        <v>21.3293</v>
      </c>
      <c r="AF93" s="68">
        <v>-22.395</v>
      </c>
      <c r="AG93" s="68">
        <v>57.738199999999999</v>
      </c>
      <c r="AH93" s="68">
        <v>-18.9131</v>
      </c>
      <c r="AI93" s="68">
        <v>66.451099999999997</v>
      </c>
      <c r="AJ93" s="68">
        <v>4.7789999999999999</v>
      </c>
      <c r="AK93" s="68">
        <v>32.495699999999999</v>
      </c>
      <c r="AL93" s="68">
        <v>-26.04</v>
      </c>
      <c r="AM93" s="68">
        <v>50.154299999999999</v>
      </c>
      <c r="AN93" s="68">
        <v>6.5545</v>
      </c>
      <c r="AO93" s="68">
        <v>-14.016500000000001</v>
      </c>
      <c r="AP93" s="68">
        <v>9.8309999999999995</v>
      </c>
      <c r="AQ93" s="68">
        <v>1.7239</v>
      </c>
      <c r="AR93" s="68">
        <v>0.62790000000000001</v>
      </c>
      <c r="AS93" s="68">
        <v>-8.3021999999999991</v>
      </c>
      <c r="AT93" s="68" t="s">
        <v>182</v>
      </c>
      <c r="AU93" s="68" t="s">
        <v>182</v>
      </c>
      <c r="AV93" s="68">
        <v>5.5827999999999998</v>
      </c>
      <c r="AW93" s="68">
        <v>-10.7219</v>
      </c>
      <c r="AX93" s="68">
        <v>16.796399999999998</v>
      </c>
      <c r="AY93" s="68">
        <v>9.5494000000000003</v>
      </c>
    </row>
    <row r="94" spans="15:51" x14ac:dyDescent="0.2">
      <c r="O94" s="62" t="s">
        <v>279</v>
      </c>
      <c r="P94" s="62" t="s">
        <v>335</v>
      </c>
      <c r="Q94" s="68" t="s">
        <v>182</v>
      </c>
      <c r="R94" s="68" t="s">
        <v>182</v>
      </c>
      <c r="S94" s="68" t="s">
        <v>182</v>
      </c>
      <c r="T94" s="68" t="s">
        <v>182</v>
      </c>
      <c r="U94" s="68" t="s">
        <v>182</v>
      </c>
      <c r="V94" s="68" t="s">
        <v>182</v>
      </c>
      <c r="W94" s="68">
        <v>73.078400000000002</v>
      </c>
      <c r="X94" s="68">
        <v>-8.0245999999999995</v>
      </c>
      <c r="Y94" s="68">
        <v>-34.490299999999998</v>
      </c>
      <c r="Z94" s="68">
        <v>94.643299999999996</v>
      </c>
      <c r="AA94" s="68">
        <v>-116.2681</v>
      </c>
      <c r="AB94" s="68" t="s">
        <v>182</v>
      </c>
      <c r="AC94" s="68" t="s">
        <v>182</v>
      </c>
      <c r="AD94" s="68">
        <v>45.8919</v>
      </c>
      <c r="AE94" s="68">
        <v>41.840899999999998</v>
      </c>
      <c r="AF94" s="68">
        <v>-88.436700000000002</v>
      </c>
      <c r="AG94" s="68">
        <v>1713.8476000000001</v>
      </c>
      <c r="AH94" s="68">
        <v>-61.796599999999998</v>
      </c>
      <c r="AI94" s="68">
        <v>160.4462</v>
      </c>
      <c r="AJ94" s="68">
        <v>-3.1976</v>
      </c>
      <c r="AK94" s="68">
        <v>122.65730000000001</v>
      </c>
      <c r="AL94" s="68">
        <v>-35.2864</v>
      </c>
      <c r="AM94" s="68">
        <v>81.094399999999993</v>
      </c>
      <c r="AN94" s="68">
        <v>-12.527100000000001</v>
      </c>
      <c r="AO94" s="68">
        <v>-37.747700000000002</v>
      </c>
      <c r="AP94" s="68">
        <v>36.7211</v>
      </c>
      <c r="AQ94" s="68">
        <v>-5.5998999999999999</v>
      </c>
      <c r="AR94" s="68">
        <v>-7.2510000000000003</v>
      </c>
      <c r="AS94" s="68">
        <v>-12.5404</v>
      </c>
      <c r="AT94" s="68" t="s">
        <v>182</v>
      </c>
      <c r="AU94" s="68" t="s">
        <v>182</v>
      </c>
      <c r="AV94" s="68">
        <v>11.056800000000001</v>
      </c>
      <c r="AW94" s="68">
        <v>-14.6206</v>
      </c>
      <c r="AX94" s="68">
        <v>20.162400000000002</v>
      </c>
      <c r="AY94" s="68">
        <v>5.1195000000000004</v>
      </c>
    </row>
    <row r="95" spans="15:51" x14ac:dyDescent="0.2">
      <c r="O95" s="69" t="s">
        <v>249</v>
      </c>
      <c r="P95" s="69"/>
      <c r="Q95" s="69" t="s">
        <v>278</v>
      </c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8D9F-B40A-41A8-A641-3B60FA4CF3DB}">
  <dimension ref="A1:J72"/>
  <sheetViews>
    <sheetView zoomScale="94" zoomScaleNormal="80" workbookViewId="0">
      <selection activeCell="A12" sqref="A12"/>
    </sheetView>
  </sheetViews>
  <sheetFormatPr baseColWidth="10" defaultColWidth="8.83203125" defaultRowHeight="15" x14ac:dyDescent="0.2"/>
  <cols>
    <col min="1" max="1" width="54.1640625" bestFit="1" customWidth="1"/>
  </cols>
  <sheetData>
    <row r="1" spans="1:10" ht="20" x14ac:dyDescent="0.2">
      <c r="A1" s="123" t="s">
        <v>336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</row>
    <row r="3" spans="1:10" x14ac:dyDescent="0.2">
      <c r="A3" s="125" t="s">
        <v>89</v>
      </c>
      <c r="B3" s="125"/>
      <c r="C3" s="126" t="s">
        <v>81</v>
      </c>
      <c r="D3" s="126" t="s">
        <v>82</v>
      </c>
      <c r="E3" s="126" t="s">
        <v>83</v>
      </c>
      <c r="F3" s="126" t="s">
        <v>84</v>
      </c>
      <c r="G3" s="126" t="s">
        <v>85</v>
      </c>
      <c r="H3" s="126" t="s">
        <v>337</v>
      </c>
      <c r="I3" s="126" t="s">
        <v>87</v>
      </c>
      <c r="J3" s="126" t="s">
        <v>88</v>
      </c>
    </row>
    <row r="4" spans="1:10" x14ac:dyDescent="0.2">
      <c r="A4" s="127" t="s">
        <v>121</v>
      </c>
      <c r="B4" s="127"/>
      <c r="C4" s="128" t="s">
        <v>122</v>
      </c>
      <c r="D4" s="128" t="s">
        <v>123</v>
      </c>
      <c r="E4" s="128" t="s">
        <v>124</v>
      </c>
      <c r="F4" s="128" t="s">
        <v>125</v>
      </c>
      <c r="G4" s="128" t="s">
        <v>126</v>
      </c>
      <c r="H4" s="128" t="s">
        <v>127</v>
      </c>
      <c r="I4" s="128" t="s">
        <v>128</v>
      </c>
      <c r="J4" s="128" t="s">
        <v>129</v>
      </c>
    </row>
    <row r="5" spans="1:10" x14ac:dyDescent="0.2">
      <c r="A5" s="60" t="s">
        <v>66</v>
      </c>
      <c r="B5" s="60" t="s">
        <v>189</v>
      </c>
      <c r="C5" s="64">
        <v>12250</v>
      </c>
      <c r="D5" s="64">
        <v>11937</v>
      </c>
      <c r="E5" s="64">
        <v>10583</v>
      </c>
      <c r="F5" s="64">
        <v>12522</v>
      </c>
      <c r="G5" s="64">
        <v>14853</v>
      </c>
      <c r="H5" s="72">
        <v>14707</v>
      </c>
      <c r="I5" s="64">
        <v>14614.154</v>
      </c>
      <c r="J5" s="64">
        <v>14995.846</v>
      </c>
    </row>
    <row r="6" spans="1:10" x14ac:dyDescent="0.2">
      <c r="A6" s="62" t="s">
        <v>338</v>
      </c>
      <c r="B6" s="62" t="s">
        <v>339</v>
      </c>
      <c r="C6" s="63">
        <v>11668</v>
      </c>
      <c r="D6" s="63">
        <v>10809</v>
      </c>
      <c r="E6" s="63">
        <v>9810</v>
      </c>
      <c r="F6" s="63">
        <v>11120</v>
      </c>
      <c r="G6" s="63">
        <v>12430</v>
      </c>
      <c r="H6" s="71">
        <v>12692</v>
      </c>
      <c r="I6" s="63"/>
      <c r="J6" s="63"/>
    </row>
    <row r="7" spans="1:10" x14ac:dyDescent="0.2">
      <c r="A7" s="62" t="s">
        <v>340</v>
      </c>
      <c r="B7" s="62" t="s">
        <v>341</v>
      </c>
      <c r="C7" s="63">
        <v>582</v>
      </c>
      <c r="D7" s="63">
        <v>1128</v>
      </c>
      <c r="E7" s="63">
        <v>773</v>
      </c>
      <c r="F7" s="63">
        <v>1402</v>
      </c>
      <c r="G7" s="63">
        <v>2423</v>
      </c>
      <c r="H7" s="71">
        <v>2015</v>
      </c>
      <c r="I7" s="63"/>
      <c r="J7" s="63"/>
    </row>
    <row r="8" spans="1:10" x14ac:dyDescent="0.2">
      <c r="A8" s="60" t="s">
        <v>342</v>
      </c>
      <c r="B8" s="60" t="s">
        <v>199</v>
      </c>
      <c r="C8" s="64" t="s">
        <v>182</v>
      </c>
      <c r="D8" s="64" t="s">
        <v>182</v>
      </c>
      <c r="E8" s="64" t="s">
        <v>182</v>
      </c>
      <c r="F8" s="64" t="s">
        <v>182</v>
      </c>
      <c r="G8" s="64" t="s">
        <v>182</v>
      </c>
      <c r="H8" s="72"/>
      <c r="I8" s="64">
        <v>5557.1782000399999</v>
      </c>
      <c r="J8" s="64">
        <v>5787.6467636999996</v>
      </c>
    </row>
    <row r="9" spans="1:10" x14ac:dyDescent="0.2">
      <c r="A9" s="62" t="s">
        <v>343</v>
      </c>
      <c r="B9" s="62" t="s">
        <v>344</v>
      </c>
      <c r="C9" s="63">
        <v>96</v>
      </c>
      <c r="D9" s="63">
        <v>0</v>
      </c>
      <c r="E9" s="63">
        <v>0</v>
      </c>
      <c r="F9" s="63">
        <v>0</v>
      </c>
      <c r="G9" s="63">
        <v>0</v>
      </c>
      <c r="H9" s="71">
        <v>0</v>
      </c>
      <c r="I9" s="63"/>
      <c r="J9" s="63"/>
    </row>
    <row r="10" spans="1:10" x14ac:dyDescent="0.2">
      <c r="A10" s="62" t="s">
        <v>345</v>
      </c>
      <c r="B10" s="62" t="s">
        <v>346</v>
      </c>
      <c r="C10" s="63">
        <v>7631</v>
      </c>
      <c r="D10" s="63">
        <v>7101</v>
      </c>
      <c r="E10" s="63">
        <v>6256</v>
      </c>
      <c r="F10" s="63">
        <v>7382</v>
      </c>
      <c r="G10" s="63">
        <v>9068</v>
      </c>
      <c r="H10" s="71">
        <v>9088</v>
      </c>
      <c r="I10" s="63"/>
      <c r="J10" s="63"/>
    </row>
    <row r="11" spans="1:10" x14ac:dyDescent="0.2">
      <c r="A11" s="62" t="s">
        <v>347</v>
      </c>
      <c r="B11" s="62" t="s">
        <v>348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71"/>
      <c r="I11" s="63"/>
      <c r="J11" s="63"/>
    </row>
    <row r="12" spans="1:10" x14ac:dyDescent="0.2">
      <c r="A12" s="62" t="s">
        <v>349</v>
      </c>
      <c r="B12" s="62" t="s">
        <v>350</v>
      </c>
      <c r="C12" s="63">
        <v>1331</v>
      </c>
      <c r="D12" s="63">
        <v>1349</v>
      </c>
      <c r="E12" s="63">
        <v>1383</v>
      </c>
      <c r="F12" s="63">
        <v>1420</v>
      </c>
      <c r="G12" s="63">
        <v>1500</v>
      </c>
      <c r="H12" s="71">
        <v>1587</v>
      </c>
      <c r="I12" s="63"/>
      <c r="J12" s="63"/>
    </row>
    <row r="13" spans="1:10" x14ac:dyDescent="0.2">
      <c r="A13" s="62" t="s">
        <v>351</v>
      </c>
      <c r="B13" s="62" t="s">
        <v>352</v>
      </c>
      <c r="C13" s="63">
        <v>6300</v>
      </c>
      <c r="D13" s="63">
        <v>5752</v>
      </c>
      <c r="E13" s="63">
        <v>4873</v>
      </c>
      <c r="F13" s="63">
        <v>5962</v>
      </c>
      <c r="G13" s="63">
        <v>7568</v>
      </c>
      <c r="H13" s="71">
        <v>7501</v>
      </c>
      <c r="I13" s="63"/>
      <c r="J13" s="63"/>
    </row>
    <row r="14" spans="1:10" x14ac:dyDescent="0.2">
      <c r="A14" s="60" t="s">
        <v>353</v>
      </c>
      <c r="B14" s="60" t="s">
        <v>354</v>
      </c>
      <c r="C14" s="64">
        <v>4715</v>
      </c>
      <c r="D14" s="64">
        <v>4836</v>
      </c>
      <c r="E14" s="64">
        <v>4327</v>
      </c>
      <c r="F14" s="64">
        <v>5140</v>
      </c>
      <c r="G14" s="64">
        <v>5785</v>
      </c>
      <c r="H14" s="72">
        <v>5619</v>
      </c>
      <c r="I14" s="64">
        <v>5555.68</v>
      </c>
      <c r="J14" s="64">
        <v>5758.5</v>
      </c>
    </row>
    <row r="15" spans="1:10" x14ac:dyDescent="0.2">
      <c r="A15" s="62" t="s">
        <v>355</v>
      </c>
      <c r="B15" s="62" t="s">
        <v>356</v>
      </c>
      <c r="C15" s="63">
        <v>565</v>
      </c>
      <c r="D15" s="63">
        <v>649</v>
      </c>
      <c r="E15" s="63">
        <v>735</v>
      </c>
      <c r="F15" s="63">
        <v>643</v>
      </c>
      <c r="G15" s="63">
        <v>609</v>
      </c>
      <c r="H15" s="71">
        <v>654</v>
      </c>
      <c r="I15" s="63"/>
      <c r="J15" s="63"/>
    </row>
    <row r="16" spans="1:10" x14ac:dyDescent="0.2">
      <c r="A16" s="62" t="s">
        <v>357</v>
      </c>
      <c r="B16" s="62" t="s">
        <v>358</v>
      </c>
      <c r="C16" s="63">
        <v>607</v>
      </c>
      <c r="D16" s="63">
        <v>689</v>
      </c>
      <c r="E16" s="63">
        <v>754</v>
      </c>
      <c r="F16" s="63">
        <v>722</v>
      </c>
      <c r="G16" s="63">
        <v>742</v>
      </c>
      <c r="H16" s="71"/>
      <c r="I16" s="63"/>
      <c r="J16" s="63"/>
    </row>
    <row r="17" spans="1:10" x14ac:dyDescent="0.2">
      <c r="A17" s="65" t="s">
        <v>359</v>
      </c>
      <c r="B17" s="65" t="s">
        <v>360</v>
      </c>
      <c r="C17" s="66">
        <v>639</v>
      </c>
      <c r="D17" s="66">
        <v>737</v>
      </c>
      <c r="E17" s="66">
        <v>754</v>
      </c>
      <c r="F17" s="66">
        <v>722</v>
      </c>
      <c r="G17" s="66">
        <v>742</v>
      </c>
      <c r="H17" s="73">
        <v>804</v>
      </c>
      <c r="I17" s="66"/>
      <c r="J17" s="66"/>
    </row>
    <row r="18" spans="1:10" x14ac:dyDescent="0.2">
      <c r="A18" s="65" t="s">
        <v>361</v>
      </c>
      <c r="B18" s="65" t="s">
        <v>362</v>
      </c>
      <c r="C18" s="66">
        <v>32</v>
      </c>
      <c r="D18" s="66">
        <v>48</v>
      </c>
      <c r="E18" s="66">
        <v>0</v>
      </c>
      <c r="F18" s="66">
        <v>0</v>
      </c>
      <c r="G18" s="66">
        <v>0</v>
      </c>
      <c r="H18" s="73"/>
      <c r="I18" s="66"/>
      <c r="J18" s="66"/>
    </row>
    <row r="19" spans="1:10" x14ac:dyDescent="0.2">
      <c r="A19" s="62" t="s">
        <v>363</v>
      </c>
      <c r="B19" s="62" t="s">
        <v>364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71"/>
      <c r="I19" s="63"/>
      <c r="J19" s="63"/>
    </row>
    <row r="20" spans="1:10" x14ac:dyDescent="0.2">
      <c r="A20" s="62" t="s">
        <v>365</v>
      </c>
      <c r="B20" s="62" t="s">
        <v>366</v>
      </c>
      <c r="C20" s="63">
        <v>-42</v>
      </c>
      <c r="D20" s="63">
        <v>-40</v>
      </c>
      <c r="E20" s="63">
        <v>-19</v>
      </c>
      <c r="F20" s="63">
        <v>-79</v>
      </c>
      <c r="G20" s="63">
        <v>-133</v>
      </c>
      <c r="H20" s="71">
        <v>-150</v>
      </c>
      <c r="I20" s="63"/>
      <c r="J20" s="63"/>
    </row>
    <row r="21" spans="1:10" x14ac:dyDescent="0.2">
      <c r="A21" s="60" t="s">
        <v>367</v>
      </c>
      <c r="B21" s="60" t="s">
        <v>368</v>
      </c>
      <c r="C21" s="64">
        <v>4150</v>
      </c>
      <c r="D21" s="64">
        <v>4187</v>
      </c>
      <c r="E21" s="64">
        <v>3592</v>
      </c>
      <c r="F21" s="64">
        <v>4497</v>
      </c>
      <c r="G21" s="64">
        <v>5176</v>
      </c>
      <c r="H21" s="72">
        <v>4965</v>
      </c>
      <c r="I21" s="64">
        <v>4886.12</v>
      </c>
      <c r="J21" s="64">
        <v>5064.3599999999997</v>
      </c>
    </row>
    <row r="22" spans="1:10" x14ac:dyDescent="0.2">
      <c r="A22" s="62" t="s">
        <v>369</v>
      </c>
      <c r="B22" s="62" t="s">
        <v>370</v>
      </c>
      <c r="C22" s="63">
        <v>-154</v>
      </c>
      <c r="D22" s="63">
        <v>-129</v>
      </c>
      <c r="E22" s="63">
        <v>-35</v>
      </c>
      <c r="F22" s="63">
        <v>-454</v>
      </c>
      <c r="G22" s="63">
        <v>-238</v>
      </c>
      <c r="H22" s="71">
        <v>-81</v>
      </c>
      <c r="I22" s="63"/>
      <c r="J22" s="63"/>
    </row>
    <row r="23" spans="1:10" x14ac:dyDescent="0.2">
      <c r="A23" s="62" t="s">
        <v>371</v>
      </c>
      <c r="B23" s="62" t="s">
        <v>372</v>
      </c>
      <c r="C23" s="63">
        <v>-154</v>
      </c>
      <c r="D23" s="63">
        <v>-151</v>
      </c>
      <c r="E23" s="63">
        <v>-35</v>
      </c>
      <c r="F23" s="63">
        <v>-454</v>
      </c>
      <c r="G23" s="63">
        <v>-238</v>
      </c>
      <c r="H23" s="71">
        <v>-81</v>
      </c>
      <c r="I23" s="63"/>
      <c r="J23" s="63"/>
    </row>
    <row r="24" spans="1:10" x14ac:dyDescent="0.2">
      <c r="A24" s="62" t="s">
        <v>373</v>
      </c>
      <c r="B24" s="62" t="s">
        <v>374</v>
      </c>
      <c r="C24" s="63" t="s">
        <v>182</v>
      </c>
      <c r="D24" s="63" t="s">
        <v>182</v>
      </c>
      <c r="E24" s="63" t="s">
        <v>182</v>
      </c>
      <c r="F24" s="63" t="s">
        <v>182</v>
      </c>
      <c r="G24" s="63" t="s">
        <v>182</v>
      </c>
      <c r="H24" s="71"/>
      <c r="I24" s="63"/>
      <c r="J24" s="63"/>
    </row>
    <row r="25" spans="1:10" x14ac:dyDescent="0.2">
      <c r="A25" s="62" t="s">
        <v>375</v>
      </c>
      <c r="B25" s="62" t="s">
        <v>376</v>
      </c>
      <c r="C25" s="63" t="s">
        <v>182</v>
      </c>
      <c r="D25" s="63">
        <v>22</v>
      </c>
      <c r="E25" s="63" t="s">
        <v>182</v>
      </c>
      <c r="F25" s="63" t="s">
        <v>182</v>
      </c>
      <c r="G25" s="63" t="s">
        <v>182</v>
      </c>
      <c r="H25" s="71"/>
      <c r="I25" s="63"/>
      <c r="J25" s="63"/>
    </row>
    <row r="26" spans="1:10" x14ac:dyDescent="0.2">
      <c r="A26" s="62" t="s">
        <v>377</v>
      </c>
      <c r="B26" s="62" t="s">
        <v>378</v>
      </c>
      <c r="C26" s="63" t="s">
        <v>182</v>
      </c>
      <c r="D26" s="63" t="s">
        <v>182</v>
      </c>
      <c r="E26" s="63" t="s">
        <v>182</v>
      </c>
      <c r="F26" s="63" t="s">
        <v>182</v>
      </c>
      <c r="G26" s="63" t="s">
        <v>182</v>
      </c>
      <c r="H26" s="71"/>
      <c r="I26" s="63"/>
      <c r="J26" s="63"/>
    </row>
    <row r="27" spans="1:10" x14ac:dyDescent="0.2">
      <c r="A27" s="62" t="s">
        <v>379</v>
      </c>
      <c r="B27" s="62" t="s">
        <v>380</v>
      </c>
      <c r="C27" s="63" t="s">
        <v>182</v>
      </c>
      <c r="D27" s="63" t="s">
        <v>182</v>
      </c>
      <c r="E27" s="63" t="s">
        <v>182</v>
      </c>
      <c r="F27" s="63" t="s">
        <v>182</v>
      </c>
      <c r="G27" s="63" t="s">
        <v>182</v>
      </c>
      <c r="H27" s="71"/>
      <c r="I27" s="63"/>
      <c r="J27" s="63"/>
    </row>
    <row r="28" spans="1:10" x14ac:dyDescent="0.2">
      <c r="A28" s="60" t="s">
        <v>381</v>
      </c>
      <c r="B28" s="60" t="s">
        <v>368</v>
      </c>
      <c r="C28" s="64">
        <v>4304</v>
      </c>
      <c r="D28" s="64">
        <v>4316</v>
      </c>
      <c r="E28" s="64">
        <v>3627</v>
      </c>
      <c r="F28" s="64">
        <v>4951</v>
      </c>
      <c r="G28" s="64">
        <v>5414</v>
      </c>
      <c r="H28" s="72">
        <v>5046</v>
      </c>
      <c r="I28" s="64">
        <v>4886.12</v>
      </c>
      <c r="J28" s="64">
        <v>5064.3599999999997</v>
      </c>
    </row>
    <row r="29" spans="1:10" x14ac:dyDescent="0.2">
      <c r="A29" s="62" t="s">
        <v>382</v>
      </c>
      <c r="B29" s="62" t="s">
        <v>383</v>
      </c>
      <c r="C29" s="63">
        <v>995</v>
      </c>
      <c r="D29" s="63">
        <v>985</v>
      </c>
      <c r="E29" s="63">
        <v>862</v>
      </c>
      <c r="F29" s="63">
        <v>1170</v>
      </c>
      <c r="G29" s="63">
        <v>1248</v>
      </c>
      <c r="H29" s="71">
        <v>1199</v>
      </c>
      <c r="I29" s="63"/>
      <c r="J29" s="63"/>
    </row>
    <row r="30" spans="1:10" x14ac:dyDescent="0.2">
      <c r="A30" s="62" t="s">
        <v>384</v>
      </c>
      <c r="B30" s="62" t="s">
        <v>385</v>
      </c>
      <c r="C30" s="63">
        <v>716</v>
      </c>
      <c r="D30" s="63">
        <v>712</v>
      </c>
      <c r="E30" s="63">
        <v>682</v>
      </c>
      <c r="F30" s="63">
        <v>1003</v>
      </c>
      <c r="G30" s="63">
        <v>1131</v>
      </c>
      <c r="H30" s="71"/>
      <c r="I30" s="63"/>
      <c r="J30" s="63"/>
    </row>
    <row r="31" spans="1:10" x14ac:dyDescent="0.2">
      <c r="A31" s="62" t="s">
        <v>386</v>
      </c>
      <c r="B31" s="62" t="s">
        <v>387</v>
      </c>
      <c r="C31" s="63">
        <v>279</v>
      </c>
      <c r="D31" s="63">
        <v>273</v>
      </c>
      <c r="E31" s="63">
        <v>180</v>
      </c>
      <c r="F31" s="63">
        <v>167</v>
      </c>
      <c r="G31" s="63">
        <v>117</v>
      </c>
      <c r="H31" s="71"/>
      <c r="I31" s="63"/>
      <c r="J31" s="63"/>
    </row>
    <row r="32" spans="1:10" x14ac:dyDescent="0.2">
      <c r="A32" s="62" t="s">
        <v>388</v>
      </c>
      <c r="B32" s="62" t="s">
        <v>389</v>
      </c>
      <c r="C32" s="63" t="s">
        <v>182</v>
      </c>
      <c r="D32" s="63" t="s">
        <v>182</v>
      </c>
      <c r="E32" s="63" t="s">
        <v>182</v>
      </c>
      <c r="F32" s="63" t="s">
        <v>182</v>
      </c>
      <c r="G32" s="63" t="s">
        <v>182</v>
      </c>
      <c r="H32" s="71"/>
      <c r="I32" s="63"/>
      <c r="J32" s="63"/>
    </row>
    <row r="33" spans="1:10" x14ac:dyDescent="0.2">
      <c r="A33" s="60" t="s">
        <v>390</v>
      </c>
      <c r="B33" s="60" t="s">
        <v>391</v>
      </c>
      <c r="C33" s="64">
        <v>3309</v>
      </c>
      <c r="D33" s="64">
        <v>3331</v>
      </c>
      <c r="E33" s="64">
        <v>2765</v>
      </c>
      <c r="F33" s="64">
        <v>3781</v>
      </c>
      <c r="G33" s="64">
        <v>4166</v>
      </c>
      <c r="H33" s="72">
        <v>3847</v>
      </c>
      <c r="I33" s="64">
        <v>3699.0949999999998</v>
      </c>
      <c r="J33" s="64">
        <v>3857.4760000000001</v>
      </c>
    </row>
    <row r="34" spans="1:10" x14ac:dyDescent="0.2">
      <c r="A34" s="62" t="s">
        <v>392</v>
      </c>
      <c r="B34" s="62" t="s">
        <v>393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71">
        <v>0</v>
      </c>
      <c r="I34" s="63"/>
      <c r="J34" s="63"/>
    </row>
    <row r="35" spans="1:10" x14ac:dyDescent="0.2">
      <c r="A35" s="62" t="s">
        <v>394</v>
      </c>
      <c r="B35" s="62" t="s">
        <v>395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71">
        <v>0</v>
      </c>
      <c r="I35" s="63"/>
      <c r="J35" s="63"/>
    </row>
    <row r="36" spans="1:10" x14ac:dyDescent="0.2">
      <c r="A36" s="62" t="s">
        <v>396</v>
      </c>
      <c r="B36" s="62" t="s">
        <v>397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71">
        <v>0</v>
      </c>
      <c r="I36" s="63"/>
      <c r="J36" s="63"/>
    </row>
    <row r="37" spans="1:10" x14ac:dyDescent="0.2">
      <c r="A37" s="60" t="s">
        <v>398</v>
      </c>
      <c r="B37" s="60" t="s">
        <v>399</v>
      </c>
      <c r="C37" s="64">
        <v>3309</v>
      </c>
      <c r="D37" s="64">
        <v>3331</v>
      </c>
      <c r="E37" s="64">
        <v>2765</v>
      </c>
      <c r="F37" s="64">
        <v>3781</v>
      </c>
      <c r="G37" s="64">
        <v>4166</v>
      </c>
      <c r="H37" s="72">
        <v>3847</v>
      </c>
      <c r="I37" s="64"/>
      <c r="J37" s="64"/>
    </row>
    <row r="38" spans="1:10" x14ac:dyDescent="0.2">
      <c r="A38" s="60" t="s">
        <v>400</v>
      </c>
      <c r="B38" s="60" t="s">
        <v>401</v>
      </c>
      <c r="C38" s="64">
        <v>3309</v>
      </c>
      <c r="D38" s="64">
        <v>3331</v>
      </c>
      <c r="E38" s="64">
        <v>2765</v>
      </c>
      <c r="F38" s="64">
        <v>3781</v>
      </c>
      <c r="G38" s="64">
        <v>4166</v>
      </c>
      <c r="H38" s="72">
        <v>3847</v>
      </c>
      <c r="I38" s="64">
        <v>3699.0949999999998</v>
      </c>
      <c r="J38" s="64">
        <v>3857.4760000000001</v>
      </c>
    </row>
    <row r="39" spans="1:10" x14ac:dyDescent="0.2">
      <c r="A39" s="62" t="s">
        <v>402</v>
      </c>
      <c r="B39" s="62" t="s">
        <v>403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71">
        <v>0</v>
      </c>
      <c r="I39" s="63"/>
      <c r="J39" s="63"/>
    </row>
    <row r="40" spans="1:10" x14ac:dyDescent="0.2">
      <c r="A40" s="62" t="s">
        <v>404</v>
      </c>
      <c r="B40" s="62" t="s">
        <v>405</v>
      </c>
      <c r="C40" s="63">
        <v>1</v>
      </c>
      <c r="D40" s="63">
        <v>0</v>
      </c>
      <c r="E40" s="63">
        <v>0</v>
      </c>
      <c r="F40" s="63">
        <v>0</v>
      </c>
      <c r="G40" s="63">
        <v>0</v>
      </c>
      <c r="H40" s="71">
        <v>0</v>
      </c>
      <c r="I40" s="63"/>
      <c r="J40" s="63"/>
    </row>
    <row r="41" spans="1:10" x14ac:dyDescent="0.2">
      <c r="A41" s="60" t="s">
        <v>406</v>
      </c>
      <c r="B41" s="60" t="s">
        <v>212</v>
      </c>
      <c r="C41" s="64">
        <v>3308</v>
      </c>
      <c r="D41" s="64">
        <v>3331</v>
      </c>
      <c r="E41" s="64">
        <v>2765</v>
      </c>
      <c r="F41" s="64">
        <v>3781</v>
      </c>
      <c r="G41" s="64">
        <v>4166</v>
      </c>
      <c r="H41" s="72">
        <v>3847</v>
      </c>
      <c r="I41" s="64">
        <v>3699.0949999999998</v>
      </c>
      <c r="J41" s="64">
        <v>3857.4760000000001</v>
      </c>
    </row>
    <row r="42" spans="1:10" x14ac:dyDescent="0.2">
      <c r="A42" s="60"/>
      <c r="B42" s="61"/>
      <c r="C42" s="61"/>
      <c r="D42" s="61"/>
      <c r="E42" s="61"/>
      <c r="F42" s="61"/>
      <c r="G42" s="61"/>
      <c r="H42" s="70"/>
      <c r="I42" s="61"/>
      <c r="J42" s="61"/>
    </row>
    <row r="43" spans="1:10" x14ac:dyDescent="0.2">
      <c r="A43" s="60" t="s">
        <v>407</v>
      </c>
      <c r="B43" s="60" t="s">
        <v>212</v>
      </c>
      <c r="C43" s="64">
        <v>3200.34</v>
      </c>
      <c r="D43" s="64">
        <v>3198.09</v>
      </c>
      <c r="E43" s="64">
        <v>2737.35</v>
      </c>
      <c r="F43" s="64">
        <v>3378.34</v>
      </c>
      <c r="G43" s="64">
        <v>3907.98</v>
      </c>
      <c r="H43" s="72">
        <v>3750.01</v>
      </c>
      <c r="I43" s="64">
        <v>3695.192</v>
      </c>
      <c r="J43" s="64">
        <v>3837.5770000000002</v>
      </c>
    </row>
    <row r="44" spans="1:10" x14ac:dyDescent="0.2">
      <c r="A44" s="62" t="s">
        <v>408</v>
      </c>
      <c r="B44" s="62" t="s">
        <v>409</v>
      </c>
      <c r="C44" s="63">
        <v>-107.66</v>
      </c>
      <c r="D44" s="63">
        <v>-132.91</v>
      </c>
      <c r="E44" s="63">
        <v>-27.65</v>
      </c>
      <c r="F44" s="63">
        <v>-402.66</v>
      </c>
      <c r="G44" s="63">
        <v>-258.02</v>
      </c>
      <c r="H44" s="71">
        <v>-96.99</v>
      </c>
      <c r="I44" s="63"/>
      <c r="J44" s="63"/>
    </row>
    <row r="45" spans="1:10" x14ac:dyDescent="0.2">
      <c r="A45" s="62" t="s">
        <v>410</v>
      </c>
      <c r="B45" s="62" t="s">
        <v>393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71">
        <v>0</v>
      </c>
      <c r="I45" s="63"/>
      <c r="J45" s="63"/>
    </row>
    <row r="46" spans="1:10" x14ac:dyDescent="0.2">
      <c r="A46" s="60"/>
      <c r="B46" s="61"/>
      <c r="C46" s="61"/>
      <c r="D46" s="61"/>
      <c r="E46" s="61"/>
      <c r="F46" s="61"/>
      <c r="G46" s="61"/>
      <c r="H46" s="70"/>
      <c r="I46" s="61"/>
      <c r="J46" s="61"/>
    </row>
    <row r="47" spans="1:10" x14ac:dyDescent="0.2">
      <c r="A47" s="62" t="s">
        <v>411</v>
      </c>
      <c r="B47" s="62" t="s">
        <v>412</v>
      </c>
      <c r="C47" s="63">
        <v>2571</v>
      </c>
      <c r="D47" s="63">
        <v>2389</v>
      </c>
      <c r="E47" s="63">
        <v>6900</v>
      </c>
      <c r="F47" s="63">
        <v>2250</v>
      </c>
      <c r="G47" s="63">
        <v>2136</v>
      </c>
      <c r="H47" s="71">
        <v>1994</v>
      </c>
      <c r="I47" s="63"/>
      <c r="J47" s="63"/>
    </row>
    <row r="48" spans="1:10" x14ac:dyDescent="0.2">
      <c r="A48" s="60" t="s">
        <v>413</v>
      </c>
      <c r="B48" s="60" t="s">
        <v>414</v>
      </c>
      <c r="C48" s="76">
        <v>1.2867</v>
      </c>
      <c r="D48" s="76">
        <v>1.39</v>
      </c>
      <c r="E48" s="76">
        <v>0.4</v>
      </c>
      <c r="F48" s="76">
        <v>1.68</v>
      </c>
      <c r="G48" s="76">
        <v>1.95</v>
      </c>
      <c r="H48" s="77">
        <v>1.88</v>
      </c>
      <c r="I48" s="76">
        <v>1.833</v>
      </c>
      <c r="J48" s="76">
        <v>1.9890000000000001</v>
      </c>
    </row>
    <row r="49" spans="1:10" x14ac:dyDescent="0.2">
      <c r="A49" s="60" t="s">
        <v>415</v>
      </c>
      <c r="B49" s="60" t="s">
        <v>416</v>
      </c>
      <c r="C49" s="76">
        <v>1.2867</v>
      </c>
      <c r="D49" s="76">
        <v>1.39</v>
      </c>
      <c r="E49" s="76">
        <v>0.4</v>
      </c>
      <c r="F49" s="76">
        <v>1.68</v>
      </c>
      <c r="G49" s="76">
        <v>1.95</v>
      </c>
      <c r="H49" s="77">
        <v>1.88</v>
      </c>
      <c r="I49" s="76">
        <v>1.833</v>
      </c>
      <c r="J49" s="76">
        <v>1.9890000000000001</v>
      </c>
    </row>
    <row r="50" spans="1:10" x14ac:dyDescent="0.2">
      <c r="A50" s="60" t="s">
        <v>417</v>
      </c>
      <c r="B50" s="60" t="s">
        <v>418</v>
      </c>
      <c r="C50" s="76">
        <v>1.2447999999999999</v>
      </c>
      <c r="D50" s="76">
        <v>1.3387</v>
      </c>
      <c r="E50" s="76">
        <v>0.3967</v>
      </c>
      <c r="F50" s="76">
        <v>1.5015000000000001</v>
      </c>
      <c r="G50" s="76">
        <v>1.8295999999999999</v>
      </c>
      <c r="H50" s="77">
        <v>1.8393040000000001</v>
      </c>
      <c r="I50" s="76">
        <v>1.833</v>
      </c>
      <c r="J50" s="76">
        <v>1.984</v>
      </c>
    </row>
    <row r="51" spans="1:10" x14ac:dyDescent="0.2">
      <c r="A51" s="60"/>
      <c r="B51" s="61"/>
      <c r="C51" s="61"/>
      <c r="D51" s="61"/>
      <c r="E51" s="61"/>
      <c r="F51" s="61"/>
      <c r="G51" s="61"/>
      <c r="H51" s="70"/>
      <c r="I51" s="61"/>
      <c r="J51" s="61"/>
    </row>
    <row r="52" spans="1:10" x14ac:dyDescent="0.2">
      <c r="A52" s="62" t="s">
        <v>419</v>
      </c>
      <c r="B52" s="62" t="s">
        <v>420</v>
      </c>
      <c r="C52" s="63">
        <v>2583</v>
      </c>
      <c r="D52" s="63">
        <v>2395</v>
      </c>
      <c r="E52" s="63">
        <v>6915</v>
      </c>
      <c r="F52" s="63">
        <v>2255</v>
      </c>
      <c r="G52" s="63">
        <v>2141</v>
      </c>
      <c r="H52" s="71">
        <v>1999</v>
      </c>
      <c r="I52" s="63"/>
      <c r="J52" s="63"/>
    </row>
    <row r="53" spans="1:10" x14ac:dyDescent="0.2">
      <c r="A53" s="60" t="s">
        <v>421</v>
      </c>
      <c r="B53" s="60" t="s">
        <v>422</v>
      </c>
      <c r="C53" s="76">
        <v>1.28</v>
      </c>
      <c r="D53" s="76">
        <v>1.39</v>
      </c>
      <c r="E53" s="76">
        <v>0.4</v>
      </c>
      <c r="F53" s="76">
        <v>1.68</v>
      </c>
      <c r="G53" s="76">
        <v>1.95</v>
      </c>
      <c r="H53" s="77">
        <v>1.88</v>
      </c>
      <c r="I53" s="76">
        <v>1.833</v>
      </c>
      <c r="J53" s="76">
        <v>1.9890000000000001</v>
      </c>
    </row>
    <row r="54" spans="1:10" x14ac:dyDescent="0.2">
      <c r="A54" s="60" t="s">
        <v>423</v>
      </c>
      <c r="B54" s="60" t="s">
        <v>424</v>
      </c>
      <c r="C54" s="76">
        <v>1.28</v>
      </c>
      <c r="D54" s="76">
        <v>1.39</v>
      </c>
      <c r="E54" s="76">
        <v>0.4</v>
      </c>
      <c r="F54" s="76">
        <v>1.68</v>
      </c>
      <c r="G54" s="76">
        <v>1.95</v>
      </c>
      <c r="H54" s="77">
        <v>1.88</v>
      </c>
      <c r="I54" s="76">
        <v>1.833</v>
      </c>
      <c r="J54" s="76">
        <v>1.9890000000000001</v>
      </c>
    </row>
    <row r="55" spans="1:10" x14ac:dyDescent="0.2">
      <c r="A55" s="60" t="s">
        <v>425</v>
      </c>
      <c r="B55" s="60" t="s">
        <v>221</v>
      </c>
      <c r="C55" s="76">
        <v>1.2383</v>
      </c>
      <c r="D55" s="76">
        <v>1.3345</v>
      </c>
      <c r="E55" s="76">
        <v>0.39600000000000002</v>
      </c>
      <c r="F55" s="76">
        <v>1.5014000000000001</v>
      </c>
      <c r="G55" s="76">
        <v>1.8294999999999999</v>
      </c>
      <c r="H55" s="77">
        <v>1.8314600000000001</v>
      </c>
      <c r="I55" s="76">
        <v>1.833</v>
      </c>
      <c r="J55" s="76">
        <v>1.984</v>
      </c>
    </row>
    <row r="56" spans="1:10" x14ac:dyDescent="0.2">
      <c r="A56" s="60"/>
      <c r="B56" s="61"/>
      <c r="C56" s="61"/>
      <c r="D56" s="61"/>
      <c r="E56" s="61"/>
      <c r="F56" s="61"/>
      <c r="G56" s="61"/>
      <c r="H56" s="70"/>
      <c r="I56" s="61"/>
      <c r="J56" s="61"/>
    </row>
    <row r="57" spans="1:10" x14ac:dyDescent="0.2">
      <c r="A57" s="60" t="s">
        <v>426</v>
      </c>
      <c r="B57" s="61"/>
      <c r="C57" s="61"/>
      <c r="D57" s="61"/>
      <c r="E57" s="61"/>
      <c r="F57" s="61"/>
      <c r="G57" s="61"/>
      <c r="H57" s="70"/>
      <c r="I57" s="61"/>
      <c r="J57" s="61"/>
    </row>
    <row r="58" spans="1:10" x14ac:dyDescent="0.2">
      <c r="A58" s="62" t="s">
        <v>427</v>
      </c>
      <c r="B58" s="62" t="s">
        <v>428</v>
      </c>
      <c r="C58" s="67" t="s">
        <v>429</v>
      </c>
      <c r="D58" s="67" t="s">
        <v>429</v>
      </c>
      <c r="E58" s="67" t="s">
        <v>429</v>
      </c>
      <c r="F58" s="67" t="s">
        <v>429</v>
      </c>
      <c r="G58" s="67" t="s">
        <v>429</v>
      </c>
      <c r="H58" s="129"/>
      <c r="I58" s="67"/>
      <c r="J58" s="67"/>
    </row>
    <row r="59" spans="1:10" x14ac:dyDescent="0.2">
      <c r="A59" s="62" t="s">
        <v>67</v>
      </c>
      <c r="B59" s="62" t="s">
        <v>67</v>
      </c>
      <c r="C59" s="63">
        <v>6046</v>
      </c>
      <c r="D59" s="63">
        <v>6269</v>
      </c>
      <c r="E59" s="63">
        <v>5792</v>
      </c>
      <c r="F59" s="63">
        <v>6649</v>
      </c>
      <c r="G59" s="63">
        <v>7394</v>
      </c>
      <c r="H59" s="71">
        <v>7206</v>
      </c>
      <c r="I59" s="63">
        <v>7149.1819999999998</v>
      </c>
      <c r="J59" s="63">
        <v>7417.5</v>
      </c>
    </row>
    <row r="60" spans="1:10" x14ac:dyDescent="0.2">
      <c r="A60" s="62" t="s">
        <v>430</v>
      </c>
      <c r="B60" s="62" t="s">
        <v>431</v>
      </c>
      <c r="C60" s="68">
        <v>49.3551</v>
      </c>
      <c r="D60" s="68">
        <v>52.517400000000002</v>
      </c>
      <c r="E60" s="68">
        <v>54.729300000000002</v>
      </c>
      <c r="F60" s="68">
        <v>53.098500000000001</v>
      </c>
      <c r="G60" s="68">
        <v>49.781199999999998</v>
      </c>
      <c r="H60" s="74">
        <v>48.997076222207099</v>
      </c>
      <c r="I60" s="68">
        <v>48.919574817673301</v>
      </c>
      <c r="J60" s="68">
        <v>49.463698146806799</v>
      </c>
    </row>
    <row r="61" spans="1:10" x14ac:dyDescent="0.2">
      <c r="A61" s="62" t="s">
        <v>432</v>
      </c>
      <c r="B61" s="62" t="s">
        <v>432</v>
      </c>
      <c r="C61" s="63">
        <v>4715</v>
      </c>
      <c r="D61" s="63">
        <v>4920</v>
      </c>
      <c r="E61" s="63">
        <v>4409</v>
      </c>
      <c r="F61" s="63">
        <v>5229</v>
      </c>
      <c r="G61" s="63">
        <v>5894</v>
      </c>
      <c r="H61" s="71"/>
      <c r="I61" s="63"/>
      <c r="J61" s="63"/>
    </row>
    <row r="62" spans="1:10" x14ac:dyDescent="0.2">
      <c r="A62" s="62" t="s">
        <v>433</v>
      </c>
      <c r="B62" s="62" t="s">
        <v>433</v>
      </c>
      <c r="C62" s="63">
        <v>4715</v>
      </c>
      <c r="D62" s="63">
        <v>4836</v>
      </c>
      <c r="E62" s="63">
        <v>4327</v>
      </c>
      <c r="F62" s="63">
        <v>5140</v>
      </c>
      <c r="G62" s="63">
        <v>5785</v>
      </c>
      <c r="H62" s="71">
        <v>5619</v>
      </c>
      <c r="I62" s="63">
        <v>5555.68</v>
      </c>
      <c r="J62" s="63">
        <v>5758.5</v>
      </c>
    </row>
    <row r="63" spans="1:10" x14ac:dyDescent="0.2">
      <c r="A63" s="62" t="s">
        <v>434</v>
      </c>
      <c r="B63" s="62" t="s">
        <v>435</v>
      </c>
      <c r="C63" s="68" t="s">
        <v>182</v>
      </c>
      <c r="D63" s="68" t="s">
        <v>182</v>
      </c>
      <c r="E63" s="68" t="s">
        <v>182</v>
      </c>
      <c r="F63" s="68" t="s">
        <v>182</v>
      </c>
      <c r="G63" s="68" t="s">
        <v>182</v>
      </c>
      <c r="H63" s="74"/>
      <c r="I63" s="68">
        <v>38.026000000000003</v>
      </c>
      <c r="J63" s="68">
        <v>38.594999999999999</v>
      </c>
    </row>
    <row r="64" spans="1:10" x14ac:dyDescent="0.2">
      <c r="A64" s="62" t="s">
        <v>436</v>
      </c>
      <c r="B64" s="62" t="s">
        <v>437</v>
      </c>
      <c r="C64" s="68">
        <v>38.489800000000002</v>
      </c>
      <c r="D64" s="68">
        <v>40.512700000000002</v>
      </c>
      <c r="E64" s="68">
        <v>40.886299999999999</v>
      </c>
      <c r="F64" s="68">
        <v>41.047800000000002</v>
      </c>
      <c r="G64" s="68">
        <v>38.948399999999999</v>
      </c>
      <c r="H64" s="74">
        <v>38.206296321479599</v>
      </c>
      <c r="I64" s="68">
        <v>38.015748294427397</v>
      </c>
      <c r="J64" s="68">
        <v>38.400634415690902</v>
      </c>
    </row>
    <row r="65" spans="1:10" x14ac:dyDescent="0.2">
      <c r="A65" s="62" t="s">
        <v>60</v>
      </c>
      <c r="B65" s="62" t="s">
        <v>438</v>
      </c>
      <c r="C65" s="68">
        <v>26.133400000000002</v>
      </c>
      <c r="D65" s="68">
        <v>26.791399999999999</v>
      </c>
      <c r="E65" s="68">
        <v>25.865500000000001</v>
      </c>
      <c r="F65" s="68">
        <v>26.979199999999999</v>
      </c>
      <c r="G65" s="68">
        <v>26.311</v>
      </c>
      <c r="H65" s="74">
        <v>25.498130142109201</v>
      </c>
      <c r="I65" s="68">
        <v>25.285021630400198</v>
      </c>
      <c r="J65" s="68">
        <v>25.590933649225299</v>
      </c>
    </row>
    <row r="66" spans="1:10" x14ac:dyDescent="0.2">
      <c r="A66" s="62" t="s">
        <v>439</v>
      </c>
      <c r="B66" s="62" t="s">
        <v>440</v>
      </c>
      <c r="C66" s="68">
        <v>544444.44440000004</v>
      </c>
      <c r="D66" s="68">
        <v>568428.57140000002</v>
      </c>
      <c r="E66" s="68">
        <v>548853.85329999996</v>
      </c>
      <c r="F66" s="68">
        <v>598594.57909999997</v>
      </c>
      <c r="G66" s="68">
        <v>658903.38040000002</v>
      </c>
      <c r="H66" s="74">
        <v>646997.52428353298</v>
      </c>
      <c r="I66" s="68"/>
      <c r="J66" s="68"/>
    </row>
    <row r="67" spans="1:10" x14ac:dyDescent="0.2">
      <c r="A67" s="62" t="s">
        <v>441</v>
      </c>
      <c r="B67" s="62" t="s">
        <v>442</v>
      </c>
      <c r="C67" s="68">
        <v>0.29330000000000001</v>
      </c>
      <c r="D67" s="68">
        <v>0.96</v>
      </c>
      <c r="E67" s="68">
        <v>0.11600000000000001</v>
      </c>
      <c r="F67" s="68">
        <v>0.372</v>
      </c>
      <c r="G67" s="68">
        <v>0.4</v>
      </c>
      <c r="H67" s="74">
        <v>0.43</v>
      </c>
      <c r="I67" s="68">
        <v>0.442</v>
      </c>
      <c r="J67" s="68">
        <v>0.46800000000000003</v>
      </c>
    </row>
    <row r="68" spans="1:10" x14ac:dyDescent="0.2">
      <c r="A68" s="62" t="s">
        <v>443</v>
      </c>
      <c r="B68" s="62" t="s">
        <v>444</v>
      </c>
      <c r="C68" s="63">
        <v>751</v>
      </c>
      <c r="D68" s="63">
        <v>2293.44</v>
      </c>
      <c r="E68" s="63">
        <v>800.4</v>
      </c>
      <c r="F68" s="63">
        <v>837</v>
      </c>
      <c r="G68" s="63">
        <v>854.4</v>
      </c>
      <c r="H68" s="71">
        <v>875.98</v>
      </c>
      <c r="I68" s="63"/>
      <c r="J68" s="63"/>
    </row>
    <row r="69" spans="1:10" x14ac:dyDescent="0.2">
      <c r="A69" s="62" t="s">
        <v>445</v>
      </c>
      <c r="B69" s="62" t="s">
        <v>446</v>
      </c>
      <c r="C69" s="63">
        <v>2738</v>
      </c>
      <c r="D69" s="63">
        <v>2616</v>
      </c>
      <c r="E69" s="63">
        <v>2275</v>
      </c>
      <c r="F69" s="63">
        <v>2550</v>
      </c>
      <c r="G69" s="63">
        <v>2861</v>
      </c>
      <c r="H69" s="71">
        <v>2942</v>
      </c>
      <c r="I69" s="63"/>
      <c r="J69" s="63"/>
    </row>
    <row r="70" spans="1:10" x14ac:dyDescent="0.2">
      <c r="A70" s="62" t="s">
        <v>447</v>
      </c>
      <c r="B70" s="62" t="s">
        <v>448</v>
      </c>
      <c r="C70" s="63">
        <v>1331</v>
      </c>
      <c r="D70" s="63">
        <v>1349</v>
      </c>
      <c r="E70" s="63">
        <v>1383</v>
      </c>
      <c r="F70" s="63">
        <v>1420</v>
      </c>
      <c r="G70" s="63">
        <v>1500</v>
      </c>
      <c r="H70" s="71"/>
      <c r="I70" s="63"/>
      <c r="J70" s="63"/>
    </row>
    <row r="71" spans="1:10" x14ac:dyDescent="0.2">
      <c r="A71" s="62" t="s">
        <v>449</v>
      </c>
      <c r="B71" s="62" t="s">
        <v>450</v>
      </c>
      <c r="C71" s="63">
        <v>66</v>
      </c>
      <c r="D71" s="63">
        <v>84</v>
      </c>
      <c r="E71" s="63">
        <v>82</v>
      </c>
      <c r="F71" s="63">
        <v>89</v>
      </c>
      <c r="G71" s="63">
        <v>109</v>
      </c>
      <c r="H71" s="71"/>
      <c r="I71" s="63"/>
      <c r="J71" s="63"/>
    </row>
    <row r="72" spans="1:10" x14ac:dyDescent="0.2">
      <c r="A72" s="69" t="s">
        <v>249</v>
      </c>
      <c r="B72" s="69"/>
      <c r="C72" s="69" t="s">
        <v>278</v>
      </c>
      <c r="D72" s="69"/>
      <c r="E72" s="69"/>
      <c r="F72" s="69"/>
      <c r="G72" s="69"/>
      <c r="H72" s="69"/>
      <c r="I72" s="69"/>
      <c r="J72" s="6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499A-34A1-44BD-87D9-D96F1728A1D3}">
  <dimension ref="A1:G89"/>
  <sheetViews>
    <sheetView zoomScale="80" zoomScaleNormal="80" workbookViewId="0">
      <selection activeCell="L17" sqref="L17"/>
    </sheetView>
  </sheetViews>
  <sheetFormatPr baseColWidth="10" defaultColWidth="8.83203125" defaultRowHeight="15" x14ac:dyDescent="0.2"/>
  <cols>
    <col min="1" max="1" width="52.6640625" bestFit="1" customWidth="1"/>
  </cols>
  <sheetData>
    <row r="1" spans="1:7" ht="20" x14ac:dyDescent="0.2">
      <c r="A1" s="123" t="s">
        <v>451</v>
      </c>
      <c r="B1" s="123"/>
      <c r="C1" s="123"/>
      <c r="D1" s="123"/>
      <c r="E1" s="123"/>
      <c r="F1" s="123"/>
      <c r="G1" s="123"/>
    </row>
    <row r="2" spans="1:7" x14ac:dyDescent="0.2">
      <c r="A2" s="124"/>
      <c r="B2" s="124"/>
      <c r="C2" s="124"/>
      <c r="D2" s="124"/>
      <c r="E2" s="124"/>
      <c r="F2" s="124"/>
      <c r="G2" s="124"/>
    </row>
    <row r="3" spans="1:7" x14ac:dyDescent="0.2">
      <c r="A3" s="125" t="s">
        <v>89</v>
      </c>
      <c r="B3" s="125"/>
      <c r="C3" s="126" t="s">
        <v>81</v>
      </c>
      <c r="D3" s="126" t="s">
        <v>82</v>
      </c>
      <c r="E3" s="126" t="s">
        <v>83</v>
      </c>
      <c r="F3" s="126" t="s">
        <v>84</v>
      </c>
      <c r="G3" s="126" t="s">
        <v>85</v>
      </c>
    </row>
    <row r="4" spans="1:7" x14ac:dyDescent="0.2">
      <c r="A4" s="127" t="s">
        <v>121</v>
      </c>
      <c r="B4" s="127"/>
      <c r="C4" s="128" t="s">
        <v>122</v>
      </c>
      <c r="D4" s="128" t="s">
        <v>123</v>
      </c>
      <c r="E4" s="128" t="s">
        <v>124</v>
      </c>
      <c r="F4" s="128" t="s">
        <v>125</v>
      </c>
      <c r="G4" s="128" t="s">
        <v>126</v>
      </c>
    </row>
    <row r="5" spans="1:7" x14ac:dyDescent="0.2">
      <c r="A5" s="60" t="s">
        <v>216</v>
      </c>
      <c r="B5" s="61"/>
      <c r="C5" s="61"/>
      <c r="D5" s="61"/>
      <c r="E5" s="61"/>
      <c r="F5" s="61"/>
      <c r="G5" s="61"/>
    </row>
    <row r="6" spans="1:7" x14ac:dyDescent="0.2">
      <c r="A6" s="62" t="s">
        <v>452</v>
      </c>
      <c r="B6" s="62" t="s">
        <v>453</v>
      </c>
      <c r="C6" s="63">
        <v>1111</v>
      </c>
      <c r="D6" s="63">
        <v>1954</v>
      </c>
      <c r="E6" s="63">
        <v>3131</v>
      </c>
      <c r="F6" s="63">
        <v>2316</v>
      </c>
      <c r="G6" s="63">
        <v>2087</v>
      </c>
    </row>
    <row r="7" spans="1:7" x14ac:dyDescent="0.2">
      <c r="A7" s="62" t="s">
        <v>454</v>
      </c>
      <c r="B7" s="62" t="s">
        <v>455</v>
      </c>
      <c r="C7" s="63">
        <v>858</v>
      </c>
      <c r="D7" s="63">
        <v>958</v>
      </c>
      <c r="E7" s="63">
        <v>3129</v>
      </c>
      <c r="F7" s="63">
        <v>2239</v>
      </c>
      <c r="G7" s="63">
        <v>1958</v>
      </c>
    </row>
    <row r="8" spans="1:7" x14ac:dyDescent="0.2">
      <c r="A8" s="62" t="s">
        <v>456</v>
      </c>
      <c r="B8" s="62" t="s">
        <v>457</v>
      </c>
      <c r="C8" s="63">
        <v>253</v>
      </c>
      <c r="D8" s="63">
        <v>996</v>
      </c>
      <c r="E8" s="63">
        <v>2</v>
      </c>
      <c r="F8" s="63">
        <v>77</v>
      </c>
      <c r="G8" s="63">
        <v>129</v>
      </c>
    </row>
    <row r="9" spans="1:7" x14ac:dyDescent="0.2">
      <c r="A9" s="62" t="s">
        <v>458</v>
      </c>
      <c r="B9" s="62" t="s">
        <v>459</v>
      </c>
      <c r="C9" s="63">
        <v>1010</v>
      </c>
      <c r="D9" s="63">
        <v>986</v>
      </c>
      <c r="E9" s="63">
        <v>912</v>
      </c>
      <c r="F9" s="63">
        <v>1148</v>
      </c>
      <c r="G9" s="63">
        <v>1313</v>
      </c>
    </row>
    <row r="10" spans="1:7" x14ac:dyDescent="0.2">
      <c r="A10" s="62" t="s">
        <v>460</v>
      </c>
      <c r="B10" s="62" t="s">
        <v>461</v>
      </c>
      <c r="C10" s="63">
        <v>1010</v>
      </c>
      <c r="D10" s="63">
        <v>986</v>
      </c>
      <c r="E10" s="63">
        <v>912</v>
      </c>
      <c r="F10" s="63">
        <v>1148</v>
      </c>
      <c r="G10" s="63">
        <v>1313</v>
      </c>
    </row>
    <row r="11" spans="1:7" x14ac:dyDescent="0.2">
      <c r="A11" s="62" t="s">
        <v>462</v>
      </c>
      <c r="B11" s="62" t="s">
        <v>463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</row>
    <row r="12" spans="1:7" x14ac:dyDescent="0.2">
      <c r="A12" s="62" t="s">
        <v>464</v>
      </c>
      <c r="B12" s="62" t="s">
        <v>465</v>
      </c>
      <c r="C12" s="63">
        <v>263</v>
      </c>
      <c r="D12" s="63">
        <v>261</v>
      </c>
      <c r="E12" s="63">
        <v>302</v>
      </c>
      <c r="F12" s="63">
        <v>339</v>
      </c>
      <c r="G12" s="63">
        <v>341</v>
      </c>
    </row>
    <row r="13" spans="1:7" x14ac:dyDescent="0.2">
      <c r="A13" s="62" t="s">
        <v>466</v>
      </c>
      <c r="B13" s="62" t="s">
        <v>467</v>
      </c>
      <c r="C13" s="63">
        <v>181</v>
      </c>
      <c r="D13" s="63">
        <v>77</v>
      </c>
      <c r="E13" s="63">
        <v>96</v>
      </c>
      <c r="F13" s="63">
        <v>70</v>
      </c>
      <c r="G13" s="63">
        <v>108</v>
      </c>
    </row>
    <row r="14" spans="1:7" x14ac:dyDescent="0.2">
      <c r="A14" s="62" t="s">
        <v>468</v>
      </c>
      <c r="B14" s="62" t="s">
        <v>469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</row>
    <row r="15" spans="1:7" x14ac:dyDescent="0.2">
      <c r="A15" s="62" t="s">
        <v>470</v>
      </c>
      <c r="B15" s="62" t="s">
        <v>471</v>
      </c>
      <c r="C15" s="63">
        <v>181</v>
      </c>
      <c r="D15" s="63">
        <v>77</v>
      </c>
      <c r="E15" s="63">
        <v>96</v>
      </c>
      <c r="F15" s="63">
        <v>70</v>
      </c>
      <c r="G15" s="63">
        <v>108</v>
      </c>
    </row>
    <row r="16" spans="1:7" x14ac:dyDescent="0.2">
      <c r="A16" s="60" t="s">
        <v>472</v>
      </c>
      <c r="B16" s="60" t="s">
        <v>473</v>
      </c>
      <c r="C16" s="64">
        <v>2565</v>
      </c>
      <c r="D16" s="64">
        <v>3278</v>
      </c>
      <c r="E16" s="64">
        <v>4441</v>
      </c>
      <c r="F16" s="64">
        <v>3873</v>
      </c>
      <c r="G16" s="64">
        <v>3849</v>
      </c>
    </row>
    <row r="17" spans="1:7" x14ac:dyDescent="0.2">
      <c r="A17" s="62" t="s">
        <v>474</v>
      </c>
      <c r="B17" s="62" t="s">
        <v>475</v>
      </c>
      <c r="C17" s="63">
        <v>31998</v>
      </c>
      <c r="D17" s="63">
        <v>32700</v>
      </c>
      <c r="E17" s="63">
        <v>32916</v>
      </c>
      <c r="F17" s="63">
        <v>33516</v>
      </c>
      <c r="G17" s="63">
        <v>34747</v>
      </c>
    </row>
    <row r="18" spans="1:7" x14ac:dyDescent="0.2">
      <c r="A18" s="62" t="s">
        <v>476</v>
      </c>
      <c r="B18" s="62" t="s">
        <v>477</v>
      </c>
      <c r="C18" s="63">
        <v>44805</v>
      </c>
      <c r="D18" s="63">
        <v>45632</v>
      </c>
      <c r="E18" s="63">
        <v>46002</v>
      </c>
      <c r="F18" s="63">
        <v>47006</v>
      </c>
      <c r="G18" s="63">
        <v>48610</v>
      </c>
    </row>
    <row r="19" spans="1:7" x14ac:dyDescent="0.2">
      <c r="A19" s="62" t="s">
        <v>478</v>
      </c>
      <c r="B19" s="62" t="s">
        <v>479</v>
      </c>
      <c r="C19" s="63">
        <v>12807</v>
      </c>
      <c r="D19" s="63">
        <v>12932</v>
      </c>
      <c r="E19" s="63">
        <v>13086</v>
      </c>
      <c r="F19" s="63">
        <v>13490</v>
      </c>
      <c r="G19" s="63">
        <v>13863</v>
      </c>
    </row>
    <row r="20" spans="1:7" x14ac:dyDescent="0.2">
      <c r="A20" s="62" t="s">
        <v>480</v>
      </c>
      <c r="B20" s="62" t="s">
        <v>481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</row>
    <row r="21" spans="1:7" x14ac:dyDescent="0.2">
      <c r="A21" s="62" t="s">
        <v>482</v>
      </c>
      <c r="B21" s="62" t="s">
        <v>483</v>
      </c>
      <c r="C21" s="63">
        <v>2166</v>
      </c>
      <c r="D21" s="63">
        <v>2279</v>
      </c>
      <c r="E21" s="63">
        <v>2436</v>
      </c>
      <c r="F21" s="63">
        <v>3142</v>
      </c>
      <c r="G21" s="63">
        <v>3316</v>
      </c>
    </row>
    <row r="22" spans="1:7" x14ac:dyDescent="0.2">
      <c r="A22" s="62" t="s">
        <v>484</v>
      </c>
      <c r="B22" s="62" t="s">
        <v>485</v>
      </c>
      <c r="C22" s="63">
        <v>0</v>
      </c>
      <c r="D22" s="63">
        <v>0</v>
      </c>
      <c r="E22" s="63">
        <v>63</v>
      </c>
      <c r="F22" s="63">
        <v>451</v>
      </c>
      <c r="G22" s="63">
        <v>502</v>
      </c>
    </row>
    <row r="23" spans="1:7" x14ac:dyDescent="0.2">
      <c r="A23" s="65" t="s">
        <v>486</v>
      </c>
      <c r="B23" s="65" t="s">
        <v>487</v>
      </c>
      <c r="C23" s="66">
        <v>0</v>
      </c>
      <c r="D23" s="66">
        <v>0</v>
      </c>
      <c r="E23" s="66">
        <v>63</v>
      </c>
      <c r="F23" s="66">
        <v>276</v>
      </c>
      <c r="G23" s="66">
        <v>319</v>
      </c>
    </row>
    <row r="24" spans="1:7" x14ac:dyDescent="0.2">
      <c r="A24" s="65" t="s">
        <v>488</v>
      </c>
      <c r="B24" s="65" t="s">
        <v>489</v>
      </c>
      <c r="C24" s="66">
        <v>0</v>
      </c>
      <c r="D24" s="66">
        <v>0</v>
      </c>
      <c r="E24" s="66">
        <v>0</v>
      </c>
      <c r="F24" s="66">
        <v>175</v>
      </c>
      <c r="G24" s="66">
        <v>183</v>
      </c>
    </row>
    <row r="25" spans="1:7" x14ac:dyDescent="0.2">
      <c r="A25" s="62" t="s">
        <v>468</v>
      </c>
      <c r="B25" s="62" t="s">
        <v>490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</row>
    <row r="26" spans="1:7" x14ac:dyDescent="0.2">
      <c r="A26" s="62" t="s">
        <v>491</v>
      </c>
      <c r="B26" s="62" t="s">
        <v>492</v>
      </c>
      <c r="C26" s="63">
        <v>13</v>
      </c>
      <c r="D26" s="63">
        <v>25</v>
      </c>
      <c r="E26" s="63">
        <v>29</v>
      </c>
      <c r="F26" s="63">
        <v>255</v>
      </c>
      <c r="G26" s="63">
        <v>164</v>
      </c>
    </row>
    <row r="27" spans="1:7" x14ac:dyDescent="0.2">
      <c r="A27" s="62" t="s">
        <v>493</v>
      </c>
      <c r="B27" s="62" t="s">
        <v>494</v>
      </c>
      <c r="C27" s="63">
        <v>1779</v>
      </c>
      <c r="D27" s="63">
        <v>1879</v>
      </c>
      <c r="E27" s="63">
        <v>1985</v>
      </c>
      <c r="F27" s="63">
        <v>2099</v>
      </c>
      <c r="G27" s="63">
        <v>2292</v>
      </c>
    </row>
    <row r="28" spans="1:7" x14ac:dyDescent="0.2">
      <c r="A28" s="62" t="s">
        <v>495</v>
      </c>
      <c r="B28" s="62" t="s">
        <v>496</v>
      </c>
      <c r="C28" s="63">
        <v>374</v>
      </c>
      <c r="D28" s="63">
        <v>375</v>
      </c>
      <c r="E28" s="63">
        <v>359</v>
      </c>
      <c r="F28" s="63">
        <v>337</v>
      </c>
      <c r="G28" s="63">
        <v>358</v>
      </c>
    </row>
    <row r="29" spans="1:7" x14ac:dyDescent="0.2">
      <c r="A29" s="60" t="s">
        <v>497</v>
      </c>
      <c r="B29" s="60" t="s">
        <v>498</v>
      </c>
      <c r="C29" s="64">
        <v>34164</v>
      </c>
      <c r="D29" s="64">
        <v>34979</v>
      </c>
      <c r="E29" s="64">
        <v>35352</v>
      </c>
      <c r="F29" s="64">
        <v>36658</v>
      </c>
      <c r="G29" s="64">
        <v>38063</v>
      </c>
    </row>
    <row r="30" spans="1:7" x14ac:dyDescent="0.2">
      <c r="A30" s="60" t="s">
        <v>216</v>
      </c>
      <c r="B30" s="60" t="s">
        <v>499</v>
      </c>
      <c r="C30" s="64">
        <v>36729</v>
      </c>
      <c r="D30" s="64">
        <v>38257</v>
      </c>
      <c r="E30" s="64">
        <v>39793</v>
      </c>
      <c r="F30" s="64">
        <v>40531</v>
      </c>
      <c r="G30" s="64">
        <v>41912</v>
      </c>
    </row>
    <row r="31" spans="1:7" x14ac:dyDescent="0.2">
      <c r="A31" s="60"/>
      <c r="B31" s="61"/>
      <c r="C31" s="61"/>
      <c r="D31" s="61"/>
      <c r="E31" s="61"/>
      <c r="F31" s="61"/>
      <c r="G31" s="61"/>
    </row>
    <row r="32" spans="1:7" x14ac:dyDescent="0.2">
      <c r="A32" s="60" t="s">
        <v>500</v>
      </c>
      <c r="B32" s="61"/>
      <c r="C32" s="61"/>
      <c r="D32" s="61"/>
      <c r="E32" s="61"/>
      <c r="F32" s="61"/>
      <c r="G32" s="61"/>
    </row>
    <row r="33" spans="1:7" x14ac:dyDescent="0.2">
      <c r="A33" s="62" t="s">
        <v>501</v>
      </c>
      <c r="B33" s="62" t="s">
        <v>502</v>
      </c>
      <c r="C33" s="63">
        <v>1718</v>
      </c>
      <c r="D33" s="63">
        <v>1701</v>
      </c>
      <c r="E33" s="63">
        <v>1454</v>
      </c>
      <c r="F33" s="63">
        <v>1845</v>
      </c>
      <c r="G33" s="63">
        <v>2092</v>
      </c>
    </row>
    <row r="34" spans="1:7" x14ac:dyDescent="0.2">
      <c r="A34" s="62" t="s">
        <v>503</v>
      </c>
      <c r="B34" s="62" t="s">
        <v>504</v>
      </c>
      <c r="C34" s="63">
        <v>949</v>
      </c>
      <c r="D34" s="63">
        <v>1043</v>
      </c>
      <c r="E34" s="63">
        <v>809</v>
      </c>
      <c r="F34" s="63">
        <v>963</v>
      </c>
      <c r="G34" s="63">
        <v>1130</v>
      </c>
    </row>
    <row r="35" spans="1:7" x14ac:dyDescent="0.2">
      <c r="A35" s="62" t="s">
        <v>505</v>
      </c>
      <c r="B35" s="62" t="s">
        <v>506</v>
      </c>
      <c r="C35" s="63">
        <v>106</v>
      </c>
      <c r="D35" s="63">
        <v>69</v>
      </c>
      <c r="E35" s="63">
        <v>73</v>
      </c>
      <c r="F35" s="63">
        <v>134</v>
      </c>
      <c r="G35" s="63">
        <v>111</v>
      </c>
    </row>
    <row r="36" spans="1:7" x14ac:dyDescent="0.2">
      <c r="A36" s="62" t="s">
        <v>507</v>
      </c>
      <c r="B36" s="62" t="s">
        <v>508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</row>
    <row r="37" spans="1:7" x14ac:dyDescent="0.2">
      <c r="A37" s="62" t="s">
        <v>509</v>
      </c>
      <c r="B37" s="62" t="s">
        <v>510</v>
      </c>
      <c r="C37" s="63">
        <v>663</v>
      </c>
      <c r="D37" s="63">
        <v>589</v>
      </c>
      <c r="E37" s="63">
        <v>572</v>
      </c>
      <c r="F37" s="63">
        <v>748</v>
      </c>
      <c r="G37" s="63">
        <v>851</v>
      </c>
    </row>
    <row r="38" spans="1:7" x14ac:dyDescent="0.2">
      <c r="A38" s="62" t="s">
        <v>511</v>
      </c>
      <c r="B38" s="62" t="s">
        <v>219</v>
      </c>
      <c r="C38" s="63">
        <v>18</v>
      </c>
      <c r="D38" s="63">
        <v>302</v>
      </c>
      <c r="E38" s="63">
        <v>446</v>
      </c>
      <c r="F38" s="63">
        <v>245</v>
      </c>
      <c r="G38" s="63">
        <v>220</v>
      </c>
    </row>
    <row r="39" spans="1:7" x14ac:dyDescent="0.2">
      <c r="A39" s="62" t="s">
        <v>512</v>
      </c>
      <c r="B39" s="62" t="s">
        <v>513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</row>
    <row r="40" spans="1:7" x14ac:dyDescent="0.2">
      <c r="A40" s="62" t="s">
        <v>514</v>
      </c>
      <c r="B40" s="62" t="s">
        <v>515</v>
      </c>
      <c r="C40" s="63">
        <v>0</v>
      </c>
      <c r="D40" s="63">
        <v>57</v>
      </c>
      <c r="E40" s="63">
        <v>45</v>
      </c>
      <c r="F40" s="63">
        <v>64</v>
      </c>
      <c r="G40" s="63">
        <v>69</v>
      </c>
    </row>
    <row r="41" spans="1:7" x14ac:dyDescent="0.2">
      <c r="A41" s="65" t="s">
        <v>516</v>
      </c>
      <c r="B41" s="65" t="s">
        <v>517</v>
      </c>
      <c r="C41" s="66">
        <v>0</v>
      </c>
      <c r="D41" s="66">
        <v>0</v>
      </c>
      <c r="E41" s="66" t="s">
        <v>182</v>
      </c>
      <c r="F41" s="66" t="s">
        <v>182</v>
      </c>
      <c r="G41" s="66" t="s">
        <v>182</v>
      </c>
    </row>
    <row r="42" spans="1:7" x14ac:dyDescent="0.2">
      <c r="A42" s="65" t="s">
        <v>518</v>
      </c>
      <c r="B42" s="65" t="s">
        <v>519</v>
      </c>
      <c r="C42" s="66" t="s">
        <v>182</v>
      </c>
      <c r="D42" s="66">
        <v>57</v>
      </c>
      <c r="E42" s="66">
        <v>45</v>
      </c>
      <c r="F42" s="66">
        <v>64</v>
      </c>
      <c r="G42" s="66">
        <v>69</v>
      </c>
    </row>
    <row r="43" spans="1:7" x14ac:dyDescent="0.2">
      <c r="A43" s="62" t="s">
        <v>520</v>
      </c>
      <c r="B43" s="62" t="s">
        <v>521</v>
      </c>
      <c r="C43" s="63">
        <v>18</v>
      </c>
      <c r="D43" s="63">
        <v>245</v>
      </c>
      <c r="E43" s="63">
        <v>401</v>
      </c>
      <c r="F43" s="63">
        <v>181</v>
      </c>
      <c r="G43" s="63">
        <v>151</v>
      </c>
    </row>
    <row r="44" spans="1:7" x14ac:dyDescent="0.2">
      <c r="A44" s="62" t="s">
        <v>522</v>
      </c>
      <c r="B44" s="62" t="s">
        <v>523</v>
      </c>
      <c r="C44" s="63">
        <v>179</v>
      </c>
      <c r="D44" s="63">
        <v>148</v>
      </c>
      <c r="E44" s="63">
        <v>119</v>
      </c>
      <c r="F44" s="63">
        <v>143</v>
      </c>
      <c r="G44" s="63">
        <v>159</v>
      </c>
    </row>
    <row r="45" spans="1:7" x14ac:dyDescent="0.2">
      <c r="A45" s="62" t="s">
        <v>524</v>
      </c>
      <c r="B45" s="62" t="s">
        <v>525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</row>
    <row r="46" spans="1:7" x14ac:dyDescent="0.2">
      <c r="A46" s="62" t="s">
        <v>526</v>
      </c>
      <c r="B46" s="62" t="s">
        <v>527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</row>
    <row r="47" spans="1:7" x14ac:dyDescent="0.2">
      <c r="A47" s="62" t="s">
        <v>528</v>
      </c>
      <c r="B47" s="62" t="s">
        <v>529</v>
      </c>
      <c r="C47" s="63">
        <v>179</v>
      </c>
      <c r="D47" s="63">
        <v>148</v>
      </c>
      <c r="E47" s="63">
        <v>119</v>
      </c>
      <c r="F47" s="63">
        <v>143</v>
      </c>
      <c r="G47" s="63">
        <v>159</v>
      </c>
    </row>
    <row r="48" spans="1:7" x14ac:dyDescent="0.2">
      <c r="A48" s="60" t="s">
        <v>530</v>
      </c>
      <c r="B48" s="60" t="s">
        <v>531</v>
      </c>
      <c r="C48" s="64">
        <v>1915</v>
      </c>
      <c r="D48" s="64">
        <v>2151</v>
      </c>
      <c r="E48" s="64">
        <v>2019</v>
      </c>
      <c r="F48" s="64">
        <v>2233</v>
      </c>
      <c r="G48" s="64">
        <v>2471</v>
      </c>
    </row>
    <row r="49" spans="1:7" x14ac:dyDescent="0.2">
      <c r="A49" s="62" t="s">
        <v>532</v>
      </c>
      <c r="B49" s="62" t="s">
        <v>225</v>
      </c>
      <c r="C49" s="63">
        <v>14739</v>
      </c>
      <c r="D49" s="63">
        <v>16486</v>
      </c>
      <c r="E49" s="63">
        <v>16759</v>
      </c>
      <c r="F49" s="63">
        <v>16663</v>
      </c>
      <c r="G49" s="63">
        <v>18384</v>
      </c>
    </row>
    <row r="50" spans="1:7" x14ac:dyDescent="0.2">
      <c r="A50" s="62" t="s">
        <v>533</v>
      </c>
      <c r="B50" s="62" t="s">
        <v>534</v>
      </c>
      <c r="C50" s="63">
        <v>14735</v>
      </c>
      <c r="D50" s="63">
        <v>15989</v>
      </c>
      <c r="E50" s="63">
        <v>16301</v>
      </c>
      <c r="F50" s="63">
        <v>16138</v>
      </c>
      <c r="G50" s="63">
        <v>17867</v>
      </c>
    </row>
    <row r="51" spans="1:7" x14ac:dyDescent="0.2">
      <c r="A51" s="62" t="s">
        <v>535</v>
      </c>
      <c r="B51" s="62" t="s">
        <v>536</v>
      </c>
      <c r="C51" s="63">
        <v>4</v>
      </c>
      <c r="D51" s="63">
        <v>497</v>
      </c>
      <c r="E51" s="63">
        <v>458</v>
      </c>
      <c r="F51" s="63">
        <v>525</v>
      </c>
      <c r="G51" s="63">
        <v>517</v>
      </c>
    </row>
    <row r="52" spans="1:7" x14ac:dyDescent="0.2">
      <c r="A52" s="65" t="s">
        <v>537</v>
      </c>
      <c r="B52" s="65" t="s">
        <v>538</v>
      </c>
      <c r="C52" s="66">
        <v>4</v>
      </c>
      <c r="D52" s="66">
        <v>4</v>
      </c>
      <c r="E52" s="66">
        <v>3</v>
      </c>
      <c r="F52" s="66">
        <v>47</v>
      </c>
      <c r="G52" s="66">
        <v>29</v>
      </c>
    </row>
    <row r="53" spans="1:7" x14ac:dyDescent="0.2">
      <c r="A53" s="65" t="s">
        <v>539</v>
      </c>
      <c r="B53" s="65" t="s">
        <v>540</v>
      </c>
      <c r="C53" s="66" t="s">
        <v>182</v>
      </c>
      <c r="D53" s="66">
        <v>493</v>
      </c>
      <c r="E53" s="66">
        <v>455</v>
      </c>
      <c r="F53" s="66">
        <v>478</v>
      </c>
      <c r="G53" s="66">
        <v>488</v>
      </c>
    </row>
    <row r="54" spans="1:7" x14ac:dyDescent="0.2">
      <c r="A54" s="62" t="s">
        <v>541</v>
      </c>
      <c r="B54" s="62" t="s">
        <v>542</v>
      </c>
      <c r="C54" s="63">
        <v>7495</v>
      </c>
      <c r="D54" s="63">
        <v>7757</v>
      </c>
      <c r="E54" s="63">
        <v>7905</v>
      </c>
      <c r="F54" s="63">
        <v>8135</v>
      </c>
      <c r="G54" s="63">
        <v>8432</v>
      </c>
    </row>
    <row r="55" spans="1:7" x14ac:dyDescent="0.2">
      <c r="A55" s="62" t="s">
        <v>543</v>
      </c>
      <c r="B55" s="62" t="s">
        <v>544</v>
      </c>
      <c r="C55" s="63">
        <v>211</v>
      </c>
      <c r="D55" s="63">
        <v>205</v>
      </c>
      <c r="E55" s="63">
        <v>224</v>
      </c>
      <c r="F55" s="63">
        <v>250</v>
      </c>
      <c r="G55" s="63">
        <v>292</v>
      </c>
    </row>
    <row r="56" spans="1:7" x14ac:dyDescent="0.2">
      <c r="A56" s="62" t="s">
        <v>545</v>
      </c>
      <c r="B56" s="62" t="s">
        <v>546</v>
      </c>
      <c r="C56" s="63">
        <v>408</v>
      </c>
      <c r="D56" s="63">
        <v>402</v>
      </c>
      <c r="E56" s="63">
        <v>349</v>
      </c>
      <c r="F56" s="63">
        <v>244</v>
      </c>
      <c r="G56" s="63">
        <v>188</v>
      </c>
    </row>
    <row r="57" spans="1:7" x14ac:dyDescent="0.2">
      <c r="A57" s="62" t="s">
        <v>524</v>
      </c>
      <c r="B57" s="62" t="s">
        <v>547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</row>
    <row r="58" spans="1:7" x14ac:dyDescent="0.2">
      <c r="A58" s="62" t="s">
        <v>548</v>
      </c>
      <c r="B58" s="62" t="s">
        <v>549</v>
      </c>
      <c r="C58" s="63">
        <v>6690</v>
      </c>
      <c r="D58" s="63">
        <v>6961</v>
      </c>
      <c r="E58" s="63">
        <v>7168</v>
      </c>
      <c r="F58" s="63">
        <v>7383</v>
      </c>
      <c r="G58" s="63">
        <v>7569</v>
      </c>
    </row>
    <row r="59" spans="1:7" x14ac:dyDescent="0.2">
      <c r="A59" s="62" t="s">
        <v>526</v>
      </c>
      <c r="B59" s="62" t="s">
        <v>550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</row>
    <row r="60" spans="1:7" x14ac:dyDescent="0.2">
      <c r="A60" s="62" t="s">
        <v>551</v>
      </c>
      <c r="B60" s="62" t="s">
        <v>552</v>
      </c>
      <c r="C60" s="63">
        <v>186</v>
      </c>
      <c r="D60" s="63">
        <v>189</v>
      </c>
      <c r="E60" s="63">
        <v>164</v>
      </c>
      <c r="F60" s="63">
        <v>258</v>
      </c>
      <c r="G60" s="63">
        <v>383</v>
      </c>
    </row>
    <row r="61" spans="1:7" x14ac:dyDescent="0.2">
      <c r="A61" s="60" t="s">
        <v>553</v>
      </c>
      <c r="B61" s="60" t="s">
        <v>554</v>
      </c>
      <c r="C61" s="64">
        <v>22234</v>
      </c>
      <c r="D61" s="64">
        <v>24243</v>
      </c>
      <c r="E61" s="64">
        <v>24664</v>
      </c>
      <c r="F61" s="64">
        <v>24798</v>
      </c>
      <c r="G61" s="64">
        <v>26816</v>
      </c>
    </row>
    <row r="62" spans="1:7" x14ac:dyDescent="0.2">
      <c r="A62" s="60" t="s">
        <v>555</v>
      </c>
      <c r="B62" s="60" t="s">
        <v>556</v>
      </c>
      <c r="C62" s="64">
        <v>24149</v>
      </c>
      <c r="D62" s="64">
        <v>26394</v>
      </c>
      <c r="E62" s="64">
        <v>26683</v>
      </c>
      <c r="F62" s="64">
        <v>27031</v>
      </c>
      <c r="G62" s="64">
        <v>29287</v>
      </c>
    </row>
    <row r="63" spans="1:7" x14ac:dyDescent="0.2">
      <c r="A63" s="62" t="s">
        <v>557</v>
      </c>
      <c r="B63" s="62" t="s">
        <v>229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</row>
    <row r="64" spans="1:7" x14ac:dyDescent="0.2">
      <c r="A64" s="62" t="s">
        <v>558</v>
      </c>
      <c r="B64" s="62" t="s">
        <v>559</v>
      </c>
      <c r="C64" s="63">
        <v>1067</v>
      </c>
      <c r="D64" s="63">
        <v>1119</v>
      </c>
      <c r="E64" s="63">
        <v>2440</v>
      </c>
      <c r="F64" s="63">
        <v>2268</v>
      </c>
      <c r="G64" s="63">
        <v>2640</v>
      </c>
    </row>
    <row r="65" spans="1:7" x14ac:dyDescent="0.2">
      <c r="A65" s="62" t="s">
        <v>560</v>
      </c>
      <c r="B65" s="62" t="s">
        <v>561</v>
      </c>
      <c r="C65" s="63">
        <v>818.18</v>
      </c>
      <c r="D65" s="63">
        <v>773.471</v>
      </c>
      <c r="E65" s="63">
        <v>2288</v>
      </c>
      <c r="F65" s="63">
        <v>2202</v>
      </c>
      <c r="G65" s="63">
        <v>2066</v>
      </c>
    </row>
    <row r="66" spans="1:7" x14ac:dyDescent="0.2">
      <c r="A66" s="62" t="s">
        <v>562</v>
      </c>
      <c r="B66" s="62" t="s">
        <v>563</v>
      </c>
      <c r="C66" s="63">
        <v>248.82</v>
      </c>
      <c r="D66" s="63">
        <v>345.529</v>
      </c>
      <c r="E66" s="63">
        <v>152</v>
      </c>
      <c r="F66" s="63">
        <v>66</v>
      </c>
      <c r="G66" s="63">
        <v>574</v>
      </c>
    </row>
    <row r="67" spans="1:7" x14ac:dyDescent="0.2">
      <c r="A67" s="62" t="s">
        <v>564</v>
      </c>
      <c r="B67" s="62" t="s">
        <v>565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</row>
    <row r="68" spans="1:7" x14ac:dyDescent="0.2">
      <c r="A68" s="62" t="s">
        <v>566</v>
      </c>
      <c r="B68" s="62" t="s">
        <v>567</v>
      </c>
      <c r="C68" s="63">
        <v>12157</v>
      </c>
      <c r="D68" s="63">
        <v>11404</v>
      </c>
      <c r="E68" s="63">
        <v>11259</v>
      </c>
      <c r="F68" s="63">
        <v>11630</v>
      </c>
      <c r="G68" s="63">
        <v>10363</v>
      </c>
    </row>
    <row r="69" spans="1:7" x14ac:dyDescent="0.2">
      <c r="A69" s="62" t="s">
        <v>568</v>
      </c>
      <c r="B69" s="62" t="s">
        <v>569</v>
      </c>
      <c r="C69" s="63">
        <v>-661</v>
      </c>
      <c r="D69" s="63">
        <v>-675</v>
      </c>
      <c r="E69" s="63">
        <v>-598</v>
      </c>
      <c r="F69" s="63">
        <v>-408</v>
      </c>
      <c r="G69" s="63">
        <v>-388</v>
      </c>
    </row>
    <row r="70" spans="1:7" x14ac:dyDescent="0.2">
      <c r="A70" s="60" t="s">
        <v>570</v>
      </c>
      <c r="B70" s="60" t="s">
        <v>571</v>
      </c>
      <c r="C70" s="64">
        <v>12563</v>
      </c>
      <c r="D70" s="64">
        <v>11848</v>
      </c>
      <c r="E70" s="64">
        <v>13101</v>
      </c>
      <c r="F70" s="64">
        <v>13490</v>
      </c>
      <c r="G70" s="64">
        <v>12615</v>
      </c>
    </row>
    <row r="71" spans="1:7" x14ac:dyDescent="0.2">
      <c r="A71" s="62" t="s">
        <v>572</v>
      </c>
      <c r="B71" s="62" t="s">
        <v>573</v>
      </c>
      <c r="C71" s="63">
        <v>17</v>
      </c>
      <c r="D71" s="63">
        <v>15</v>
      </c>
      <c r="E71" s="63">
        <v>9</v>
      </c>
      <c r="F71" s="63">
        <v>10</v>
      </c>
      <c r="G71" s="63">
        <v>10</v>
      </c>
    </row>
    <row r="72" spans="1:7" x14ac:dyDescent="0.2">
      <c r="A72" s="60" t="s">
        <v>250</v>
      </c>
      <c r="B72" s="60" t="s">
        <v>574</v>
      </c>
      <c r="C72" s="64">
        <v>12580</v>
      </c>
      <c r="D72" s="64">
        <v>11863</v>
      </c>
      <c r="E72" s="64">
        <v>13110</v>
      </c>
      <c r="F72" s="64">
        <v>13500</v>
      </c>
      <c r="G72" s="64">
        <v>12625</v>
      </c>
    </row>
    <row r="73" spans="1:7" x14ac:dyDescent="0.2">
      <c r="A73" s="60" t="s">
        <v>575</v>
      </c>
      <c r="B73" s="60" t="s">
        <v>576</v>
      </c>
      <c r="C73" s="64">
        <v>36729</v>
      </c>
      <c r="D73" s="64">
        <v>38257</v>
      </c>
      <c r="E73" s="64">
        <v>39793</v>
      </c>
      <c r="F73" s="64">
        <v>40531</v>
      </c>
      <c r="G73" s="64">
        <v>41912</v>
      </c>
    </row>
    <row r="74" spans="1:7" x14ac:dyDescent="0.2">
      <c r="A74" s="60"/>
      <c r="B74" s="61"/>
      <c r="C74" s="61"/>
      <c r="D74" s="61"/>
      <c r="E74" s="61"/>
      <c r="F74" s="61"/>
      <c r="G74" s="61"/>
    </row>
    <row r="75" spans="1:7" x14ac:dyDescent="0.2">
      <c r="A75" s="60" t="s">
        <v>426</v>
      </c>
      <c r="B75" s="61"/>
      <c r="C75" s="61"/>
      <c r="D75" s="61"/>
      <c r="E75" s="61"/>
      <c r="F75" s="61"/>
      <c r="G75" s="61"/>
    </row>
    <row r="76" spans="1:7" x14ac:dyDescent="0.2">
      <c r="A76" s="62" t="s">
        <v>427</v>
      </c>
      <c r="B76" s="62" t="s">
        <v>428</v>
      </c>
      <c r="C76" s="67" t="s">
        <v>429</v>
      </c>
      <c r="D76" s="67" t="s">
        <v>429</v>
      </c>
      <c r="E76" s="67" t="s">
        <v>429</v>
      </c>
      <c r="F76" s="67" t="s">
        <v>429</v>
      </c>
      <c r="G76" s="67" t="s">
        <v>429</v>
      </c>
    </row>
    <row r="77" spans="1:7" x14ac:dyDescent="0.2">
      <c r="A77" s="62" t="s">
        <v>577</v>
      </c>
      <c r="B77" s="62" t="s">
        <v>578</v>
      </c>
      <c r="C77" s="63">
        <v>2454.54</v>
      </c>
      <c r="D77" s="63">
        <v>2320.413</v>
      </c>
      <c r="E77" s="63">
        <v>6862.7610000000004</v>
      </c>
      <c r="F77" s="63">
        <v>2201.7869999999998</v>
      </c>
      <c r="G77" s="63">
        <v>2066.3670000000002</v>
      </c>
    </row>
    <row r="78" spans="1:7" x14ac:dyDescent="0.2">
      <c r="A78" s="62" t="s">
        <v>579</v>
      </c>
      <c r="B78" s="62" t="s">
        <v>580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</row>
    <row r="79" spans="1:7" x14ac:dyDescent="0.2">
      <c r="A79" s="62" t="s">
        <v>581</v>
      </c>
      <c r="B79" s="62" t="s">
        <v>582</v>
      </c>
      <c r="C79" s="63">
        <v>408</v>
      </c>
      <c r="D79" s="63">
        <v>402</v>
      </c>
      <c r="E79" s="63">
        <v>349</v>
      </c>
      <c r="F79" s="63">
        <v>244</v>
      </c>
      <c r="G79" s="63">
        <v>188</v>
      </c>
    </row>
    <row r="80" spans="1:7" x14ac:dyDescent="0.2">
      <c r="A80" s="62" t="s">
        <v>583</v>
      </c>
      <c r="B80" s="62" t="s">
        <v>584</v>
      </c>
      <c r="C80" s="63">
        <v>1556</v>
      </c>
      <c r="D80" s="63">
        <v>1444</v>
      </c>
      <c r="E80" s="63">
        <v>1369</v>
      </c>
      <c r="F80" s="63">
        <v>1390</v>
      </c>
      <c r="G80" s="63">
        <v>1386</v>
      </c>
    </row>
    <row r="81" spans="1:7" x14ac:dyDescent="0.2">
      <c r="A81" s="62" t="s">
        <v>585</v>
      </c>
      <c r="B81" s="62" t="s">
        <v>586</v>
      </c>
      <c r="C81" s="63">
        <v>4</v>
      </c>
      <c r="D81" s="63">
        <v>4</v>
      </c>
      <c r="E81" s="63">
        <v>3</v>
      </c>
      <c r="F81" s="63">
        <v>47</v>
      </c>
      <c r="G81" s="63">
        <v>29</v>
      </c>
    </row>
    <row r="82" spans="1:7" x14ac:dyDescent="0.2">
      <c r="A82" s="62" t="s">
        <v>587</v>
      </c>
      <c r="B82" s="62" t="s">
        <v>588</v>
      </c>
      <c r="C82" s="63">
        <v>3.0270000000000001</v>
      </c>
      <c r="D82" s="63">
        <v>3.5609999999999999</v>
      </c>
      <c r="E82" s="63">
        <v>4.0170000000000003</v>
      </c>
      <c r="F82" s="63">
        <v>2.0049999999999999</v>
      </c>
      <c r="G82" s="63">
        <v>1.726</v>
      </c>
    </row>
    <row r="83" spans="1:7" x14ac:dyDescent="0.2">
      <c r="A83" s="62" t="s">
        <v>589</v>
      </c>
      <c r="B83" s="62" t="s">
        <v>590</v>
      </c>
      <c r="C83" s="63">
        <v>14.019</v>
      </c>
      <c r="D83" s="63">
        <v>11.385</v>
      </c>
      <c r="E83" s="63">
        <v>12.651</v>
      </c>
      <c r="F83" s="63">
        <v>12.512</v>
      </c>
      <c r="G83" s="63">
        <v>13.4</v>
      </c>
    </row>
    <row r="84" spans="1:7" x14ac:dyDescent="0.2">
      <c r="A84" s="62" t="s">
        <v>591</v>
      </c>
      <c r="B84" s="62" t="s">
        <v>592</v>
      </c>
      <c r="C84" s="63">
        <v>13646</v>
      </c>
      <c r="D84" s="63">
        <v>14834</v>
      </c>
      <c r="E84" s="63">
        <v>14074</v>
      </c>
      <c r="F84" s="63">
        <v>14592</v>
      </c>
      <c r="G84" s="63">
        <v>16517</v>
      </c>
    </row>
    <row r="85" spans="1:7" x14ac:dyDescent="0.2">
      <c r="A85" s="62" t="s">
        <v>593</v>
      </c>
      <c r="B85" s="62" t="s">
        <v>594</v>
      </c>
      <c r="C85" s="68">
        <v>108.4738</v>
      </c>
      <c r="D85" s="68">
        <v>125.04430000000001</v>
      </c>
      <c r="E85" s="68">
        <v>107.3532</v>
      </c>
      <c r="F85" s="68">
        <v>108.0889</v>
      </c>
      <c r="G85" s="68">
        <v>130.82769999999999</v>
      </c>
    </row>
    <row r="86" spans="1:7" x14ac:dyDescent="0.2">
      <c r="A86" s="62" t="s">
        <v>595</v>
      </c>
      <c r="B86" s="62" t="s">
        <v>596</v>
      </c>
      <c r="C86" s="68">
        <v>34.204599999999999</v>
      </c>
      <c r="D86" s="68">
        <v>30.9695</v>
      </c>
      <c r="E86" s="68">
        <v>32.816499999999998</v>
      </c>
      <c r="F86" s="68">
        <v>32.532400000000003</v>
      </c>
      <c r="G86" s="68">
        <v>29.2514</v>
      </c>
    </row>
    <row r="87" spans="1:7" x14ac:dyDescent="0.2">
      <c r="A87" s="62" t="s">
        <v>597</v>
      </c>
      <c r="B87" s="62" t="s">
        <v>598</v>
      </c>
      <c r="C87" s="68">
        <v>1.3393999999999999</v>
      </c>
      <c r="D87" s="68">
        <v>1.5239</v>
      </c>
      <c r="E87" s="68">
        <v>2.1996000000000002</v>
      </c>
      <c r="F87" s="68">
        <v>1.7343999999999999</v>
      </c>
      <c r="G87" s="68">
        <v>1.5577000000000001</v>
      </c>
    </row>
    <row r="88" spans="1:7" x14ac:dyDescent="0.2">
      <c r="A88" s="62" t="s">
        <v>599</v>
      </c>
      <c r="B88" s="62" t="s">
        <v>600</v>
      </c>
      <c r="C88" s="68">
        <v>22500</v>
      </c>
      <c r="D88" s="68">
        <v>21000</v>
      </c>
      <c r="E88" s="68">
        <v>19282</v>
      </c>
      <c r="F88" s="68">
        <v>20919</v>
      </c>
      <c r="G88" s="68">
        <v>22542</v>
      </c>
    </row>
    <row r="89" spans="1:7" x14ac:dyDescent="0.2">
      <c r="A89" s="69" t="s">
        <v>249</v>
      </c>
      <c r="B89" s="69"/>
      <c r="C89" s="69" t="s">
        <v>278</v>
      </c>
      <c r="D89" s="69"/>
      <c r="E89" s="69"/>
      <c r="F89" s="69"/>
      <c r="G89" s="6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D0C-883F-4B98-9ED7-E41AC5A24F17}">
  <dimension ref="A1:H68"/>
  <sheetViews>
    <sheetView topLeftCell="A44" zoomScale="125" zoomScaleNormal="80" workbookViewId="0">
      <selection activeCell="D57" sqref="D57"/>
    </sheetView>
  </sheetViews>
  <sheetFormatPr baseColWidth="10" defaultColWidth="8.83203125" defaultRowHeight="15" x14ac:dyDescent="0.2"/>
  <cols>
    <col min="1" max="1" width="52.6640625" bestFit="1" customWidth="1"/>
  </cols>
  <sheetData>
    <row r="1" spans="1:8" ht="20" x14ac:dyDescent="0.2">
      <c r="A1" s="123" t="s">
        <v>451</v>
      </c>
      <c r="B1" s="123"/>
      <c r="C1" s="123"/>
      <c r="D1" s="123"/>
      <c r="E1" s="123"/>
      <c r="F1" s="123"/>
      <c r="G1" s="123"/>
      <c r="H1" s="123"/>
    </row>
    <row r="2" spans="1:8" x14ac:dyDescent="0.2">
      <c r="A2" s="124"/>
      <c r="B2" s="124"/>
      <c r="C2" s="124"/>
      <c r="D2" s="124"/>
      <c r="E2" s="124"/>
      <c r="F2" s="124"/>
      <c r="G2" s="124"/>
      <c r="H2" s="124"/>
    </row>
    <row r="3" spans="1:8" x14ac:dyDescent="0.2">
      <c r="A3" s="125" t="s">
        <v>89</v>
      </c>
      <c r="B3" s="125"/>
      <c r="C3" s="126" t="s">
        <v>81</v>
      </c>
      <c r="D3" s="126" t="s">
        <v>82</v>
      </c>
      <c r="E3" s="126" t="s">
        <v>83</v>
      </c>
      <c r="F3" s="126" t="s">
        <v>84</v>
      </c>
      <c r="G3" s="126" t="s">
        <v>85</v>
      </c>
      <c r="H3" s="126" t="s">
        <v>337</v>
      </c>
    </row>
    <row r="4" spans="1:8" x14ac:dyDescent="0.2">
      <c r="A4" s="127" t="s">
        <v>121</v>
      </c>
      <c r="B4" s="127"/>
      <c r="C4" s="128" t="s">
        <v>122</v>
      </c>
      <c r="D4" s="128" t="s">
        <v>123</v>
      </c>
      <c r="E4" s="128" t="s">
        <v>124</v>
      </c>
      <c r="F4" s="128" t="s">
        <v>125</v>
      </c>
      <c r="G4" s="128" t="s">
        <v>126</v>
      </c>
      <c r="H4" s="128" t="s">
        <v>127</v>
      </c>
    </row>
    <row r="5" spans="1:8" x14ac:dyDescent="0.2">
      <c r="A5" s="60" t="s">
        <v>601</v>
      </c>
      <c r="B5" s="61"/>
      <c r="C5" s="61"/>
      <c r="D5" s="61"/>
      <c r="E5" s="61"/>
      <c r="F5" s="61"/>
      <c r="G5" s="61"/>
      <c r="H5" s="70"/>
    </row>
    <row r="6" spans="1:8" x14ac:dyDescent="0.2">
      <c r="A6" s="62" t="s">
        <v>602</v>
      </c>
      <c r="B6" s="62" t="s">
        <v>603</v>
      </c>
      <c r="C6" s="63">
        <v>3309</v>
      </c>
      <c r="D6" s="63">
        <v>3331</v>
      </c>
      <c r="E6" s="63">
        <v>2765</v>
      </c>
      <c r="F6" s="63">
        <v>3781</v>
      </c>
      <c r="G6" s="63">
        <v>4166</v>
      </c>
      <c r="H6" s="71">
        <v>3847</v>
      </c>
    </row>
    <row r="7" spans="1:8" x14ac:dyDescent="0.2">
      <c r="A7" s="62" t="s">
        <v>604</v>
      </c>
      <c r="B7" s="62" t="s">
        <v>605</v>
      </c>
      <c r="C7" s="63">
        <v>1331</v>
      </c>
      <c r="D7" s="63">
        <v>1349</v>
      </c>
      <c r="E7" s="63">
        <v>1383</v>
      </c>
      <c r="F7" s="63">
        <v>1420</v>
      </c>
      <c r="G7" s="63">
        <v>1500</v>
      </c>
      <c r="H7" s="71">
        <v>1587</v>
      </c>
    </row>
    <row r="8" spans="1:8" x14ac:dyDescent="0.2">
      <c r="A8" s="62" t="s">
        <v>606</v>
      </c>
      <c r="B8" s="62" t="s">
        <v>607</v>
      </c>
      <c r="C8" s="63">
        <v>-7</v>
      </c>
      <c r="D8" s="63">
        <v>53</v>
      </c>
      <c r="E8" s="63">
        <v>113</v>
      </c>
      <c r="F8" s="63">
        <v>-275</v>
      </c>
      <c r="G8" s="63">
        <v>-138</v>
      </c>
      <c r="H8" s="71">
        <v>126</v>
      </c>
    </row>
    <row r="9" spans="1:8" x14ac:dyDescent="0.2">
      <c r="A9" s="62" t="s">
        <v>608</v>
      </c>
      <c r="B9" s="62" t="s">
        <v>609</v>
      </c>
      <c r="C9" s="63">
        <v>279</v>
      </c>
      <c r="D9" s="63">
        <v>273</v>
      </c>
      <c r="E9" s="63">
        <v>180</v>
      </c>
      <c r="F9" s="63">
        <v>167</v>
      </c>
      <c r="G9" s="63">
        <v>117</v>
      </c>
      <c r="H9" s="71">
        <v>103</v>
      </c>
    </row>
    <row r="10" spans="1:8" x14ac:dyDescent="0.2">
      <c r="A10" s="62" t="s">
        <v>610</v>
      </c>
      <c r="B10" s="62" t="s">
        <v>611</v>
      </c>
      <c r="C10" s="63">
        <v>-286</v>
      </c>
      <c r="D10" s="63">
        <v>-220</v>
      </c>
      <c r="E10" s="63">
        <v>-67</v>
      </c>
      <c r="F10" s="63">
        <v>-442</v>
      </c>
      <c r="G10" s="63">
        <v>-255</v>
      </c>
      <c r="H10" s="71">
        <v>23</v>
      </c>
    </row>
    <row r="11" spans="1:8" x14ac:dyDescent="0.2">
      <c r="A11" s="62" t="s">
        <v>612</v>
      </c>
      <c r="B11" s="62" t="s">
        <v>613</v>
      </c>
      <c r="C11" s="63">
        <v>8</v>
      </c>
      <c r="D11" s="63">
        <v>117</v>
      </c>
      <c r="E11" s="63">
        <v>2</v>
      </c>
      <c r="F11" s="63">
        <v>173</v>
      </c>
      <c r="G11" s="63">
        <v>91</v>
      </c>
      <c r="H11" s="71">
        <v>-147</v>
      </c>
    </row>
    <row r="12" spans="1:8" x14ac:dyDescent="0.2">
      <c r="A12" s="62" t="s">
        <v>614</v>
      </c>
      <c r="B12" s="62" t="s">
        <v>615</v>
      </c>
      <c r="C12" s="63">
        <v>-46</v>
      </c>
      <c r="D12" s="63">
        <v>45</v>
      </c>
      <c r="E12" s="63">
        <v>83</v>
      </c>
      <c r="F12" s="63">
        <v>-141</v>
      </c>
      <c r="G12" s="63">
        <v>-101</v>
      </c>
      <c r="H12" s="71">
        <v>-23</v>
      </c>
    </row>
    <row r="13" spans="1:8" x14ac:dyDescent="0.2">
      <c r="A13" s="62" t="s">
        <v>616</v>
      </c>
      <c r="B13" s="62" t="s">
        <v>617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71">
        <v>0</v>
      </c>
    </row>
    <row r="14" spans="1:8" x14ac:dyDescent="0.2">
      <c r="A14" s="62" t="s">
        <v>618</v>
      </c>
      <c r="B14" s="62" t="s">
        <v>619</v>
      </c>
      <c r="C14" s="63">
        <v>104</v>
      </c>
      <c r="D14" s="63">
        <v>98</v>
      </c>
      <c r="E14" s="63">
        <v>-20</v>
      </c>
      <c r="F14" s="63">
        <v>128</v>
      </c>
      <c r="G14" s="63">
        <v>140</v>
      </c>
      <c r="H14" s="71">
        <v>26</v>
      </c>
    </row>
    <row r="15" spans="1:8" x14ac:dyDescent="0.2">
      <c r="A15" s="62" t="s">
        <v>620</v>
      </c>
      <c r="B15" s="62" t="s">
        <v>621</v>
      </c>
      <c r="C15" s="63">
        <v>-50</v>
      </c>
      <c r="D15" s="63">
        <v>-26</v>
      </c>
      <c r="E15" s="63">
        <v>-61</v>
      </c>
      <c r="F15" s="63">
        <v>186</v>
      </c>
      <c r="G15" s="63">
        <v>52</v>
      </c>
      <c r="H15" s="71">
        <v>-150</v>
      </c>
    </row>
    <row r="16" spans="1:8" x14ac:dyDescent="0.2">
      <c r="A16" s="62" t="s">
        <v>622</v>
      </c>
      <c r="B16" s="62" t="s">
        <v>623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71">
        <v>0</v>
      </c>
    </row>
    <row r="17" spans="1:8" x14ac:dyDescent="0.2">
      <c r="A17" s="60" t="s">
        <v>601</v>
      </c>
      <c r="B17" s="60" t="s">
        <v>235</v>
      </c>
      <c r="C17" s="64">
        <v>4641</v>
      </c>
      <c r="D17" s="64">
        <v>4850</v>
      </c>
      <c r="E17" s="64">
        <v>4263</v>
      </c>
      <c r="F17" s="64">
        <v>5099</v>
      </c>
      <c r="G17" s="64">
        <v>5619</v>
      </c>
      <c r="H17" s="72">
        <v>5413</v>
      </c>
    </row>
    <row r="18" spans="1:8" x14ac:dyDescent="0.2">
      <c r="A18" s="60"/>
      <c r="B18" s="61"/>
      <c r="C18" s="61"/>
      <c r="D18" s="61"/>
      <c r="E18" s="61"/>
      <c r="F18" s="61"/>
      <c r="G18" s="61"/>
      <c r="H18" s="70"/>
    </row>
    <row r="19" spans="1:8" x14ac:dyDescent="0.2">
      <c r="A19" s="60" t="s">
        <v>624</v>
      </c>
      <c r="B19" s="61"/>
      <c r="C19" s="61"/>
      <c r="D19" s="61"/>
      <c r="E19" s="61"/>
      <c r="F19" s="61"/>
      <c r="G19" s="61"/>
      <c r="H19" s="70"/>
    </row>
    <row r="20" spans="1:8" x14ac:dyDescent="0.2">
      <c r="A20" s="62" t="s">
        <v>625</v>
      </c>
      <c r="B20" s="62" t="s">
        <v>626</v>
      </c>
      <c r="C20" s="63">
        <v>-1426</v>
      </c>
      <c r="D20" s="63">
        <v>-1403</v>
      </c>
      <c r="E20" s="63">
        <v>-1570</v>
      </c>
      <c r="F20" s="63">
        <v>-1262</v>
      </c>
      <c r="G20" s="63">
        <v>-1887</v>
      </c>
      <c r="H20" s="71">
        <v>-2056</v>
      </c>
    </row>
    <row r="21" spans="1:8" x14ac:dyDescent="0.2">
      <c r="A21" s="62" t="s">
        <v>627</v>
      </c>
      <c r="B21" s="62" t="s">
        <v>628</v>
      </c>
      <c r="C21" s="63">
        <v>319</v>
      </c>
      <c r="D21" s="63">
        <v>254</v>
      </c>
      <c r="E21" s="63">
        <v>56</v>
      </c>
      <c r="F21" s="63">
        <v>529</v>
      </c>
      <c r="G21" s="63">
        <v>246</v>
      </c>
      <c r="H21" s="71">
        <v>230</v>
      </c>
    </row>
    <row r="22" spans="1:8" x14ac:dyDescent="0.2">
      <c r="A22" s="65" t="s">
        <v>629</v>
      </c>
      <c r="B22" s="65" t="s">
        <v>630</v>
      </c>
      <c r="C22" s="66">
        <v>319</v>
      </c>
      <c r="D22" s="66">
        <v>254</v>
      </c>
      <c r="E22" s="66">
        <v>56</v>
      </c>
      <c r="F22" s="66">
        <v>529</v>
      </c>
      <c r="G22" s="66">
        <v>246</v>
      </c>
      <c r="H22" s="73">
        <v>230</v>
      </c>
    </row>
    <row r="23" spans="1:8" x14ac:dyDescent="0.2">
      <c r="A23" s="65" t="s">
        <v>631</v>
      </c>
      <c r="B23" s="65" t="s">
        <v>632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73">
        <v>0</v>
      </c>
    </row>
    <row r="24" spans="1:8" x14ac:dyDescent="0.2">
      <c r="A24" s="62" t="s">
        <v>633</v>
      </c>
      <c r="B24" s="62" t="s">
        <v>634</v>
      </c>
      <c r="C24" s="63">
        <v>-1745</v>
      </c>
      <c r="D24" s="63">
        <v>-1657</v>
      </c>
      <c r="E24" s="63">
        <v>-1626</v>
      </c>
      <c r="F24" s="63">
        <v>-1791</v>
      </c>
      <c r="G24" s="63">
        <v>-2133</v>
      </c>
      <c r="H24" s="71">
        <v>-2286</v>
      </c>
    </row>
    <row r="25" spans="1:8" x14ac:dyDescent="0.2">
      <c r="A25" s="65" t="s">
        <v>635</v>
      </c>
      <c r="B25" s="65" t="s">
        <v>636</v>
      </c>
      <c r="C25" s="66">
        <v>-1745</v>
      </c>
      <c r="D25" s="66">
        <v>-1657</v>
      </c>
      <c r="E25" s="66">
        <v>-1626</v>
      </c>
      <c r="F25" s="66">
        <v>-1791</v>
      </c>
      <c r="G25" s="66">
        <v>-2133</v>
      </c>
      <c r="H25" s="73">
        <v>-2286</v>
      </c>
    </row>
    <row r="26" spans="1:8" x14ac:dyDescent="0.2">
      <c r="A26" s="65" t="s">
        <v>637</v>
      </c>
      <c r="B26" s="65" t="s">
        <v>638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73">
        <v>0</v>
      </c>
    </row>
    <row r="27" spans="1:8" x14ac:dyDescent="0.2">
      <c r="A27" s="62" t="s">
        <v>639</v>
      </c>
      <c r="B27" s="62" t="s">
        <v>640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71">
        <v>0</v>
      </c>
    </row>
    <row r="28" spans="1:8" x14ac:dyDescent="0.2">
      <c r="A28" s="62" t="s">
        <v>641</v>
      </c>
      <c r="B28" s="62" t="s">
        <v>642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71">
        <v>0</v>
      </c>
    </row>
    <row r="29" spans="1:8" x14ac:dyDescent="0.2">
      <c r="A29" s="62" t="s">
        <v>643</v>
      </c>
      <c r="B29" s="62" t="s">
        <v>644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71">
        <v>0</v>
      </c>
    </row>
    <row r="30" spans="1:8" x14ac:dyDescent="0.2">
      <c r="A30" s="62" t="s">
        <v>645</v>
      </c>
      <c r="B30" s="62" t="s">
        <v>646</v>
      </c>
      <c r="C30" s="63">
        <v>0</v>
      </c>
      <c r="D30" s="63">
        <v>0</v>
      </c>
      <c r="E30" s="63">
        <v>0</v>
      </c>
      <c r="F30" s="63">
        <v>-541</v>
      </c>
      <c r="G30" s="63">
        <v>-227</v>
      </c>
      <c r="H30" s="71">
        <v>-35</v>
      </c>
    </row>
    <row r="31" spans="1:8" x14ac:dyDescent="0.2">
      <c r="A31" s="62" t="s">
        <v>647</v>
      </c>
      <c r="B31" s="62" t="s">
        <v>648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71">
        <v>0</v>
      </c>
    </row>
    <row r="32" spans="1:8" x14ac:dyDescent="0.2">
      <c r="A32" s="62" t="s">
        <v>649</v>
      </c>
      <c r="B32" s="62" t="s">
        <v>650</v>
      </c>
      <c r="C32" s="63">
        <v>0</v>
      </c>
      <c r="D32" s="63">
        <v>0</v>
      </c>
      <c r="E32" s="63">
        <v>0</v>
      </c>
      <c r="F32" s="63">
        <v>-541</v>
      </c>
      <c r="G32" s="63">
        <v>-227</v>
      </c>
      <c r="H32" s="71">
        <v>-35</v>
      </c>
    </row>
    <row r="33" spans="1:8" x14ac:dyDescent="0.2">
      <c r="A33" s="62" t="s">
        <v>651</v>
      </c>
      <c r="B33" s="62" t="s">
        <v>652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71">
        <v>0</v>
      </c>
    </row>
    <row r="34" spans="1:8" x14ac:dyDescent="0.2">
      <c r="A34" s="62" t="s">
        <v>653</v>
      </c>
      <c r="B34" s="62" t="s">
        <v>654</v>
      </c>
      <c r="C34" s="63">
        <v>-258</v>
      </c>
      <c r="D34" s="63">
        <v>-699</v>
      </c>
      <c r="E34" s="63">
        <v>921</v>
      </c>
      <c r="F34" s="63">
        <v>-74</v>
      </c>
      <c r="G34" s="63">
        <v>-17</v>
      </c>
      <c r="H34" s="71">
        <v>49</v>
      </c>
    </row>
    <row r="35" spans="1:8" x14ac:dyDescent="0.2">
      <c r="A35" s="62" t="s">
        <v>622</v>
      </c>
      <c r="B35" s="62" t="s">
        <v>655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71">
        <v>0</v>
      </c>
    </row>
    <row r="36" spans="1:8" x14ac:dyDescent="0.2">
      <c r="A36" s="60" t="s">
        <v>624</v>
      </c>
      <c r="B36" s="60" t="s">
        <v>656</v>
      </c>
      <c r="C36" s="64">
        <v>-1684</v>
      </c>
      <c r="D36" s="64">
        <v>-2102</v>
      </c>
      <c r="E36" s="64">
        <v>-649</v>
      </c>
      <c r="F36" s="64">
        <v>-1877</v>
      </c>
      <c r="G36" s="64">
        <v>-2131</v>
      </c>
      <c r="H36" s="72">
        <v>-2042</v>
      </c>
    </row>
    <row r="37" spans="1:8" x14ac:dyDescent="0.2">
      <c r="A37" s="60"/>
      <c r="B37" s="61"/>
      <c r="C37" s="61"/>
      <c r="D37" s="61"/>
      <c r="E37" s="61"/>
      <c r="F37" s="61"/>
      <c r="G37" s="61"/>
      <c r="H37" s="70"/>
    </row>
    <row r="38" spans="1:8" x14ac:dyDescent="0.2">
      <c r="A38" s="60" t="s">
        <v>657</v>
      </c>
      <c r="B38" s="61"/>
      <c r="C38" s="61"/>
      <c r="D38" s="61"/>
      <c r="E38" s="61"/>
      <c r="F38" s="61"/>
      <c r="G38" s="61"/>
      <c r="H38" s="70"/>
    </row>
    <row r="39" spans="1:8" x14ac:dyDescent="0.2">
      <c r="A39" s="62" t="s">
        <v>658</v>
      </c>
      <c r="B39" s="62" t="s">
        <v>659</v>
      </c>
      <c r="C39" s="63">
        <v>-751</v>
      </c>
      <c r="D39" s="63">
        <v>-763</v>
      </c>
      <c r="E39" s="63">
        <v>-797</v>
      </c>
      <c r="F39" s="63">
        <v>-839</v>
      </c>
      <c r="G39" s="63">
        <v>-852</v>
      </c>
      <c r="H39" s="71">
        <v>-873</v>
      </c>
    </row>
    <row r="40" spans="1:8" x14ac:dyDescent="0.2">
      <c r="A40" s="62" t="s">
        <v>660</v>
      </c>
      <c r="B40" s="62" t="s">
        <v>661</v>
      </c>
      <c r="C40" s="63">
        <v>2981</v>
      </c>
      <c r="D40" s="63">
        <v>1482</v>
      </c>
      <c r="E40" s="63">
        <v>255</v>
      </c>
      <c r="F40" s="63">
        <v>-426</v>
      </c>
      <c r="G40" s="63">
        <v>1814</v>
      </c>
      <c r="H40" s="71">
        <v>442</v>
      </c>
    </row>
    <row r="41" spans="1:8" x14ac:dyDescent="0.2">
      <c r="A41" s="62" t="s">
        <v>662</v>
      </c>
      <c r="B41" s="62" t="s">
        <v>663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71">
        <v>0</v>
      </c>
    </row>
    <row r="42" spans="1:8" x14ac:dyDescent="0.2">
      <c r="A42" s="62" t="s">
        <v>664</v>
      </c>
      <c r="B42" s="62" t="s">
        <v>665</v>
      </c>
      <c r="C42" s="63">
        <v>3000</v>
      </c>
      <c r="D42" s="63">
        <v>2000</v>
      </c>
      <c r="E42" s="63">
        <v>1000</v>
      </c>
      <c r="F42" s="63">
        <v>0</v>
      </c>
      <c r="G42" s="63">
        <v>2000</v>
      </c>
      <c r="H42" s="71">
        <v>600</v>
      </c>
    </row>
    <row r="43" spans="1:8" x14ac:dyDescent="0.2">
      <c r="A43" s="62" t="s">
        <v>666</v>
      </c>
      <c r="B43" s="62" t="s">
        <v>667</v>
      </c>
      <c r="C43" s="63">
        <v>-19</v>
      </c>
      <c r="D43" s="63">
        <v>-518</v>
      </c>
      <c r="E43" s="63">
        <v>-745</v>
      </c>
      <c r="F43" s="63">
        <v>-426</v>
      </c>
      <c r="G43" s="63">
        <v>-186</v>
      </c>
      <c r="H43" s="71">
        <v>-158</v>
      </c>
    </row>
    <row r="44" spans="1:8" x14ac:dyDescent="0.2">
      <c r="A44" s="62" t="s">
        <v>668</v>
      </c>
      <c r="B44" s="62" t="s">
        <v>669</v>
      </c>
      <c r="C44" s="63">
        <v>-4671</v>
      </c>
      <c r="D44" s="63">
        <v>-3373</v>
      </c>
      <c r="E44" s="63">
        <v>-867</v>
      </c>
      <c r="F44" s="63">
        <v>-2886</v>
      </c>
      <c r="G44" s="63">
        <v>-4731</v>
      </c>
      <c r="H44" s="71">
        <v>-3922</v>
      </c>
    </row>
    <row r="45" spans="1:8" x14ac:dyDescent="0.2">
      <c r="A45" s="62" t="s">
        <v>670</v>
      </c>
      <c r="B45" s="62" t="s">
        <v>671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71">
        <v>0</v>
      </c>
    </row>
    <row r="46" spans="1:8" x14ac:dyDescent="0.2">
      <c r="A46" s="62" t="s">
        <v>672</v>
      </c>
      <c r="B46" s="62" t="s">
        <v>673</v>
      </c>
      <c r="C46" s="63">
        <v>-4671</v>
      </c>
      <c r="D46" s="63">
        <v>-3373</v>
      </c>
      <c r="E46" s="63">
        <v>-867</v>
      </c>
      <c r="F46" s="63">
        <v>-2886</v>
      </c>
      <c r="G46" s="63">
        <v>-4731</v>
      </c>
      <c r="H46" s="71">
        <v>-3922</v>
      </c>
    </row>
    <row r="47" spans="1:8" x14ac:dyDescent="0.2">
      <c r="A47" s="62" t="s">
        <v>674</v>
      </c>
      <c r="B47" s="62" t="s">
        <v>675</v>
      </c>
      <c r="C47" s="63">
        <v>-59</v>
      </c>
      <c r="D47" s="63">
        <v>6</v>
      </c>
      <c r="E47" s="63">
        <v>-34</v>
      </c>
      <c r="F47" s="63">
        <v>39</v>
      </c>
      <c r="G47" s="63">
        <v>0</v>
      </c>
      <c r="H47" s="71">
        <v>31</v>
      </c>
    </row>
    <row r="48" spans="1:8" x14ac:dyDescent="0.2">
      <c r="A48" s="62" t="s">
        <v>622</v>
      </c>
      <c r="B48" s="62" t="s">
        <v>676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71">
        <v>0</v>
      </c>
    </row>
    <row r="49" spans="1:8" x14ac:dyDescent="0.2">
      <c r="A49" s="60" t="s">
        <v>657</v>
      </c>
      <c r="B49" s="60" t="s">
        <v>677</v>
      </c>
      <c r="C49" s="64">
        <v>-2500</v>
      </c>
      <c r="D49" s="64">
        <v>-2648</v>
      </c>
      <c r="E49" s="64">
        <v>-1443</v>
      </c>
      <c r="F49" s="64">
        <v>-4112</v>
      </c>
      <c r="G49" s="64">
        <v>-3769</v>
      </c>
      <c r="H49" s="72">
        <v>-4322</v>
      </c>
    </row>
    <row r="50" spans="1:8" x14ac:dyDescent="0.2">
      <c r="A50" s="60"/>
      <c r="B50" s="61"/>
      <c r="C50" s="61"/>
      <c r="D50" s="61"/>
      <c r="E50" s="61"/>
      <c r="F50" s="61"/>
      <c r="G50" s="61"/>
      <c r="H50" s="70"/>
    </row>
    <row r="51" spans="1:8" x14ac:dyDescent="0.2">
      <c r="A51" s="62" t="s">
        <v>678</v>
      </c>
      <c r="B51" s="62" t="s">
        <v>679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71">
        <v>0</v>
      </c>
    </row>
    <row r="52" spans="1:8" x14ac:dyDescent="0.2">
      <c r="A52" s="60"/>
      <c r="B52" s="61"/>
      <c r="C52" s="61"/>
      <c r="D52" s="61"/>
      <c r="E52" s="61"/>
      <c r="F52" s="61"/>
      <c r="G52" s="61"/>
      <c r="H52" s="70"/>
    </row>
    <row r="53" spans="1:8" x14ac:dyDescent="0.2">
      <c r="A53" s="60" t="s">
        <v>680</v>
      </c>
      <c r="B53" s="60" t="s">
        <v>681</v>
      </c>
      <c r="C53" s="64">
        <v>457</v>
      </c>
      <c r="D53" s="64">
        <v>100</v>
      </c>
      <c r="E53" s="64">
        <v>2171</v>
      </c>
      <c r="F53" s="64">
        <v>-890</v>
      </c>
      <c r="G53" s="64">
        <v>-281</v>
      </c>
      <c r="H53" s="72">
        <v>-951</v>
      </c>
    </row>
    <row r="54" spans="1:8" x14ac:dyDescent="0.2">
      <c r="A54" s="60"/>
      <c r="B54" s="61"/>
      <c r="C54" s="61"/>
      <c r="D54" s="61"/>
      <c r="E54" s="61"/>
      <c r="F54" s="61"/>
      <c r="G54" s="61"/>
      <c r="H54" s="70"/>
    </row>
    <row r="55" spans="1:8" x14ac:dyDescent="0.2">
      <c r="A55" s="60" t="s">
        <v>682</v>
      </c>
      <c r="B55" s="60" t="s">
        <v>683</v>
      </c>
      <c r="C55" s="64">
        <v>814</v>
      </c>
      <c r="D55" s="64">
        <v>691</v>
      </c>
      <c r="E55" s="64">
        <v>664</v>
      </c>
      <c r="F55" s="64">
        <v>931</v>
      </c>
      <c r="G55" s="64">
        <v>1167</v>
      </c>
      <c r="H55" s="72"/>
    </row>
    <row r="56" spans="1:8" x14ac:dyDescent="0.2">
      <c r="A56" s="60" t="s">
        <v>684</v>
      </c>
      <c r="B56" s="60" t="s">
        <v>685</v>
      </c>
      <c r="C56" s="64">
        <v>614</v>
      </c>
      <c r="D56" s="64">
        <v>717</v>
      </c>
      <c r="E56" s="64">
        <v>750</v>
      </c>
      <c r="F56" s="64">
        <v>718</v>
      </c>
      <c r="G56" s="64">
        <v>729</v>
      </c>
      <c r="H56" s="72"/>
    </row>
    <row r="57" spans="1:8" x14ac:dyDescent="0.2">
      <c r="A57" s="60"/>
      <c r="B57" s="61"/>
      <c r="C57" s="61"/>
      <c r="D57" s="61"/>
      <c r="E57" s="61"/>
      <c r="F57" s="61"/>
      <c r="G57" s="61"/>
      <c r="H57" s="70"/>
    </row>
    <row r="58" spans="1:8" x14ac:dyDescent="0.2">
      <c r="A58" s="60" t="s">
        <v>426</v>
      </c>
      <c r="B58" s="61"/>
      <c r="C58" s="61"/>
      <c r="D58" s="61"/>
      <c r="E58" s="61"/>
      <c r="F58" s="61"/>
      <c r="G58" s="61"/>
      <c r="H58" s="70"/>
    </row>
    <row r="59" spans="1:8" x14ac:dyDescent="0.2">
      <c r="A59" s="62" t="s">
        <v>67</v>
      </c>
      <c r="B59" s="62" t="s">
        <v>67</v>
      </c>
      <c r="C59" s="63">
        <v>6200</v>
      </c>
      <c r="D59" s="63">
        <v>6398</v>
      </c>
      <c r="E59" s="63">
        <v>5827</v>
      </c>
      <c r="F59" s="63">
        <v>7103</v>
      </c>
      <c r="G59" s="63">
        <v>7632</v>
      </c>
      <c r="H59" s="71">
        <v>7287</v>
      </c>
    </row>
    <row r="60" spans="1:8" x14ac:dyDescent="0.2">
      <c r="A60" s="62" t="s">
        <v>686</v>
      </c>
      <c r="B60" s="62" t="s">
        <v>431</v>
      </c>
      <c r="C60" s="68">
        <v>50.612200000000001</v>
      </c>
      <c r="D60" s="68">
        <v>53.598100000000002</v>
      </c>
      <c r="E60" s="68">
        <v>55.06</v>
      </c>
      <c r="F60" s="68">
        <v>56.724200000000003</v>
      </c>
      <c r="G60" s="68">
        <v>51.383600000000001</v>
      </c>
      <c r="H60" s="74">
        <v>49.547834364588297</v>
      </c>
    </row>
    <row r="61" spans="1:8" x14ac:dyDescent="0.2">
      <c r="A61" s="62" t="s">
        <v>687</v>
      </c>
      <c r="B61" s="62" t="s">
        <v>688</v>
      </c>
      <c r="C61" s="63" t="s">
        <v>182</v>
      </c>
      <c r="D61" s="63">
        <v>0</v>
      </c>
      <c r="E61" s="63">
        <v>0</v>
      </c>
      <c r="F61" s="63">
        <v>541</v>
      </c>
      <c r="G61" s="63">
        <v>227</v>
      </c>
      <c r="H61" s="71">
        <v>35</v>
      </c>
    </row>
    <row r="62" spans="1:8" x14ac:dyDescent="0.2">
      <c r="A62" s="62" t="s">
        <v>243</v>
      </c>
      <c r="B62" s="62" t="s">
        <v>244</v>
      </c>
      <c r="C62" s="63">
        <v>2896</v>
      </c>
      <c r="D62" s="63">
        <v>3193</v>
      </c>
      <c r="E62" s="63">
        <v>2637</v>
      </c>
      <c r="F62" s="63">
        <v>3308</v>
      </c>
      <c r="G62" s="63">
        <v>3486</v>
      </c>
      <c r="H62" s="71">
        <v>3127</v>
      </c>
    </row>
    <row r="63" spans="1:8" x14ac:dyDescent="0.2">
      <c r="A63" s="62" t="s">
        <v>279</v>
      </c>
      <c r="B63" s="62" t="s">
        <v>689</v>
      </c>
      <c r="C63" s="63">
        <v>3387.2757999999999</v>
      </c>
      <c r="D63" s="63">
        <v>3761.8013999999998</v>
      </c>
      <c r="E63" s="63">
        <v>3211.8029000000001</v>
      </c>
      <c r="F63" s="63">
        <v>3859.3798999999999</v>
      </c>
      <c r="G63" s="63">
        <v>4056.9589999999998</v>
      </c>
      <c r="H63" s="71">
        <v>3739.6004053390702</v>
      </c>
    </row>
    <row r="64" spans="1:8" x14ac:dyDescent="0.2">
      <c r="A64" s="62" t="s">
        <v>690</v>
      </c>
      <c r="B64" s="62" t="s">
        <v>691</v>
      </c>
      <c r="C64" s="63">
        <v>6196</v>
      </c>
      <c r="D64" s="63">
        <v>4929</v>
      </c>
      <c r="E64" s="63">
        <v>2948</v>
      </c>
      <c r="F64" s="63">
        <v>3411</v>
      </c>
      <c r="G64" s="63">
        <v>5546</v>
      </c>
      <c r="H64" s="71">
        <v>3799</v>
      </c>
    </row>
    <row r="65" spans="1:8" x14ac:dyDescent="0.2">
      <c r="A65" s="62" t="s">
        <v>692</v>
      </c>
      <c r="B65" s="62" t="s">
        <v>693</v>
      </c>
      <c r="C65" s="68">
        <v>1.1264000000000001</v>
      </c>
      <c r="D65" s="68">
        <v>1.3365</v>
      </c>
      <c r="E65" s="68">
        <v>0.38219999999999998</v>
      </c>
      <c r="F65" s="68">
        <v>1.4702</v>
      </c>
      <c r="G65" s="68">
        <v>1.6319999999999999</v>
      </c>
      <c r="H65" s="74">
        <v>1.5374861123572601</v>
      </c>
    </row>
    <row r="66" spans="1:8" x14ac:dyDescent="0.2">
      <c r="A66" s="62" t="s">
        <v>694</v>
      </c>
      <c r="B66" s="62" t="s">
        <v>695</v>
      </c>
      <c r="C66" s="68">
        <v>18.3858</v>
      </c>
      <c r="D66" s="68">
        <v>18.046600000000002</v>
      </c>
      <c r="E66" s="68">
        <v>79.1524</v>
      </c>
      <c r="F66" s="68">
        <v>25.574400000000001</v>
      </c>
      <c r="G66" s="68">
        <v>18.982600000000001</v>
      </c>
      <c r="H66" s="74">
        <v>21.021327890416899</v>
      </c>
    </row>
    <row r="67" spans="1:8" x14ac:dyDescent="0.2">
      <c r="A67" s="62" t="s">
        <v>696</v>
      </c>
      <c r="B67" s="62" t="s">
        <v>697</v>
      </c>
      <c r="C67" s="68">
        <v>1.4025000000000001</v>
      </c>
      <c r="D67" s="68">
        <v>1.456</v>
      </c>
      <c r="E67" s="68">
        <v>1.5418000000000001</v>
      </c>
      <c r="F67" s="68">
        <v>1.3486</v>
      </c>
      <c r="G67" s="68">
        <v>1.3488</v>
      </c>
      <c r="H67" s="74">
        <v>1.8510638297872299</v>
      </c>
    </row>
    <row r="68" spans="1:8" x14ac:dyDescent="0.2">
      <c r="A68" s="69" t="s">
        <v>249</v>
      </c>
      <c r="B68" s="69"/>
      <c r="C68" s="69" t="s">
        <v>278</v>
      </c>
      <c r="D68" s="69"/>
      <c r="E68" s="69"/>
      <c r="F68" s="69"/>
      <c r="G68" s="69"/>
      <c r="H68" s="6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49A7-912C-9841-B848-BBC0F03808C3}">
  <dimension ref="A1:AA100"/>
  <sheetViews>
    <sheetView tabSelected="1" view="pageBreakPreview" zoomScale="41" zoomScaleNormal="70" zoomScaleSheetLayoutView="156" workbookViewId="0">
      <selection activeCell="P108" sqref="P108"/>
    </sheetView>
  </sheetViews>
  <sheetFormatPr baseColWidth="10" defaultColWidth="11.5" defaultRowHeight="15" x14ac:dyDescent="0.2"/>
  <cols>
    <col min="1" max="1" width="10.83203125" customWidth="1"/>
    <col min="2" max="2" width="7" customWidth="1"/>
    <col min="9" max="9" width="42.5" customWidth="1"/>
    <col min="10" max="10" width="25.5" customWidth="1"/>
    <col min="11" max="11" width="12.5" style="171" bestFit="1" customWidth="1"/>
    <col min="16" max="16" width="39.83203125" bestFit="1" customWidth="1"/>
    <col min="18" max="18" width="14.1640625" bestFit="1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89"/>
      <c r="L1" s="1"/>
    </row>
    <row r="2" spans="1:17" ht="16" thickBot="1" x14ac:dyDescent="0.25">
      <c r="A2" s="1"/>
      <c r="B2" s="1"/>
      <c r="C2" s="258" t="s">
        <v>18</v>
      </c>
      <c r="D2" s="258"/>
      <c r="E2" s="258"/>
      <c r="F2" s="258"/>
      <c r="G2" s="258"/>
      <c r="H2" s="1"/>
      <c r="I2" s="1"/>
      <c r="J2" s="1"/>
      <c r="K2" s="89"/>
      <c r="L2" s="1"/>
    </row>
    <row r="3" spans="1:17" ht="17" thickTop="1" thickBot="1" x14ac:dyDescent="0.25">
      <c r="A3" s="1"/>
      <c r="B3" s="144"/>
      <c r="C3" s="148" cm="1">
        <f t="array" ref="C3:G3">DCF!P26:T26</f>
        <v>9.9999999999999985E-3</v>
      </c>
      <c r="D3" s="148">
        <v>1.4999999999999999E-2</v>
      </c>
      <c r="E3" s="149">
        <v>0.02</v>
      </c>
      <c r="F3" s="148">
        <v>2.5000000000000001E-2</v>
      </c>
      <c r="G3" s="148">
        <v>3.0000000000000002E-2</v>
      </c>
      <c r="H3" s="1"/>
      <c r="I3" s="1"/>
      <c r="J3" s="1"/>
      <c r="K3" s="89"/>
      <c r="L3" s="1"/>
      <c r="M3">
        <v>2020</v>
      </c>
      <c r="N3">
        <v>1397</v>
      </c>
      <c r="O3">
        <v>737</v>
      </c>
      <c r="P3" cm="1">
        <f t="array" ref="P3:P5">N3:N5</f>
        <v>1397</v>
      </c>
      <c r="Q3" cm="1">
        <f t="array" ref="Q3:Q5">O3:O5</f>
        <v>737</v>
      </c>
    </row>
    <row r="4" spans="1:17" ht="16" thickBot="1" x14ac:dyDescent="0.25">
      <c r="A4" s="259" t="s">
        <v>24</v>
      </c>
      <c r="B4" s="153" cm="1">
        <f t="array" ref="B4:B8">DCF!O27:O31</f>
        <v>8.3055000000000018E-2</v>
      </c>
      <c r="C4" s="150" t="str" cm="1">
        <f t="array" ref="C4:G8">DCF!P27:T31</f>
        <v>-14.5% / $27.03</v>
      </c>
      <c r="D4" s="145" t="str">
        <v>-7.9% / $29.13</v>
      </c>
      <c r="E4" s="146" t="str">
        <v>-0.2% / $31.57</v>
      </c>
      <c r="F4" s="146" t="str">
        <v>8.8% / $34.43</v>
      </c>
      <c r="G4" s="147" t="str">
        <v>19.6% / $37.82</v>
      </c>
      <c r="H4" s="1"/>
      <c r="I4" s="1"/>
      <c r="J4" s="1"/>
      <c r="K4" s="89"/>
      <c r="L4" s="1"/>
      <c r="M4">
        <v>2021</v>
      </c>
      <c r="N4">
        <v>1790</v>
      </c>
      <c r="O4">
        <v>706</v>
      </c>
      <c r="P4">
        <v>1790</v>
      </c>
      <c r="Q4">
        <v>706</v>
      </c>
    </row>
    <row r="5" spans="1:17" ht="16" thickBot="1" x14ac:dyDescent="0.25">
      <c r="A5" s="259"/>
      <c r="B5" s="153">
        <v>7.8055000000000013E-2</v>
      </c>
      <c r="C5" s="151" t="str">
        <v>-8.3% / $28.99</v>
      </c>
      <c r="D5" s="162" t="str">
        <v>-0.7% / $31.42</v>
      </c>
      <c r="E5" s="162" t="str">
        <v>8.3% / $34.26</v>
      </c>
      <c r="F5" s="162" t="str">
        <v>19.0% / $37.64</v>
      </c>
      <c r="G5" s="80" t="str">
        <v>31.9% / $41.72</v>
      </c>
      <c r="H5" s="1"/>
      <c r="I5" s="1"/>
      <c r="J5" s="1"/>
      <c r="K5" s="89"/>
      <c r="L5" s="1"/>
      <c r="M5">
        <v>2022</v>
      </c>
      <c r="N5">
        <v>2434</v>
      </c>
      <c r="O5">
        <v>690</v>
      </c>
      <c r="P5">
        <v>2434</v>
      </c>
      <c r="Q5">
        <v>690</v>
      </c>
    </row>
    <row r="6" spans="1:17" ht="16" thickBot="1" x14ac:dyDescent="0.25">
      <c r="A6" s="259"/>
      <c r="B6" s="154">
        <v>7.3055000000000009E-2</v>
      </c>
      <c r="C6" s="151" t="str">
        <v>-1.2% / $31.26</v>
      </c>
      <c r="D6" s="162" t="str">
        <v>7.8% / $34.09</v>
      </c>
      <c r="E6" s="163" t="str">
        <v>18.4% / $37.46</v>
      </c>
      <c r="F6" s="162" t="str">
        <v>31.3% / $41.52</v>
      </c>
      <c r="G6" s="80" t="str">
        <v>47.1% / $46.53</v>
      </c>
      <c r="H6" s="1"/>
      <c r="I6" s="1"/>
      <c r="J6" s="1"/>
      <c r="K6" s="89"/>
      <c r="L6" s="1"/>
    </row>
    <row r="7" spans="1:17" ht="16" thickBot="1" x14ac:dyDescent="0.25">
      <c r="A7" s="259"/>
      <c r="B7" s="153">
        <v>6.8055000000000004E-2</v>
      </c>
      <c r="C7" s="151" t="str">
        <v>7.3% / $33.93</v>
      </c>
      <c r="D7" s="162" t="str">
        <v>17.8% / $37.28</v>
      </c>
      <c r="E7" s="162" t="str">
        <v>30.6% / $41.32</v>
      </c>
      <c r="F7" s="162" t="str">
        <v>46.4% / $46.31</v>
      </c>
      <c r="G7" s="80" t="str">
        <v>66.3% / $52.60</v>
      </c>
      <c r="H7" s="1"/>
      <c r="I7" s="1"/>
      <c r="J7" s="1"/>
      <c r="K7" s="89"/>
      <c r="L7" s="1"/>
    </row>
    <row r="8" spans="1:17" x14ac:dyDescent="0.2">
      <c r="A8" s="259"/>
      <c r="B8" s="153">
        <v>6.3055E-2</v>
      </c>
      <c r="C8" s="152" t="str">
        <v>17.3% / $37.09</v>
      </c>
      <c r="D8" s="82" t="str">
        <v>30.0% / $41.12</v>
      </c>
      <c r="E8" s="82" t="str">
        <v>45.7% / $46.08</v>
      </c>
      <c r="F8" s="82" t="str">
        <v>65.5% / $52.35</v>
      </c>
      <c r="G8" s="83" t="str">
        <v>91.3% / $60.51</v>
      </c>
      <c r="H8" s="1"/>
      <c r="I8" s="1"/>
      <c r="J8" s="1"/>
      <c r="K8" s="89"/>
      <c r="L8" s="1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89"/>
      <c r="L9" s="1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89"/>
      <c r="L10" s="1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89"/>
      <c r="L11" s="1"/>
      <c r="P11" t="s">
        <v>698</v>
      </c>
      <c r="Q11">
        <v>55.5</v>
      </c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89"/>
      <c r="L12" s="1"/>
      <c r="P12" t="s">
        <v>699</v>
      </c>
      <c r="Q12">
        <v>15.5</v>
      </c>
    </row>
    <row r="13" spans="1:17" x14ac:dyDescent="0.2">
      <c r="A13" s="1"/>
      <c r="B13" s="1"/>
      <c r="C13" s="1"/>
      <c r="D13" s="1"/>
      <c r="E13" s="1"/>
      <c r="F13" s="6"/>
      <c r="G13" s="1"/>
      <c r="H13" s="1"/>
      <c r="I13" s="5"/>
      <c r="J13" s="1"/>
      <c r="K13" s="89"/>
      <c r="L13" s="1"/>
      <c r="P13" t="s">
        <v>700</v>
      </c>
      <c r="Q13">
        <v>6.5</v>
      </c>
    </row>
    <row r="14" spans="1:17" x14ac:dyDescent="0.2">
      <c r="A14" s="1"/>
      <c r="B14" s="1"/>
      <c r="C14" s="1"/>
      <c r="D14" s="1"/>
      <c r="E14" s="1"/>
      <c r="F14" s="6"/>
      <c r="G14" s="1"/>
      <c r="H14" s="1"/>
      <c r="I14" s="5"/>
      <c r="J14" s="1"/>
      <c r="K14" s="89"/>
      <c r="L14" s="1"/>
      <c r="N14">
        <v>17</v>
      </c>
      <c r="P14" t="s">
        <v>701</v>
      </c>
      <c r="Q14">
        <v>6.1</v>
      </c>
    </row>
    <row r="15" spans="1:17" x14ac:dyDescent="0.2">
      <c r="A15" s="1"/>
      <c r="B15" s="1"/>
      <c r="C15" s="1"/>
      <c r="D15" s="1"/>
      <c r="E15" s="1"/>
      <c r="F15" s="6"/>
      <c r="G15" s="1"/>
      <c r="H15" s="1"/>
      <c r="I15" s="5"/>
      <c r="J15" s="1"/>
      <c r="K15" s="89"/>
      <c r="L15" s="1"/>
      <c r="N15">
        <v>22.5</v>
      </c>
      <c r="P15" t="s">
        <v>702</v>
      </c>
      <c r="Q15">
        <v>16.399999999999999</v>
      </c>
    </row>
    <row r="16" spans="1:17" x14ac:dyDescent="0.2">
      <c r="A16" s="1"/>
      <c r="B16" s="1"/>
      <c r="C16" s="1"/>
      <c r="D16" s="1"/>
      <c r="E16" s="1"/>
      <c r="F16" s="6"/>
      <c r="G16" s="1"/>
      <c r="H16" s="1"/>
      <c r="I16" s="5"/>
      <c r="J16" s="1"/>
      <c r="K16" s="89"/>
      <c r="L16" s="1"/>
      <c r="N16">
        <v>23</v>
      </c>
    </row>
    <row r="17" spans="1:19" x14ac:dyDescent="0.2">
      <c r="A17" s="1"/>
      <c r="B17" s="1"/>
      <c r="C17" s="1"/>
      <c r="D17" s="1"/>
      <c r="E17" s="1"/>
      <c r="F17" s="6"/>
      <c r="G17" s="1"/>
      <c r="H17" s="1"/>
      <c r="I17" s="5"/>
      <c r="J17" s="1"/>
      <c r="K17" s="89"/>
      <c r="L17" s="1"/>
      <c r="N17">
        <v>24.5</v>
      </c>
    </row>
    <row r="18" spans="1:19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89"/>
      <c r="L18" s="1"/>
      <c r="N18">
        <v>24.5</v>
      </c>
    </row>
    <row r="19" spans="1:19" x14ac:dyDescent="0.2">
      <c r="A19" s="1"/>
      <c r="B19" s="1"/>
      <c r="C19" s="1"/>
      <c r="D19" s="1"/>
      <c r="E19" s="1"/>
      <c r="F19" s="6"/>
      <c r="G19" s="1"/>
      <c r="H19" s="1"/>
      <c r="I19" s="1"/>
      <c r="J19" s="1"/>
      <c r="K19" s="89"/>
      <c r="L19" s="1"/>
      <c r="N19">
        <v>27</v>
      </c>
    </row>
    <row r="20" spans="1:19" x14ac:dyDescent="0.2">
      <c r="A20" s="1"/>
      <c r="B20" s="1"/>
      <c r="C20" s="1"/>
      <c r="D20" s="1"/>
      <c r="E20" s="1"/>
      <c r="F20" s="6"/>
      <c r="G20" s="1"/>
      <c r="H20" s="1"/>
      <c r="I20" s="1"/>
      <c r="J20" s="1"/>
      <c r="K20" s="89"/>
      <c r="L20" s="1"/>
      <c r="N20">
        <v>36</v>
      </c>
    </row>
    <row r="21" spans="1:19" x14ac:dyDescent="0.2">
      <c r="A21" s="1"/>
      <c r="B21" s="1"/>
      <c r="C21" s="1"/>
      <c r="D21" s="1"/>
      <c r="E21" s="1"/>
      <c r="F21" s="6"/>
      <c r="G21" s="1"/>
      <c r="H21" s="1"/>
      <c r="I21" s="1"/>
      <c r="J21" s="1"/>
      <c r="K21" s="89"/>
      <c r="L21" s="1"/>
    </row>
    <row r="22" spans="1:1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89"/>
      <c r="L22" s="1"/>
    </row>
    <row r="23" spans="1:1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89"/>
      <c r="L23" s="1"/>
    </row>
    <row r="24" spans="1:19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89"/>
      <c r="L24" s="1"/>
    </row>
    <row r="25" spans="1:1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89"/>
      <c r="L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89"/>
      <c r="L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89"/>
      <c r="L27" s="1"/>
    </row>
    <row r="28" spans="1:19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89"/>
      <c r="L28" s="1"/>
    </row>
    <row r="29" spans="1:19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89"/>
      <c r="L29" s="1"/>
    </row>
    <row r="30" spans="1:1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89"/>
      <c r="L30" s="1"/>
      <c r="O30" s="1"/>
      <c r="P30" s="1"/>
      <c r="Q30" s="1"/>
      <c r="R30" s="1"/>
      <c r="S30" s="1"/>
    </row>
    <row r="31" spans="1:19" ht="18" customHeight="1" x14ac:dyDescent="0.25">
      <c r="A31" s="1"/>
      <c r="B31" s="1"/>
      <c r="C31" s="1"/>
      <c r="D31" s="1"/>
      <c r="E31" s="1"/>
      <c r="F31" s="1"/>
      <c r="G31" s="1"/>
      <c r="H31" s="1"/>
      <c r="I31" s="161" t="s">
        <v>703</v>
      </c>
      <c r="J31" s="158" t="s">
        <v>704</v>
      </c>
      <c r="K31" s="170" t="s">
        <v>705</v>
      </c>
      <c r="L31" s="1"/>
      <c r="O31" s="1"/>
      <c r="S31" s="1"/>
    </row>
    <row r="32" spans="1:19" ht="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59"/>
      <c r="K32" s="160"/>
      <c r="L32" s="1"/>
      <c r="O32" s="1"/>
      <c r="S32" s="1"/>
    </row>
    <row r="33" spans="1:19" ht="15" customHeight="1" x14ac:dyDescent="0.2">
      <c r="A33" s="1"/>
      <c r="B33" s="1"/>
      <c r="C33" s="1"/>
      <c r="D33" s="1"/>
      <c r="E33" s="1"/>
      <c r="F33" s="1"/>
      <c r="G33" s="1"/>
      <c r="H33" s="1"/>
      <c r="I33" s="276" t="s">
        <v>706</v>
      </c>
      <c r="J33" s="277">
        <v>6.69</v>
      </c>
      <c r="K33" s="268" t="s">
        <v>707</v>
      </c>
      <c r="L33" s="1"/>
      <c r="O33" s="1"/>
      <c r="S33" s="1"/>
    </row>
    <row r="34" spans="1:19" ht="15" customHeight="1" x14ac:dyDescent="0.2">
      <c r="A34" s="1"/>
      <c r="B34" s="1"/>
      <c r="C34" s="1"/>
      <c r="D34" s="1"/>
      <c r="E34" s="1"/>
      <c r="F34" s="1"/>
      <c r="G34" s="1"/>
      <c r="H34" s="1"/>
      <c r="I34" s="275" t="s">
        <v>708</v>
      </c>
      <c r="J34" s="271">
        <v>7.45</v>
      </c>
      <c r="K34" s="268" t="s">
        <v>707</v>
      </c>
      <c r="L34" s="1"/>
      <c r="N34" t="s">
        <v>709</v>
      </c>
      <c r="O34" s="1"/>
      <c r="P34" t="s">
        <v>710</v>
      </c>
      <c r="Q34">
        <v>12.5</v>
      </c>
      <c r="R34">
        <v>24</v>
      </c>
      <c r="S34">
        <v>32.5</v>
      </c>
    </row>
    <row r="35" spans="1:19" ht="15" customHeight="1" x14ac:dyDescent="0.2">
      <c r="A35" s="1"/>
      <c r="B35" s="1"/>
      <c r="C35" s="1"/>
      <c r="D35" s="1"/>
      <c r="E35" s="1"/>
      <c r="F35" s="1"/>
      <c r="G35" s="1"/>
      <c r="H35" s="1"/>
      <c r="I35" s="275" t="s">
        <v>711</v>
      </c>
      <c r="J35" s="271">
        <v>5.69</v>
      </c>
      <c r="K35" s="269" t="s">
        <v>712</v>
      </c>
      <c r="L35" s="1"/>
      <c r="O35" s="1"/>
      <c r="P35" t="s">
        <v>713</v>
      </c>
      <c r="Q35">
        <v>15</v>
      </c>
      <c r="R35">
        <v>17</v>
      </c>
      <c r="S35">
        <v>23</v>
      </c>
    </row>
    <row r="36" spans="1:19" ht="5" customHeight="1" x14ac:dyDescent="0.2">
      <c r="A36" s="1"/>
      <c r="B36" s="1"/>
      <c r="C36" s="1"/>
      <c r="D36" s="1"/>
      <c r="E36" s="1"/>
      <c r="F36" s="1"/>
      <c r="G36" s="1"/>
      <c r="H36" s="1"/>
      <c r="I36" s="270"/>
      <c r="J36" s="271"/>
      <c r="K36" s="272"/>
      <c r="L36" s="1"/>
      <c r="O36" s="1"/>
      <c r="P36" t="s">
        <v>714</v>
      </c>
      <c r="Q36">
        <v>4</v>
      </c>
      <c r="R36">
        <v>9</v>
      </c>
      <c r="S36">
        <v>13.5</v>
      </c>
    </row>
    <row r="37" spans="1:19" ht="15" customHeight="1" x14ac:dyDescent="0.2">
      <c r="A37" s="1"/>
      <c r="B37" s="1"/>
      <c r="C37" s="1"/>
      <c r="D37" s="1"/>
      <c r="E37" s="1"/>
      <c r="F37" s="1"/>
      <c r="G37" s="1"/>
      <c r="H37" s="1"/>
      <c r="I37" s="276" t="s">
        <v>715</v>
      </c>
      <c r="J37" s="277">
        <v>5</v>
      </c>
      <c r="K37" s="268" t="s">
        <v>707</v>
      </c>
      <c r="L37" s="1"/>
      <c r="O37" s="1"/>
      <c r="P37" t="s">
        <v>716</v>
      </c>
      <c r="Q37">
        <v>7</v>
      </c>
      <c r="R37">
        <v>9</v>
      </c>
      <c r="S37">
        <v>12</v>
      </c>
    </row>
    <row r="38" spans="1:19" ht="15" customHeight="1" x14ac:dyDescent="0.2">
      <c r="A38" s="1"/>
      <c r="B38" s="1"/>
      <c r="C38" s="1"/>
      <c r="D38" s="1"/>
      <c r="E38" s="1"/>
      <c r="F38" s="1"/>
      <c r="G38" s="1"/>
      <c r="H38" s="1"/>
      <c r="I38" s="275" t="s">
        <v>717</v>
      </c>
      <c r="J38" s="271">
        <v>4</v>
      </c>
      <c r="K38" s="268" t="s">
        <v>707</v>
      </c>
      <c r="L38" s="1"/>
      <c r="O38" s="1"/>
      <c r="P38" t="s">
        <v>718</v>
      </c>
      <c r="Q38">
        <v>5.5</v>
      </c>
      <c r="R38">
        <v>7.5</v>
      </c>
      <c r="S38">
        <v>8</v>
      </c>
    </row>
    <row r="39" spans="1:19" ht="15" customHeight="1" x14ac:dyDescent="0.2">
      <c r="A39" s="1"/>
      <c r="B39" s="1"/>
      <c r="C39" s="1"/>
      <c r="D39" s="1"/>
      <c r="E39" s="1"/>
      <c r="F39" s="1"/>
      <c r="G39" s="1"/>
      <c r="H39" s="1"/>
      <c r="I39" s="275" t="s">
        <v>719</v>
      </c>
      <c r="J39" s="271">
        <v>4.93</v>
      </c>
      <c r="K39" s="268" t="s">
        <v>707</v>
      </c>
      <c r="L39" s="1"/>
      <c r="O39" s="1"/>
      <c r="P39" t="s">
        <v>720</v>
      </c>
      <c r="Q39">
        <v>3</v>
      </c>
      <c r="R39">
        <v>2.5</v>
      </c>
      <c r="S39">
        <v>3.5</v>
      </c>
    </row>
    <row r="40" spans="1:19" ht="15" customHeight="1" x14ac:dyDescent="0.2">
      <c r="A40" s="1"/>
      <c r="B40" s="1"/>
      <c r="C40" s="1"/>
      <c r="D40" s="1"/>
      <c r="E40" s="1"/>
      <c r="F40" s="1"/>
      <c r="G40" s="1"/>
      <c r="H40" s="1"/>
      <c r="I40" s="275" t="s">
        <v>721</v>
      </c>
      <c r="J40" s="271">
        <v>10</v>
      </c>
      <c r="K40" s="268" t="s">
        <v>707</v>
      </c>
      <c r="L40" s="1"/>
      <c r="O40" s="1"/>
      <c r="S40" s="1"/>
    </row>
    <row r="41" spans="1:19" ht="15" customHeight="1" x14ac:dyDescent="0.2">
      <c r="A41" s="1"/>
      <c r="B41" s="1"/>
      <c r="C41" s="1"/>
      <c r="D41" s="1"/>
      <c r="E41" s="1"/>
      <c r="F41" s="1"/>
      <c r="G41" s="1"/>
      <c r="H41" s="1"/>
      <c r="I41" s="275" t="s">
        <v>722</v>
      </c>
      <c r="J41" s="271">
        <v>3</v>
      </c>
      <c r="K41" s="268" t="s">
        <v>707</v>
      </c>
      <c r="L41" s="1"/>
      <c r="O41" s="1"/>
      <c r="S41" s="1"/>
    </row>
    <row r="42" spans="1:19" ht="5" customHeight="1" x14ac:dyDescent="0.2">
      <c r="A42" s="1"/>
      <c r="B42" s="1"/>
      <c r="C42" s="1"/>
      <c r="D42" s="1"/>
      <c r="E42" s="1"/>
      <c r="F42" s="1"/>
      <c r="G42" s="1"/>
      <c r="H42" s="1"/>
      <c r="I42" s="273"/>
      <c r="J42" s="271"/>
      <c r="K42" s="272"/>
      <c r="L42" s="1"/>
      <c r="O42" s="1"/>
      <c r="S42" s="1"/>
    </row>
    <row r="43" spans="1:19" ht="15" customHeight="1" x14ac:dyDescent="0.2">
      <c r="A43" s="1"/>
      <c r="B43" s="1"/>
      <c r="C43" s="1"/>
      <c r="D43" s="1"/>
      <c r="E43" s="1"/>
      <c r="F43" s="1"/>
      <c r="G43" s="1"/>
      <c r="H43" s="1"/>
      <c r="I43" s="276" t="s">
        <v>723</v>
      </c>
      <c r="J43" s="277">
        <v>7.52</v>
      </c>
      <c r="K43" s="268" t="s">
        <v>707</v>
      </c>
      <c r="L43" s="1"/>
      <c r="O43" s="1"/>
      <c r="S43" s="1"/>
    </row>
    <row r="44" spans="1:19" ht="15" customHeight="1" x14ac:dyDescent="0.2">
      <c r="A44" s="1"/>
      <c r="B44" s="1"/>
      <c r="C44" s="1"/>
      <c r="D44" s="1"/>
      <c r="E44" s="1"/>
      <c r="F44" s="1"/>
      <c r="G44" s="1"/>
      <c r="H44" s="1"/>
      <c r="I44" s="275" t="s">
        <v>724</v>
      </c>
      <c r="J44" s="271">
        <v>7.13</v>
      </c>
      <c r="K44" s="268" t="s">
        <v>707</v>
      </c>
      <c r="L44" s="1"/>
      <c r="O44" s="1"/>
      <c r="S44" s="1"/>
    </row>
    <row r="45" spans="1:19" ht="15" customHeight="1" x14ac:dyDescent="0.2">
      <c r="A45" s="1"/>
      <c r="B45" s="1"/>
      <c r="C45" s="1"/>
      <c r="D45" s="1"/>
      <c r="E45" s="1"/>
      <c r="F45" s="1"/>
      <c r="G45" s="1"/>
      <c r="H45" s="1"/>
      <c r="I45" s="275" t="s">
        <v>725</v>
      </c>
      <c r="J45" s="271">
        <v>8.2100000000000009</v>
      </c>
      <c r="K45" s="268" t="s">
        <v>707</v>
      </c>
      <c r="L45" s="1"/>
      <c r="O45" s="1"/>
      <c r="S45" s="1"/>
    </row>
    <row r="46" spans="1:19" ht="15" customHeight="1" x14ac:dyDescent="0.2">
      <c r="A46" s="1"/>
      <c r="B46" s="1"/>
      <c r="C46" s="1"/>
      <c r="D46" s="1"/>
      <c r="E46" s="1"/>
      <c r="F46" s="1"/>
      <c r="G46" s="1"/>
      <c r="H46" s="1"/>
      <c r="I46" s="275" t="s">
        <v>726</v>
      </c>
      <c r="J46" s="271">
        <v>6.73</v>
      </c>
      <c r="K46" s="274" t="s">
        <v>727</v>
      </c>
      <c r="L46" s="1"/>
      <c r="O46" s="1"/>
      <c r="S46" s="1"/>
    </row>
    <row r="47" spans="1:19" ht="15" customHeight="1" x14ac:dyDescent="0.2">
      <c r="A47" s="1"/>
      <c r="B47" s="1"/>
      <c r="C47" s="1"/>
      <c r="D47" s="1"/>
      <c r="E47" s="1"/>
      <c r="F47" s="1"/>
      <c r="G47" s="1"/>
      <c r="H47" s="1"/>
      <c r="I47" s="275" t="s">
        <v>728</v>
      </c>
      <c r="J47" s="271">
        <v>8.67</v>
      </c>
      <c r="K47" s="268" t="s">
        <v>707</v>
      </c>
      <c r="L47" s="1"/>
      <c r="O47" s="1"/>
      <c r="S47" s="1"/>
    </row>
    <row r="48" spans="1:1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89"/>
      <c r="L48" s="1"/>
      <c r="O48" s="1"/>
      <c r="P48" s="1"/>
      <c r="Q48" s="1"/>
      <c r="R48" s="1"/>
      <c r="S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89"/>
      <c r="L49" s="1"/>
      <c r="S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89"/>
      <c r="L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89"/>
      <c r="L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89"/>
      <c r="L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89"/>
      <c r="L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89"/>
      <c r="L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89"/>
      <c r="L55" s="1"/>
      <c r="P55">
        <v>2023</v>
      </c>
      <c r="Q55">
        <v>2024</v>
      </c>
      <c r="R55">
        <v>2025</v>
      </c>
      <c r="S55">
        <v>2026</v>
      </c>
      <c r="T55">
        <v>2027</v>
      </c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89"/>
      <c r="L56" s="1"/>
      <c r="P56" s="182">
        <v>14614.154</v>
      </c>
      <c r="Q56" s="182">
        <v>14995.846</v>
      </c>
      <c r="R56" s="182">
        <v>16795</v>
      </c>
      <c r="S56" s="182">
        <v>19507.599999999627</v>
      </c>
      <c r="T56" s="190">
        <v>18978.600000000093</v>
      </c>
      <c r="V56" s="200">
        <f>P56-P57-P58</f>
        <v>4334.0450000000001</v>
      </c>
      <c r="W56" s="200">
        <f t="shared" ref="W56:Z56" si="0">Q56-Q57-Q58</f>
        <v>4098.1759999999995</v>
      </c>
      <c r="X56" s="200">
        <f t="shared" si="0"/>
        <v>4257.9689345616971</v>
      </c>
      <c r="Y56" s="200">
        <f t="shared" si="0"/>
        <v>5651.5053815997926</v>
      </c>
      <c r="Z56" s="200">
        <f t="shared" si="0"/>
        <v>5293.75568754714</v>
      </c>
      <c r="AA56" s="200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89"/>
      <c r="L57" s="1"/>
      <c r="P57" s="182">
        <v>7149.1819999999998</v>
      </c>
      <c r="Q57" s="182">
        <v>7417.5</v>
      </c>
      <c r="R57" s="182">
        <v>8598.7810654383029</v>
      </c>
      <c r="S57" s="182">
        <v>9849.8346183998256</v>
      </c>
      <c r="T57" s="190">
        <v>9483.8043124529158</v>
      </c>
      <c r="V57" s="200">
        <f>P57-P58</f>
        <v>4018.2549999999997</v>
      </c>
      <c r="W57" s="200">
        <f t="shared" ref="W57:Z57" si="1">Q57-Q58</f>
        <v>3937.33</v>
      </c>
      <c r="X57" s="200">
        <f t="shared" si="1"/>
        <v>4660.5310654383029</v>
      </c>
      <c r="Y57" s="200">
        <f t="shared" si="1"/>
        <v>5843.5746183998162</v>
      </c>
      <c r="Z57" s="200">
        <f t="shared" si="1"/>
        <v>5282.7643124528786</v>
      </c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89"/>
      <c r="L58" s="1"/>
      <c r="P58" s="182">
        <v>3130.9270000000001</v>
      </c>
      <c r="Q58" s="182">
        <v>3480.17</v>
      </c>
      <c r="R58" s="182">
        <v>3938.25</v>
      </c>
      <c r="S58" s="182">
        <v>4006.2600000000093</v>
      </c>
      <c r="T58" s="190">
        <v>4201.0400000000373</v>
      </c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89"/>
      <c r="L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89"/>
      <c r="L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89"/>
      <c r="L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89"/>
      <c r="L62" s="1"/>
      <c r="N62">
        <v>274849.29143168801</v>
      </c>
      <c r="O62">
        <v>2200</v>
      </c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89"/>
      <c r="L63" s="1"/>
      <c r="N63">
        <v>274849.2914316883</v>
      </c>
      <c r="O63">
        <v>3100</v>
      </c>
      <c r="S63" t="s">
        <v>782</v>
      </c>
      <c r="T63" t="s">
        <v>66</v>
      </c>
      <c r="U63" t="s">
        <v>783</v>
      </c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89"/>
      <c r="L64" s="1"/>
      <c r="N64">
        <v>274849.2914316883</v>
      </c>
      <c r="O64">
        <v>2900</v>
      </c>
      <c r="R64">
        <v>2017.5</v>
      </c>
      <c r="S64">
        <v>3</v>
      </c>
      <c r="T64">
        <v>9</v>
      </c>
      <c r="U64">
        <v>3.9</v>
      </c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89"/>
      <c r="L65" s="1"/>
      <c r="N65">
        <f>AVERAGE(CCA!E20:E30)*1000000</f>
        <v>334299.08457073901</v>
      </c>
      <c r="O65">
        <f t="shared" ref="O65:O66" si="2">N65/100</f>
        <v>3342.9908457073902</v>
      </c>
      <c r="R65">
        <v>2017.75</v>
      </c>
      <c r="S65">
        <v>2.5</v>
      </c>
      <c r="T65">
        <v>-2</v>
      </c>
      <c r="U65">
        <v>-5</v>
      </c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89"/>
      <c r="L66" s="1"/>
      <c r="N66">
        <f>AVERAGE(CCA!F20:F30)*1000000</f>
        <v>274849.2914316883</v>
      </c>
      <c r="O66">
        <f t="shared" si="2"/>
        <v>2748.4929143168829</v>
      </c>
      <c r="R66">
        <v>2018</v>
      </c>
      <c r="S66">
        <v>-2</v>
      </c>
      <c r="T66">
        <v>-3.5</v>
      </c>
      <c r="U66">
        <v>-1</v>
      </c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89"/>
      <c r="L67" s="1"/>
      <c r="R67">
        <v>2018.25</v>
      </c>
      <c r="S67">
        <v>1</v>
      </c>
      <c r="T67">
        <v>10</v>
      </c>
      <c r="U67">
        <v>9</v>
      </c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89"/>
      <c r="L68" s="1"/>
      <c r="R68">
        <v>2018.5</v>
      </c>
      <c r="S68">
        <v>8</v>
      </c>
      <c r="T68">
        <v>20</v>
      </c>
      <c r="U68">
        <v>10</v>
      </c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89"/>
      <c r="L69" s="1"/>
      <c r="R69">
        <v>2018.75</v>
      </c>
      <c r="S69">
        <v>7</v>
      </c>
      <c r="T69">
        <v>12</v>
      </c>
      <c r="U69">
        <v>5</v>
      </c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89"/>
      <c r="L70" s="1"/>
      <c r="M70" s="1"/>
      <c r="R70">
        <v>2019</v>
      </c>
      <c r="S70">
        <v>1.5</v>
      </c>
      <c r="T70">
        <v>9</v>
      </c>
      <c r="U70">
        <v>7</v>
      </c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89"/>
      <c r="L71" s="1"/>
      <c r="M71" s="1"/>
      <c r="R71">
        <v>2019.25</v>
      </c>
      <c r="S71">
        <v>-4</v>
      </c>
      <c r="T71">
        <v>-1</v>
      </c>
      <c r="U71">
        <v>2</v>
      </c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89"/>
      <c r="L72" s="1"/>
      <c r="M72" s="1"/>
      <c r="R72">
        <v>2019.5</v>
      </c>
      <c r="S72">
        <v>-3.5</v>
      </c>
      <c r="T72">
        <v>-10</v>
      </c>
      <c r="U72">
        <v>-7</v>
      </c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89"/>
      <c r="L73" s="1"/>
      <c r="M73" s="1"/>
      <c r="R73">
        <v>2019.75</v>
      </c>
      <c r="S73">
        <v>-5</v>
      </c>
      <c r="T73">
        <v>-18</v>
      </c>
      <c r="U73">
        <v>-15</v>
      </c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89"/>
      <c r="L74" s="1"/>
      <c r="M74" s="1"/>
      <c r="R74">
        <v>2020</v>
      </c>
      <c r="S74">
        <v>-11</v>
      </c>
      <c r="T74">
        <v>-21</v>
      </c>
      <c r="U74">
        <v>-13</v>
      </c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89"/>
      <c r="L75" s="1"/>
      <c r="M75" s="1"/>
      <c r="R75">
        <v>2020.25</v>
      </c>
      <c r="S75">
        <v>-8</v>
      </c>
      <c r="T75">
        <v>-45</v>
      </c>
      <c r="U75">
        <v>-40</v>
      </c>
    </row>
    <row r="76" spans="1:2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89"/>
      <c r="L76" s="1"/>
      <c r="M76" s="1"/>
      <c r="R76">
        <v>2020.5</v>
      </c>
      <c r="S76">
        <v>-11.5</v>
      </c>
      <c r="T76">
        <v>-29</v>
      </c>
      <c r="U76">
        <v>-23</v>
      </c>
    </row>
    <row r="77" spans="1:2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89"/>
      <c r="L77" s="1"/>
      <c r="M77" s="1"/>
      <c r="R77">
        <v>2020.75</v>
      </c>
      <c r="S77">
        <v>-5</v>
      </c>
      <c r="T77">
        <v>-12</v>
      </c>
      <c r="U77">
        <v>-6</v>
      </c>
    </row>
    <row r="78" spans="1:2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89"/>
      <c r="L78" s="1"/>
      <c r="M78" s="1"/>
      <c r="R78">
        <v>2021</v>
      </c>
      <c r="S78">
        <v>0</v>
      </c>
      <c r="T78">
        <v>-5</v>
      </c>
      <c r="U78">
        <v>-5</v>
      </c>
    </row>
    <row r="79" spans="1:2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89"/>
      <c r="L79" s="1"/>
      <c r="M79" s="1"/>
      <c r="R79">
        <v>2021.25</v>
      </c>
      <c r="S79">
        <v>2.5</v>
      </c>
      <c r="T79">
        <v>47</v>
      </c>
      <c r="U79">
        <v>42</v>
      </c>
    </row>
    <row r="80" spans="1:2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89"/>
      <c r="L80" s="1"/>
      <c r="M80" s="1"/>
      <c r="R80">
        <v>2021.5</v>
      </c>
      <c r="S80">
        <v>23</v>
      </c>
      <c r="T80">
        <v>41</v>
      </c>
      <c r="U80">
        <v>19</v>
      </c>
    </row>
    <row r="81" spans="1:2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89"/>
      <c r="L81" s="1"/>
      <c r="M81" s="1"/>
      <c r="R81">
        <v>2021.75</v>
      </c>
      <c r="S81">
        <v>43</v>
      </c>
      <c r="T81">
        <v>40.5</v>
      </c>
      <c r="U81">
        <v>-2</v>
      </c>
    </row>
    <row r="82" spans="1:2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89"/>
      <c r="L82" s="1"/>
      <c r="M82" s="1"/>
      <c r="R82">
        <v>2022</v>
      </c>
      <c r="S82">
        <v>53</v>
      </c>
      <c r="T82">
        <v>39</v>
      </c>
      <c r="U82">
        <v>-14</v>
      </c>
    </row>
    <row r="83" spans="1:2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89"/>
      <c r="L83" s="1"/>
      <c r="M83" s="1"/>
      <c r="R83">
        <v>2022.25</v>
      </c>
      <c r="S83">
        <v>56.5</v>
      </c>
      <c r="T83">
        <v>52</v>
      </c>
      <c r="U83">
        <v>-4</v>
      </c>
    </row>
    <row r="84" spans="1:2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89"/>
      <c r="L84" s="1"/>
      <c r="M84" s="1"/>
      <c r="R84">
        <v>2022.5</v>
      </c>
      <c r="S84">
        <v>38</v>
      </c>
      <c r="T84">
        <v>36</v>
      </c>
      <c r="U84">
        <v>-2</v>
      </c>
    </row>
    <row r="85" spans="1:2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89"/>
      <c r="L85" s="1"/>
      <c r="M85" s="1"/>
      <c r="R85">
        <v>2022.75</v>
      </c>
      <c r="S85">
        <v>11</v>
      </c>
      <c r="T85">
        <v>21</v>
      </c>
      <c r="U85">
        <v>10</v>
      </c>
    </row>
    <row r="86" spans="1:2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89"/>
      <c r="L86" s="1"/>
      <c r="M86" s="1"/>
      <c r="R86">
        <v>2023</v>
      </c>
      <c r="S86">
        <v>-0.5</v>
      </c>
      <c r="T86">
        <v>19</v>
      </c>
      <c r="U86">
        <v>20</v>
      </c>
    </row>
    <row r="87" spans="1:2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89"/>
      <c r="L87" s="1"/>
      <c r="M87" s="1"/>
      <c r="R87">
        <v>2023.25</v>
      </c>
      <c r="S87">
        <v>-6</v>
      </c>
      <c r="T87">
        <v>-2</v>
      </c>
      <c r="U87">
        <v>5</v>
      </c>
    </row>
    <row r="88" spans="1:2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89"/>
      <c r="L88" s="1"/>
      <c r="M88" s="1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89"/>
      <c r="L89" s="1"/>
      <c r="M89" s="1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89"/>
      <c r="L90" s="1"/>
      <c r="M90" s="1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89"/>
      <c r="L91" s="1"/>
      <c r="M91" s="1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89"/>
      <c r="L92" s="1"/>
      <c r="M92" s="1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89"/>
      <c r="L93" s="1"/>
      <c r="M93" s="1"/>
    </row>
    <row r="94" spans="1:2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89"/>
      <c r="L94" s="1"/>
      <c r="M94" s="1"/>
    </row>
    <row r="95" spans="1:2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89"/>
      <c r="L95" s="1"/>
      <c r="M95" s="1"/>
    </row>
    <row r="96" spans="1:2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89"/>
      <c r="L96" s="1"/>
      <c r="M96" s="1"/>
    </row>
    <row r="97" spans="1:1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89"/>
      <c r="L97" s="1"/>
      <c r="M97" s="1"/>
    </row>
    <row r="98" spans="1:1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89"/>
      <c r="L98" s="1"/>
      <c r="M98" s="1"/>
    </row>
    <row r="99" spans="1:1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89"/>
      <c r="L99" s="1"/>
      <c r="M99" s="1"/>
    </row>
    <row r="100" spans="1:1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9"/>
      <c r="L100" s="1"/>
      <c r="M100" s="1"/>
    </row>
  </sheetData>
  <mergeCells count="2">
    <mergeCell ref="A4:A8"/>
    <mergeCell ref="C2:G2"/>
  </mergeCells>
  <conditionalFormatting sqref="C4:G8">
    <cfRule type="colorScale" priority="2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conditionalFormatting sqref="J32:J47">
    <cfRule type="dataBar" priority="1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{41CB9F41-44E6-486C-9252-7C10E9E043BA}</x14:id>
        </ext>
      </extLst>
    </cfRule>
  </conditionalFormatting>
  <pageMargins left="0.7" right="0.7" top="0.75" bottom="0.75" header="0.3" footer="0.3"/>
  <pageSetup paperSize="9" scale="46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CB9F41-44E6-486C-9252-7C10E9E04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J32:J47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4BE4-AFFD-485E-BE2C-FFAE51E2982F}">
  <dimension ref="A1:AA149"/>
  <sheetViews>
    <sheetView zoomScale="89" zoomScaleNormal="210" workbookViewId="0">
      <selection activeCell="AA14" sqref="AA14"/>
    </sheetView>
  </sheetViews>
  <sheetFormatPr baseColWidth="10" defaultColWidth="8.83203125" defaultRowHeight="15" x14ac:dyDescent="0.2"/>
  <cols>
    <col min="3" max="16" width="9" bestFit="1" customWidth="1"/>
    <col min="17" max="17" width="11.6640625" bestFit="1" customWidth="1"/>
    <col min="18" max="18" width="9" bestFit="1" customWidth="1"/>
    <col min="19" max="19" width="11.6640625" bestFit="1" customWidth="1"/>
    <col min="20" max="20" width="9" bestFit="1" customWidth="1"/>
    <col min="21" max="21" width="11.6640625" bestFit="1" customWidth="1"/>
    <col min="22" max="22" width="9" bestFit="1" customWidth="1"/>
    <col min="25" max="27" width="10.33203125" bestFit="1" customWidth="1"/>
  </cols>
  <sheetData>
    <row r="1" spans="1:22" ht="20" x14ac:dyDescent="0.2">
      <c r="A1" s="123" t="s">
        <v>729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2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1:22" x14ac:dyDescent="0.2">
      <c r="A3" s="125" t="s">
        <v>89</v>
      </c>
      <c r="B3" s="125"/>
      <c r="C3" s="130" t="s">
        <v>115</v>
      </c>
      <c r="D3" s="130"/>
      <c r="E3" s="130" t="s">
        <v>116</v>
      </c>
      <c r="F3" s="130"/>
      <c r="G3" s="130" t="s">
        <v>117</v>
      </c>
      <c r="H3" s="130"/>
      <c r="I3" s="130" t="s">
        <v>118</v>
      </c>
      <c r="J3" s="130"/>
      <c r="K3" s="130" t="s">
        <v>119</v>
      </c>
      <c r="L3" s="130"/>
      <c r="M3" s="130" t="s">
        <v>81</v>
      </c>
      <c r="N3" s="130"/>
      <c r="O3" s="130" t="s">
        <v>82</v>
      </c>
      <c r="P3" s="130"/>
      <c r="Q3" s="130" t="s">
        <v>83</v>
      </c>
      <c r="R3" s="130"/>
      <c r="S3" s="130" t="s">
        <v>84</v>
      </c>
      <c r="T3" s="130"/>
      <c r="U3" s="130" t="s">
        <v>85</v>
      </c>
      <c r="V3" s="130"/>
    </row>
    <row r="4" spans="1:22" x14ac:dyDescent="0.2">
      <c r="A4" s="127" t="s">
        <v>121</v>
      </c>
      <c r="B4" s="127"/>
      <c r="C4" s="131" t="s">
        <v>155</v>
      </c>
      <c r="D4" s="131"/>
      <c r="E4" s="131" t="s">
        <v>156</v>
      </c>
      <c r="F4" s="131"/>
      <c r="G4" s="131" t="s">
        <v>157</v>
      </c>
      <c r="H4" s="131"/>
      <c r="I4" s="131" t="s">
        <v>158</v>
      </c>
      <c r="J4" s="131"/>
      <c r="K4" s="131" t="s">
        <v>159</v>
      </c>
      <c r="L4" s="131"/>
      <c r="M4" s="131" t="s">
        <v>122</v>
      </c>
      <c r="N4" s="131"/>
      <c r="O4" s="131" t="s">
        <v>123</v>
      </c>
      <c r="P4" s="131"/>
      <c r="Q4" s="131" t="s">
        <v>124</v>
      </c>
      <c r="R4" s="131"/>
      <c r="S4" s="131" t="s">
        <v>125</v>
      </c>
      <c r="T4" s="131"/>
      <c r="U4" s="131" t="s">
        <v>126</v>
      </c>
      <c r="V4" s="131"/>
    </row>
    <row r="5" spans="1:22" x14ac:dyDescent="0.2">
      <c r="A5" s="60" t="s">
        <v>66</v>
      </c>
      <c r="B5" s="60"/>
      <c r="C5" s="132">
        <v>12026</v>
      </c>
      <c r="D5" s="133">
        <v>1</v>
      </c>
      <c r="E5" s="132">
        <v>12669</v>
      </c>
      <c r="F5" s="133">
        <v>1</v>
      </c>
      <c r="G5" s="132">
        <v>11811</v>
      </c>
      <c r="H5" s="133">
        <v>1</v>
      </c>
      <c r="I5" s="132">
        <v>11069</v>
      </c>
      <c r="J5" s="133">
        <v>1</v>
      </c>
      <c r="K5" s="132">
        <v>11408</v>
      </c>
      <c r="L5" s="133">
        <v>1</v>
      </c>
      <c r="M5" s="132">
        <v>12250</v>
      </c>
      <c r="N5" s="133">
        <v>1</v>
      </c>
      <c r="O5" s="132">
        <v>11937</v>
      </c>
      <c r="P5" s="133">
        <v>1</v>
      </c>
      <c r="Q5" s="132">
        <v>10583</v>
      </c>
      <c r="R5" s="133">
        <v>1</v>
      </c>
      <c r="S5" s="132">
        <v>12522</v>
      </c>
      <c r="T5" s="133">
        <v>1</v>
      </c>
      <c r="U5" s="132">
        <v>14853</v>
      </c>
      <c r="V5" s="133">
        <v>1</v>
      </c>
    </row>
    <row r="6" spans="1:22" x14ac:dyDescent="0.2">
      <c r="A6" s="62" t="s">
        <v>730</v>
      </c>
      <c r="B6" s="62"/>
      <c r="C6" s="134">
        <v>7037</v>
      </c>
      <c r="D6" s="135">
        <v>0.58514884417096302</v>
      </c>
      <c r="E6" s="134">
        <v>7608</v>
      </c>
      <c r="F6" s="135">
        <v>0.60052095666587701</v>
      </c>
      <c r="G6" s="134">
        <v>7271</v>
      </c>
      <c r="H6" s="135">
        <v>0.61561256455846203</v>
      </c>
      <c r="I6" s="134">
        <v>7142</v>
      </c>
      <c r="J6" s="135">
        <v>0.64522540428222996</v>
      </c>
      <c r="K6" s="134">
        <v>7068</v>
      </c>
      <c r="L6" s="135">
        <v>0.61956521739130399</v>
      </c>
      <c r="M6" s="134">
        <v>7491</v>
      </c>
      <c r="N6" s="135">
        <v>0.61151020408163304</v>
      </c>
      <c r="O6" s="134">
        <v>7589</v>
      </c>
      <c r="P6" s="135">
        <v>0.63575437714668703</v>
      </c>
      <c r="Q6" s="134">
        <v>7076</v>
      </c>
      <c r="R6" s="135">
        <v>0.66861948407823901</v>
      </c>
      <c r="S6" s="134">
        <v>7539</v>
      </c>
      <c r="T6" s="135">
        <v>0.60206037374221399</v>
      </c>
      <c r="U6" s="134">
        <v>8239</v>
      </c>
      <c r="V6" s="135">
        <v>0.55470275365246102</v>
      </c>
    </row>
    <row r="7" spans="1:22" x14ac:dyDescent="0.2">
      <c r="A7" s="62" t="s">
        <v>731</v>
      </c>
      <c r="B7" s="62"/>
      <c r="C7" s="134">
        <v>1896</v>
      </c>
      <c r="D7" s="135">
        <v>0.15765840678529899</v>
      </c>
      <c r="E7" s="134">
        <v>2178</v>
      </c>
      <c r="F7" s="135">
        <v>0.171915699739522</v>
      </c>
      <c r="G7" s="134">
        <v>2284</v>
      </c>
      <c r="H7" s="135">
        <v>0.19337905342477399</v>
      </c>
      <c r="I7" s="134">
        <v>2191</v>
      </c>
      <c r="J7" s="135">
        <v>0.197940193332731</v>
      </c>
      <c r="K7" s="134">
        <v>2210</v>
      </c>
      <c r="L7" s="135">
        <v>0.19372370266479699</v>
      </c>
      <c r="M7" s="134">
        <v>2339</v>
      </c>
      <c r="N7" s="135">
        <v>0.190938775510204</v>
      </c>
      <c r="O7" s="134">
        <v>2349</v>
      </c>
      <c r="P7" s="135">
        <v>0.19678311133450599</v>
      </c>
      <c r="Q7" s="134">
        <v>2309</v>
      </c>
      <c r="R7" s="135">
        <v>0.21818010016063499</v>
      </c>
      <c r="S7" s="134">
        <v>2421</v>
      </c>
      <c r="T7" s="135">
        <v>0.19333972208912301</v>
      </c>
      <c r="U7" s="134">
        <v>2584</v>
      </c>
      <c r="V7" s="135">
        <v>0.17397158823133399</v>
      </c>
    </row>
    <row r="8" spans="1:22" x14ac:dyDescent="0.2">
      <c r="A8" s="62" t="s">
        <v>732</v>
      </c>
      <c r="B8" s="62"/>
      <c r="C8" s="134" t="s">
        <v>182</v>
      </c>
      <c r="D8" s="135"/>
      <c r="E8" s="134" t="s">
        <v>182</v>
      </c>
      <c r="F8" s="135"/>
      <c r="G8" s="134">
        <v>1345</v>
      </c>
      <c r="H8" s="135">
        <v>0.113876894420456</v>
      </c>
      <c r="I8" s="134">
        <v>1286</v>
      </c>
      <c r="J8" s="135">
        <v>0.11618032342578399</v>
      </c>
      <c r="K8" s="134">
        <v>1262</v>
      </c>
      <c r="L8" s="135">
        <v>0.11062412342216001</v>
      </c>
      <c r="M8" s="134">
        <v>1306</v>
      </c>
      <c r="N8" s="135">
        <v>0.10661224489795899</v>
      </c>
      <c r="O8" s="134">
        <v>1410</v>
      </c>
      <c r="P8" s="135">
        <v>0.118120130686102</v>
      </c>
      <c r="Q8" s="134">
        <v>1386</v>
      </c>
      <c r="R8" s="135">
        <v>0.13096475479542699</v>
      </c>
      <c r="S8" s="134">
        <v>1461</v>
      </c>
      <c r="T8" s="135">
        <v>0.116674652611404</v>
      </c>
      <c r="U8" s="134">
        <v>1664</v>
      </c>
      <c r="V8" s="135">
        <v>0.11203123948024001</v>
      </c>
    </row>
    <row r="9" spans="1:22" x14ac:dyDescent="0.2">
      <c r="A9" s="62" t="s">
        <v>733</v>
      </c>
      <c r="B9" s="62"/>
      <c r="C9" s="134">
        <v>1217</v>
      </c>
      <c r="D9" s="135">
        <v>0.10119740562115399</v>
      </c>
      <c r="E9" s="134">
        <v>1213</v>
      </c>
      <c r="F9" s="135">
        <v>9.5745520562001696E-2</v>
      </c>
      <c r="G9" s="134">
        <v>1175</v>
      </c>
      <c r="H9" s="135">
        <v>9.9483532300397901E-2</v>
      </c>
      <c r="I9" s="134">
        <v>1261</v>
      </c>
      <c r="J9" s="135">
        <v>0.113921763483603</v>
      </c>
      <c r="K9" s="134">
        <v>1195</v>
      </c>
      <c r="L9" s="135">
        <v>0.104751051893408</v>
      </c>
      <c r="M9" s="134">
        <v>1267</v>
      </c>
      <c r="N9" s="135">
        <v>0.103428571428571</v>
      </c>
      <c r="O9" s="134">
        <v>1236</v>
      </c>
      <c r="P9" s="135">
        <v>0.103543603920583</v>
      </c>
      <c r="Q9" s="134">
        <v>920</v>
      </c>
      <c r="R9" s="135">
        <v>8.6931871869980207E-2</v>
      </c>
      <c r="S9" s="134">
        <v>886</v>
      </c>
      <c r="T9" s="135">
        <v>7.0755470372144996E-2</v>
      </c>
      <c r="U9" s="134">
        <v>1054</v>
      </c>
      <c r="V9" s="135">
        <v>7.0962095199623001E-2</v>
      </c>
    </row>
    <row r="10" spans="1:22" x14ac:dyDescent="0.2">
      <c r="A10" s="62" t="s">
        <v>734</v>
      </c>
      <c r="B10" s="62"/>
      <c r="C10" s="134">
        <v>775</v>
      </c>
      <c r="D10" s="135">
        <v>6.44437053051721E-2</v>
      </c>
      <c r="E10" s="134">
        <v>819</v>
      </c>
      <c r="F10" s="135">
        <v>6.4645986265687905E-2</v>
      </c>
      <c r="G10" s="134">
        <v>796</v>
      </c>
      <c r="H10" s="135">
        <v>6.7394801456269596E-2</v>
      </c>
      <c r="I10" s="134">
        <v>773</v>
      </c>
      <c r="J10" s="135">
        <v>6.9834673412232401E-2</v>
      </c>
      <c r="K10" s="134">
        <v>755</v>
      </c>
      <c r="L10" s="135">
        <v>6.6181626928471293E-2</v>
      </c>
      <c r="M10" s="134">
        <v>850</v>
      </c>
      <c r="N10" s="135">
        <v>6.9387755102040802E-2</v>
      </c>
      <c r="O10" s="134">
        <v>870</v>
      </c>
      <c r="P10" s="135">
        <v>7.2882633827594898E-2</v>
      </c>
      <c r="Q10" s="134">
        <v>834</v>
      </c>
      <c r="R10" s="135">
        <v>7.88056316734385E-2</v>
      </c>
      <c r="S10" s="134">
        <v>918</v>
      </c>
      <c r="T10" s="135">
        <v>7.3310972688069007E-2</v>
      </c>
      <c r="U10" s="134">
        <v>996</v>
      </c>
      <c r="V10" s="135">
        <v>6.7057160169662705E-2</v>
      </c>
    </row>
    <row r="11" spans="1:22" x14ac:dyDescent="0.2">
      <c r="A11" s="62" t="s">
        <v>735</v>
      </c>
      <c r="B11" s="62"/>
      <c r="C11" s="134" t="s">
        <v>182</v>
      </c>
      <c r="D11" s="135"/>
      <c r="E11" s="134" t="s">
        <v>182</v>
      </c>
      <c r="F11" s="135"/>
      <c r="G11" s="134">
        <v>723</v>
      </c>
      <c r="H11" s="135">
        <v>6.1214122428244901E-2</v>
      </c>
      <c r="I11" s="134">
        <v>704</v>
      </c>
      <c r="J11" s="135">
        <v>6.3601047971813193E-2</v>
      </c>
      <c r="K11" s="134">
        <v>703</v>
      </c>
      <c r="L11" s="135">
        <v>6.1623422159887802E-2</v>
      </c>
      <c r="M11" s="134">
        <v>769</v>
      </c>
      <c r="N11" s="135">
        <v>6.2775510204081605E-2</v>
      </c>
      <c r="O11" s="134">
        <v>742</v>
      </c>
      <c r="P11" s="135">
        <v>6.2159671609282097E-2</v>
      </c>
      <c r="Q11" s="134">
        <v>675</v>
      </c>
      <c r="R11" s="135">
        <v>6.3781536426344099E-2</v>
      </c>
      <c r="S11" s="134">
        <v>796</v>
      </c>
      <c r="T11" s="135">
        <v>6.3568120108608794E-2</v>
      </c>
      <c r="U11" s="134">
        <v>828</v>
      </c>
      <c r="V11" s="135">
        <v>5.57463138759847E-2</v>
      </c>
    </row>
    <row r="12" spans="1:22" x14ac:dyDescent="0.2">
      <c r="A12" s="62" t="s">
        <v>736</v>
      </c>
      <c r="B12" s="62"/>
      <c r="C12" s="134">
        <v>432</v>
      </c>
      <c r="D12" s="135">
        <v>3.5922168634625003E-2</v>
      </c>
      <c r="E12" s="134">
        <v>459</v>
      </c>
      <c r="F12" s="135">
        <v>3.6230168126923999E-2</v>
      </c>
      <c r="G12" s="134">
        <v>459</v>
      </c>
      <c r="H12" s="135">
        <v>3.8862077724155397E-2</v>
      </c>
      <c r="I12" s="134">
        <v>464</v>
      </c>
      <c r="J12" s="135">
        <v>4.1918872526876899E-2</v>
      </c>
      <c r="K12" s="134">
        <v>477</v>
      </c>
      <c r="L12" s="135">
        <v>4.1812762973352E-2</v>
      </c>
      <c r="M12" s="134">
        <v>518</v>
      </c>
      <c r="N12" s="135">
        <v>4.2285714285714301E-2</v>
      </c>
      <c r="O12" s="134">
        <v>559</v>
      </c>
      <c r="P12" s="135">
        <v>4.6829186562787999E-2</v>
      </c>
      <c r="Q12" s="134">
        <v>538</v>
      </c>
      <c r="R12" s="135">
        <v>5.0836246810923198E-2</v>
      </c>
      <c r="S12" s="134">
        <v>587</v>
      </c>
      <c r="T12" s="135">
        <v>4.6877495607730399E-2</v>
      </c>
      <c r="U12" s="134">
        <v>658</v>
      </c>
      <c r="V12" s="135">
        <v>4.4300814650239002E-2</v>
      </c>
    </row>
    <row r="13" spans="1:22" x14ac:dyDescent="0.2">
      <c r="A13" s="62" t="s">
        <v>737</v>
      </c>
      <c r="B13" s="62"/>
      <c r="C13" s="134">
        <v>527</v>
      </c>
      <c r="D13" s="135">
        <v>4.3821719607516997E-2</v>
      </c>
      <c r="E13" s="134">
        <v>534</v>
      </c>
      <c r="F13" s="135">
        <v>4.21501302391665E-2</v>
      </c>
      <c r="G13" s="134">
        <v>489</v>
      </c>
      <c r="H13" s="135">
        <v>4.1402082804165602E-2</v>
      </c>
      <c r="I13" s="134">
        <v>463</v>
      </c>
      <c r="J13" s="135">
        <v>4.1828530129189599E-2</v>
      </c>
      <c r="K13" s="134">
        <v>466</v>
      </c>
      <c r="L13" s="135">
        <v>4.08485273492286E-2</v>
      </c>
      <c r="M13" s="134">
        <v>442</v>
      </c>
      <c r="N13" s="135">
        <v>3.6081632653061198E-2</v>
      </c>
      <c r="O13" s="134">
        <v>423</v>
      </c>
      <c r="P13" s="135">
        <v>3.5436039205830598E-2</v>
      </c>
      <c r="Q13" s="134">
        <v>414</v>
      </c>
      <c r="R13" s="135">
        <v>3.9119342341491101E-2</v>
      </c>
      <c r="S13" s="134">
        <v>470</v>
      </c>
      <c r="T13" s="135">
        <v>3.7533940265133403E-2</v>
      </c>
      <c r="U13" s="134">
        <v>455</v>
      </c>
      <c r="V13" s="135">
        <v>3.0633542045378E-2</v>
      </c>
    </row>
    <row r="14" spans="1:22" x14ac:dyDescent="0.2">
      <c r="A14" s="62" t="s">
        <v>738</v>
      </c>
      <c r="B14" s="62"/>
      <c r="C14" s="134">
        <v>1471</v>
      </c>
      <c r="D14" s="135">
        <v>0.122318310327623</v>
      </c>
      <c r="E14" s="134">
        <v>1587</v>
      </c>
      <c r="F14" s="135">
        <v>0.12526639829505101</v>
      </c>
      <c r="G14" s="134">
        <v>1255</v>
      </c>
      <c r="H14" s="135">
        <v>0.10625687918042501</v>
      </c>
      <c r="I14" s="134" t="s">
        <v>182</v>
      </c>
      <c r="J14" s="135"/>
      <c r="K14" s="134" t="s">
        <v>182</v>
      </c>
      <c r="L14" s="135"/>
      <c r="M14" s="134" t="s">
        <v>182</v>
      </c>
      <c r="N14" s="135"/>
      <c r="O14" s="134" t="s">
        <v>182</v>
      </c>
      <c r="P14" s="135"/>
      <c r="Q14" s="134" t="s">
        <v>182</v>
      </c>
      <c r="R14" s="135"/>
      <c r="S14" s="134" t="s">
        <v>182</v>
      </c>
      <c r="T14" s="135"/>
      <c r="U14" s="134" t="s">
        <v>182</v>
      </c>
      <c r="V14" s="135"/>
    </row>
    <row r="15" spans="1:22" x14ac:dyDescent="0.2">
      <c r="A15" s="62" t="s">
        <v>739</v>
      </c>
      <c r="B15" s="62"/>
      <c r="C15" s="134">
        <v>264</v>
      </c>
      <c r="D15" s="135">
        <v>2.1952436387826402E-2</v>
      </c>
      <c r="E15" s="134">
        <v>309</v>
      </c>
      <c r="F15" s="135">
        <v>2.4390243902439001E-2</v>
      </c>
      <c r="G15" s="134" t="s">
        <v>182</v>
      </c>
      <c r="H15" s="135"/>
      <c r="I15" s="134" t="s">
        <v>182</v>
      </c>
      <c r="J15" s="135"/>
      <c r="K15" s="134" t="s">
        <v>182</v>
      </c>
      <c r="L15" s="135"/>
      <c r="M15" s="134" t="s">
        <v>182</v>
      </c>
      <c r="N15" s="135"/>
      <c r="O15" s="134" t="s">
        <v>182</v>
      </c>
      <c r="P15" s="135"/>
      <c r="Q15" s="134" t="s">
        <v>182</v>
      </c>
      <c r="R15" s="135"/>
      <c r="S15" s="134" t="s">
        <v>182</v>
      </c>
      <c r="T15" s="135"/>
      <c r="U15" s="134" t="s">
        <v>182</v>
      </c>
      <c r="V15" s="135"/>
    </row>
    <row r="16" spans="1:22" x14ac:dyDescent="0.2">
      <c r="A16" s="62" t="s">
        <v>740</v>
      </c>
      <c r="B16" s="62"/>
      <c r="C16" s="134">
        <v>1809</v>
      </c>
      <c r="D16" s="135">
        <v>0.15042408115749201</v>
      </c>
      <c r="E16" s="134">
        <v>1929</v>
      </c>
      <c r="F16" s="135">
        <v>0.15226142552687699</v>
      </c>
      <c r="G16" s="134">
        <v>1834</v>
      </c>
      <c r="H16" s="135">
        <v>0.155278977224621</v>
      </c>
      <c r="I16" s="134" t="s">
        <v>182</v>
      </c>
      <c r="J16" s="135"/>
      <c r="K16" s="134" t="s">
        <v>182</v>
      </c>
      <c r="L16" s="135"/>
      <c r="M16" s="134" t="s">
        <v>182</v>
      </c>
      <c r="N16" s="135"/>
      <c r="O16" s="134" t="s">
        <v>182</v>
      </c>
      <c r="P16" s="135"/>
      <c r="Q16" s="134" t="s">
        <v>182</v>
      </c>
      <c r="R16" s="135"/>
      <c r="S16" s="134" t="s">
        <v>182</v>
      </c>
      <c r="T16" s="135"/>
      <c r="U16" s="134" t="s">
        <v>182</v>
      </c>
      <c r="V16" s="135"/>
    </row>
    <row r="17" spans="1:27" x14ac:dyDescent="0.2">
      <c r="A17" s="62" t="s">
        <v>741</v>
      </c>
      <c r="B17" s="62"/>
      <c r="C17" s="134">
        <v>269</v>
      </c>
      <c r="D17" s="135">
        <v>2.2368202228504899E-2</v>
      </c>
      <c r="E17" s="134">
        <v>265</v>
      </c>
      <c r="F17" s="135">
        <v>2.0917199463256798E-2</v>
      </c>
      <c r="G17" s="134" t="s">
        <v>182</v>
      </c>
      <c r="H17" s="135"/>
      <c r="I17" s="134" t="s">
        <v>182</v>
      </c>
      <c r="J17" s="135"/>
      <c r="K17" s="134" t="s">
        <v>182</v>
      </c>
      <c r="L17" s="135"/>
      <c r="M17" s="134" t="s">
        <v>182</v>
      </c>
      <c r="N17" s="135"/>
      <c r="O17" s="134" t="s">
        <v>182</v>
      </c>
      <c r="P17" s="135"/>
      <c r="Q17" s="134" t="s">
        <v>182</v>
      </c>
      <c r="R17" s="135"/>
      <c r="S17" s="134" t="s">
        <v>182</v>
      </c>
      <c r="T17" s="135"/>
      <c r="U17" s="134" t="s">
        <v>182</v>
      </c>
      <c r="V17" s="135"/>
    </row>
    <row r="18" spans="1:27" x14ac:dyDescent="0.2">
      <c r="A18" s="62" t="s">
        <v>742</v>
      </c>
      <c r="B18" s="62"/>
      <c r="C18" s="134">
        <v>1013</v>
      </c>
      <c r="D18" s="135">
        <v>8.4234159321470103E-2</v>
      </c>
      <c r="E18" s="134">
        <v>1130</v>
      </c>
      <c r="F18" s="135">
        <v>8.9194095824453395E-2</v>
      </c>
      <c r="G18" s="134" t="s">
        <v>182</v>
      </c>
      <c r="H18" s="135"/>
      <c r="I18" s="134" t="s">
        <v>182</v>
      </c>
      <c r="J18" s="135"/>
      <c r="K18" s="134" t="s">
        <v>182</v>
      </c>
      <c r="L18" s="135"/>
      <c r="M18" s="134" t="s">
        <v>182</v>
      </c>
      <c r="N18" s="135"/>
      <c r="O18" s="134" t="s">
        <v>182</v>
      </c>
      <c r="P18" s="135"/>
      <c r="Q18" s="134" t="s">
        <v>182</v>
      </c>
      <c r="R18" s="135"/>
      <c r="S18" s="134" t="s">
        <v>182</v>
      </c>
      <c r="T18" s="135"/>
      <c r="U18" s="134" t="s">
        <v>182</v>
      </c>
      <c r="V18" s="135"/>
    </row>
    <row r="19" spans="1:27" x14ac:dyDescent="0.2">
      <c r="A19" s="62" t="s">
        <v>743</v>
      </c>
      <c r="B19" s="62"/>
      <c r="C19" s="134">
        <v>3757</v>
      </c>
      <c r="D19" s="135">
        <v>0.31240645268584699</v>
      </c>
      <c r="E19" s="134">
        <v>4092</v>
      </c>
      <c r="F19" s="135">
        <v>0.32299313284394998</v>
      </c>
      <c r="G19" s="134">
        <v>4182</v>
      </c>
      <c r="H19" s="135">
        <v>0.35407670815341602</v>
      </c>
      <c r="I19" s="134" t="s">
        <v>182</v>
      </c>
      <c r="J19" s="135"/>
      <c r="K19" s="134" t="s">
        <v>182</v>
      </c>
      <c r="L19" s="135"/>
      <c r="M19" s="134" t="s">
        <v>182</v>
      </c>
      <c r="N19" s="135"/>
      <c r="O19" s="134" t="s">
        <v>182</v>
      </c>
      <c r="P19" s="135"/>
      <c r="Q19" s="134" t="s">
        <v>182</v>
      </c>
      <c r="R19" s="135"/>
      <c r="S19" s="134" t="s">
        <v>182</v>
      </c>
      <c r="T19" s="135"/>
      <c r="U19" s="134" t="s">
        <v>182</v>
      </c>
      <c r="V19" s="135"/>
    </row>
    <row r="20" spans="1:27" x14ac:dyDescent="0.2">
      <c r="A20" s="62" t="s">
        <v>744</v>
      </c>
      <c r="B20" s="62"/>
      <c r="C20" s="134">
        <v>644</v>
      </c>
      <c r="D20" s="135">
        <v>5.3550640279394601E-2</v>
      </c>
      <c r="E20" s="134">
        <v>701</v>
      </c>
      <c r="F20" s="135">
        <v>5.5331912542426399E-2</v>
      </c>
      <c r="G20" s="134" t="s">
        <v>182</v>
      </c>
      <c r="H20" s="135"/>
      <c r="I20" s="134" t="s">
        <v>182</v>
      </c>
      <c r="J20" s="135"/>
      <c r="K20" s="134" t="s">
        <v>182</v>
      </c>
      <c r="L20" s="135"/>
      <c r="M20" s="134" t="s">
        <v>182</v>
      </c>
      <c r="N20" s="135"/>
      <c r="O20" s="134" t="s">
        <v>182</v>
      </c>
      <c r="P20" s="135"/>
      <c r="Q20" s="134" t="s">
        <v>182</v>
      </c>
      <c r="R20" s="135"/>
      <c r="S20" s="134" t="s">
        <v>182</v>
      </c>
      <c r="T20" s="135"/>
      <c r="U20" s="134" t="s">
        <v>182</v>
      </c>
      <c r="V20" s="135"/>
    </row>
    <row r="21" spans="1:27" x14ac:dyDescent="0.2">
      <c r="A21" s="62" t="s">
        <v>745</v>
      </c>
      <c r="B21" s="62"/>
      <c r="C21" s="134">
        <v>2895</v>
      </c>
      <c r="D21" s="135">
        <v>0.24072842175286899</v>
      </c>
      <c r="E21" s="134">
        <v>2849</v>
      </c>
      <c r="F21" s="135">
        <v>0.22487962743705101</v>
      </c>
      <c r="G21" s="134">
        <v>2300</v>
      </c>
      <c r="H21" s="135">
        <v>0.194733722800779</v>
      </c>
      <c r="I21" s="134">
        <v>1833</v>
      </c>
      <c r="J21" s="135">
        <v>0.165597614960701</v>
      </c>
      <c r="K21" s="134">
        <v>2107</v>
      </c>
      <c r="L21" s="135">
        <v>0.18469495091164101</v>
      </c>
      <c r="M21" s="134">
        <v>2246</v>
      </c>
      <c r="N21" s="135">
        <v>0.18334693877551</v>
      </c>
      <c r="O21" s="134">
        <v>2070</v>
      </c>
      <c r="P21" s="135">
        <v>0.17341040462427701</v>
      </c>
      <c r="Q21" s="134">
        <v>1397</v>
      </c>
      <c r="R21" s="135">
        <v>0.132004157611263</v>
      </c>
      <c r="S21" s="134">
        <v>1790</v>
      </c>
      <c r="T21" s="135">
        <v>0.14294841079699699</v>
      </c>
      <c r="U21" s="134">
        <v>2434</v>
      </c>
      <c r="V21" s="135">
        <v>0.16387261832626401</v>
      </c>
    </row>
    <row r="22" spans="1:27" x14ac:dyDescent="0.2">
      <c r="A22" s="62" t="s">
        <v>746</v>
      </c>
      <c r="B22" s="62"/>
      <c r="C22" s="134">
        <v>1697</v>
      </c>
      <c r="D22" s="135">
        <v>0.14111092632629299</v>
      </c>
      <c r="E22" s="134">
        <v>1790</v>
      </c>
      <c r="F22" s="135">
        <v>0.14128976241218699</v>
      </c>
      <c r="G22" s="134">
        <v>1762</v>
      </c>
      <c r="H22" s="135">
        <v>0.14918296503259701</v>
      </c>
      <c r="I22" s="134">
        <v>1726</v>
      </c>
      <c r="J22" s="135">
        <v>0.155930978408167</v>
      </c>
      <c r="K22" s="134">
        <v>1799</v>
      </c>
      <c r="L22" s="135">
        <v>0.15769635343618499</v>
      </c>
      <c r="M22" s="134">
        <v>1931</v>
      </c>
      <c r="N22" s="135">
        <v>0.15763265306122401</v>
      </c>
      <c r="O22" s="134">
        <v>1760</v>
      </c>
      <c r="P22" s="135">
        <v>0.14744073050180101</v>
      </c>
      <c r="Q22" s="134">
        <v>1702</v>
      </c>
      <c r="R22" s="135">
        <v>0.160823962959463</v>
      </c>
      <c r="S22" s="134">
        <v>2039</v>
      </c>
      <c r="T22" s="135">
        <v>0.162833413192781</v>
      </c>
      <c r="U22" s="134">
        <v>2306</v>
      </c>
      <c r="V22" s="135">
        <v>0.155254830673938</v>
      </c>
      <c r="Y22">
        <v>2020</v>
      </c>
      <c r="Z22">
        <v>2021</v>
      </c>
      <c r="AA22">
        <v>2022</v>
      </c>
    </row>
    <row r="23" spans="1:27" x14ac:dyDescent="0.2">
      <c r="A23" s="62" t="s">
        <v>747</v>
      </c>
      <c r="B23" s="62"/>
      <c r="C23" s="134" t="s">
        <v>182</v>
      </c>
      <c r="D23" s="135"/>
      <c r="E23" s="134" t="s">
        <v>182</v>
      </c>
      <c r="F23" s="135"/>
      <c r="G23" s="134" t="s">
        <v>182</v>
      </c>
      <c r="H23" s="135"/>
      <c r="I23" s="134" t="s">
        <v>182</v>
      </c>
      <c r="J23" s="135"/>
      <c r="K23" s="134" t="s">
        <v>182</v>
      </c>
      <c r="L23" s="135"/>
      <c r="M23" s="134" t="s">
        <v>182</v>
      </c>
      <c r="N23" s="135"/>
      <c r="O23" s="134">
        <v>0</v>
      </c>
      <c r="P23" s="135"/>
      <c r="Q23" s="134">
        <v>0</v>
      </c>
      <c r="R23" s="135"/>
      <c r="S23" s="134">
        <v>410</v>
      </c>
      <c r="T23" s="135">
        <v>3.2742373422775903E-2</v>
      </c>
      <c r="U23" s="134">
        <v>966</v>
      </c>
      <c r="V23" s="135">
        <v>6.5037366188648804E-2</v>
      </c>
      <c r="Y23" s="200">
        <f>Q23</f>
        <v>0</v>
      </c>
      <c r="Z23" s="200">
        <f>S23</f>
        <v>410</v>
      </c>
      <c r="AA23" s="200">
        <f>U23</f>
        <v>966</v>
      </c>
    </row>
    <row r="24" spans="1:27" x14ac:dyDescent="0.2">
      <c r="A24" s="62" t="s">
        <v>748</v>
      </c>
      <c r="B24" s="62"/>
      <c r="C24" s="134">
        <v>397</v>
      </c>
      <c r="D24" s="135">
        <v>3.3011807749875298E-2</v>
      </c>
      <c r="E24" s="134">
        <v>422</v>
      </c>
      <c r="F24" s="135">
        <v>3.3309653484884398E-2</v>
      </c>
      <c r="G24" s="134">
        <v>478</v>
      </c>
      <c r="H24" s="135">
        <v>4.0470747608161897E-2</v>
      </c>
      <c r="I24" s="134">
        <v>368</v>
      </c>
      <c r="J24" s="135">
        <v>3.32460023489023E-2</v>
      </c>
      <c r="K24" s="134">
        <v>434</v>
      </c>
      <c r="L24" s="135">
        <v>3.8043478260869602E-2</v>
      </c>
      <c r="M24" s="134">
        <v>582</v>
      </c>
      <c r="N24" s="135">
        <v>4.7510204081632701E-2</v>
      </c>
      <c r="O24" s="134">
        <v>518</v>
      </c>
      <c r="P24" s="135">
        <v>4.3394487727234601E-2</v>
      </c>
      <c r="Q24" s="134">
        <v>408</v>
      </c>
      <c r="R24" s="135">
        <v>3.8552395351034698E-2</v>
      </c>
      <c r="S24" s="134">
        <v>744</v>
      </c>
      <c r="T24" s="135">
        <v>5.9415428845232397E-2</v>
      </c>
      <c r="U24" s="134">
        <v>908</v>
      </c>
      <c r="V24" s="135">
        <v>6.1132431158688501E-2</v>
      </c>
      <c r="Y24">
        <v>1000</v>
      </c>
      <c r="Z24">
        <v>1000</v>
      </c>
      <c r="AA24">
        <v>1000</v>
      </c>
    </row>
    <row r="25" spans="1:27" x14ac:dyDescent="0.2">
      <c r="A25" s="60" t="s">
        <v>749</v>
      </c>
      <c r="B25" s="60"/>
      <c r="C25" s="136" t="s">
        <v>182</v>
      </c>
      <c r="D25" s="137"/>
      <c r="E25" s="136" t="s">
        <v>182</v>
      </c>
      <c r="F25" s="137"/>
      <c r="G25" s="136" t="s">
        <v>182</v>
      </c>
      <c r="H25" s="137"/>
      <c r="I25" s="136" t="s">
        <v>182</v>
      </c>
      <c r="J25" s="137"/>
      <c r="K25" s="136" t="s">
        <v>182</v>
      </c>
      <c r="L25" s="137"/>
      <c r="M25" s="136" t="s">
        <v>182</v>
      </c>
      <c r="N25" s="137"/>
      <c r="O25" s="136" t="s">
        <v>182</v>
      </c>
      <c r="P25" s="137"/>
      <c r="Q25" s="136">
        <v>5892000</v>
      </c>
      <c r="R25" s="137">
        <v>1</v>
      </c>
      <c r="S25" s="136">
        <v>6253000</v>
      </c>
      <c r="T25" s="137">
        <v>1</v>
      </c>
      <c r="U25" s="136">
        <v>6218000</v>
      </c>
      <c r="V25" s="137">
        <v>1</v>
      </c>
      <c r="Y25" s="257">
        <v>637000</v>
      </c>
      <c r="Z25" s="257">
        <v>706000</v>
      </c>
      <c r="AA25" s="257">
        <v>697000</v>
      </c>
    </row>
    <row r="26" spans="1:27" x14ac:dyDescent="0.2">
      <c r="A26" s="62" t="s">
        <v>746</v>
      </c>
      <c r="B26" s="62"/>
      <c r="C26" s="138" t="s">
        <v>182</v>
      </c>
      <c r="D26" s="139"/>
      <c r="E26" s="138" t="s">
        <v>182</v>
      </c>
      <c r="F26" s="139"/>
      <c r="G26" s="138" t="s">
        <v>182</v>
      </c>
      <c r="H26" s="139"/>
      <c r="I26" s="138" t="s">
        <v>182</v>
      </c>
      <c r="J26" s="139"/>
      <c r="K26" s="138" t="s">
        <v>182</v>
      </c>
      <c r="L26" s="139"/>
      <c r="M26" s="138" t="s">
        <v>182</v>
      </c>
      <c r="N26" s="139"/>
      <c r="O26" s="138" t="s">
        <v>182</v>
      </c>
      <c r="P26" s="139"/>
      <c r="Q26" s="138">
        <v>2720000</v>
      </c>
      <c r="R26" s="139">
        <v>0.46164290563475902</v>
      </c>
      <c r="S26" s="138">
        <v>2976000</v>
      </c>
      <c r="T26" s="139">
        <v>0.47593155285463001</v>
      </c>
      <c r="U26" s="138">
        <v>2963000</v>
      </c>
      <c r="V26" s="139">
        <v>0.47651978128015399</v>
      </c>
      <c r="Y26">
        <v>637000</v>
      </c>
      <c r="Z26">
        <v>706000</v>
      </c>
      <c r="AA26">
        <v>697000</v>
      </c>
    </row>
    <row r="27" spans="1:27" x14ac:dyDescent="0.2">
      <c r="A27" s="62" t="s">
        <v>730</v>
      </c>
      <c r="B27" s="62"/>
      <c r="C27" s="138" t="s">
        <v>182</v>
      </c>
      <c r="D27" s="139"/>
      <c r="E27" s="138" t="s">
        <v>182</v>
      </c>
      <c r="F27" s="139"/>
      <c r="G27" s="138" t="s">
        <v>182</v>
      </c>
      <c r="H27" s="139"/>
      <c r="I27" s="138" t="s">
        <v>182</v>
      </c>
      <c r="J27" s="139"/>
      <c r="K27" s="138" t="s">
        <v>182</v>
      </c>
      <c r="L27" s="139"/>
      <c r="M27" s="138" t="s">
        <v>182</v>
      </c>
      <c r="N27" s="139"/>
      <c r="O27" s="138" t="s">
        <v>182</v>
      </c>
      <c r="P27" s="139"/>
      <c r="Q27" s="138">
        <v>2535000</v>
      </c>
      <c r="R27" s="139">
        <v>0.43024439918533602</v>
      </c>
      <c r="S27" s="138">
        <v>2571000</v>
      </c>
      <c r="T27" s="139">
        <v>0.41116264193187302</v>
      </c>
      <c r="U27" s="138">
        <v>2558000</v>
      </c>
      <c r="V27" s="139">
        <v>0.411386297844966</v>
      </c>
    </row>
    <row r="28" spans="1:27" x14ac:dyDescent="0.2">
      <c r="A28" s="62" t="s">
        <v>731</v>
      </c>
      <c r="B28" s="62"/>
      <c r="C28" s="138" t="s">
        <v>182</v>
      </c>
      <c r="D28" s="139"/>
      <c r="E28" s="138" t="s">
        <v>182</v>
      </c>
      <c r="F28" s="139"/>
      <c r="G28" s="138" t="s">
        <v>182</v>
      </c>
      <c r="H28" s="139"/>
      <c r="I28" s="138" t="s">
        <v>182</v>
      </c>
      <c r="J28" s="139"/>
      <c r="K28" s="138" t="s">
        <v>182</v>
      </c>
      <c r="L28" s="139"/>
      <c r="M28" s="138" t="s">
        <v>182</v>
      </c>
      <c r="N28" s="139"/>
      <c r="O28" s="138" t="s">
        <v>182</v>
      </c>
      <c r="P28" s="139"/>
      <c r="Q28" s="138">
        <v>664000</v>
      </c>
      <c r="R28" s="139">
        <v>0.11269517990495601</v>
      </c>
      <c r="S28" s="138">
        <v>659000</v>
      </c>
      <c r="T28" s="139">
        <v>0.10538941308172101</v>
      </c>
      <c r="U28" s="138">
        <v>641000</v>
      </c>
      <c r="V28" s="139">
        <v>0.103087809585076</v>
      </c>
    </row>
    <row r="29" spans="1:27" x14ac:dyDescent="0.2">
      <c r="A29" s="62" t="s">
        <v>732</v>
      </c>
      <c r="B29" s="62"/>
      <c r="C29" s="138" t="s">
        <v>182</v>
      </c>
      <c r="D29" s="139"/>
      <c r="E29" s="138" t="s">
        <v>182</v>
      </c>
      <c r="F29" s="139"/>
      <c r="G29" s="138" t="s">
        <v>182</v>
      </c>
      <c r="H29" s="139"/>
      <c r="I29" s="138" t="s">
        <v>182</v>
      </c>
      <c r="J29" s="139"/>
      <c r="K29" s="138" t="s">
        <v>182</v>
      </c>
      <c r="L29" s="139"/>
      <c r="M29" s="138" t="s">
        <v>182</v>
      </c>
      <c r="N29" s="139"/>
      <c r="O29" s="138" t="s">
        <v>182</v>
      </c>
      <c r="P29" s="139"/>
      <c r="Q29" s="138">
        <v>463000</v>
      </c>
      <c r="R29" s="139">
        <v>7.8581126951799002E-2</v>
      </c>
      <c r="S29" s="138">
        <v>467000</v>
      </c>
      <c r="T29" s="139">
        <v>7.4684151607228494E-2</v>
      </c>
      <c r="U29" s="138">
        <v>481000</v>
      </c>
      <c r="V29" s="139">
        <v>7.7356063042779005E-2</v>
      </c>
    </row>
    <row r="30" spans="1:27" x14ac:dyDescent="0.2">
      <c r="A30" s="62" t="s">
        <v>733</v>
      </c>
      <c r="B30" s="62"/>
      <c r="C30" s="138" t="s">
        <v>182</v>
      </c>
      <c r="D30" s="139"/>
      <c r="E30" s="138" t="s">
        <v>182</v>
      </c>
      <c r="F30" s="139"/>
      <c r="G30" s="138" t="s">
        <v>182</v>
      </c>
      <c r="H30" s="139"/>
      <c r="I30" s="138" t="s">
        <v>182</v>
      </c>
      <c r="J30" s="139"/>
      <c r="K30" s="138" t="s">
        <v>182</v>
      </c>
      <c r="L30" s="139"/>
      <c r="M30" s="138" t="s">
        <v>182</v>
      </c>
      <c r="N30" s="139"/>
      <c r="O30" s="138" t="s">
        <v>182</v>
      </c>
      <c r="P30" s="139"/>
      <c r="Q30" s="138">
        <v>344000</v>
      </c>
      <c r="R30" s="139">
        <v>5.8384249830278401E-2</v>
      </c>
      <c r="S30" s="138">
        <v>318000</v>
      </c>
      <c r="T30" s="139">
        <v>5.0855589317127803E-2</v>
      </c>
      <c r="U30" s="138">
        <v>338000</v>
      </c>
      <c r="V30" s="139">
        <v>5.4358314570601501E-2</v>
      </c>
    </row>
    <row r="31" spans="1:27" x14ac:dyDescent="0.2">
      <c r="A31" s="62" t="s">
        <v>736</v>
      </c>
      <c r="B31" s="62"/>
      <c r="C31" s="138" t="s">
        <v>182</v>
      </c>
      <c r="D31" s="139"/>
      <c r="E31" s="138" t="s">
        <v>182</v>
      </c>
      <c r="F31" s="139"/>
      <c r="G31" s="138" t="s">
        <v>182</v>
      </c>
      <c r="H31" s="139"/>
      <c r="I31" s="138" t="s">
        <v>182</v>
      </c>
      <c r="J31" s="139"/>
      <c r="K31" s="138" t="s">
        <v>182</v>
      </c>
      <c r="L31" s="139"/>
      <c r="M31" s="138" t="s">
        <v>182</v>
      </c>
      <c r="N31" s="139"/>
      <c r="O31" s="138" t="s">
        <v>182</v>
      </c>
      <c r="P31" s="139"/>
      <c r="Q31" s="138">
        <v>321000</v>
      </c>
      <c r="R31" s="139">
        <v>5.4480651731160901E-2</v>
      </c>
      <c r="S31" s="138">
        <v>325000</v>
      </c>
      <c r="T31" s="139">
        <v>5.1975051975051999E-2</v>
      </c>
      <c r="U31" s="138">
        <v>337000</v>
      </c>
      <c r="V31" s="139">
        <v>5.4197491154712098E-2</v>
      </c>
    </row>
    <row r="32" spans="1:27" x14ac:dyDescent="0.2">
      <c r="A32" s="62" t="s">
        <v>734</v>
      </c>
      <c r="B32" s="62"/>
      <c r="C32" s="138" t="s">
        <v>182</v>
      </c>
      <c r="D32" s="139"/>
      <c r="E32" s="138" t="s">
        <v>182</v>
      </c>
      <c r="F32" s="139"/>
      <c r="G32" s="138" t="s">
        <v>182</v>
      </c>
      <c r="H32" s="139"/>
      <c r="I32" s="138" t="s">
        <v>182</v>
      </c>
      <c r="J32" s="139"/>
      <c r="K32" s="138" t="s">
        <v>182</v>
      </c>
      <c r="L32" s="139"/>
      <c r="M32" s="138" t="s">
        <v>182</v>
      </c>
      <c r="N32" s="139"/>
      <c r="O32" s="138" t="s">
        <v>182</v>
      </c>
      <c r="P32" s="139"/>
      <c r="Q32" s="138">
        <v>278000</v>
      </c>
      <c r="R32" s="139">
        <v>4.7182620502376101E-2</v>
      </c>
      <c r="S32" s="138">
        <v>296000</v>
      </c>
      <c r="T32" s="139">
        <v>4.7337278106508902E-2</v>
      </c>
      <c r="U32" s="138">
        <v>291000</v>
      </c>
      <c r="V32" s="139">
        <v>4.6799614023801901E-2</v>
      </c>
    </row>
    <row r="33" spans="1:22" x14ac:dyDescent="0.2">
      <c r="A33" s="62" t="s">
        <v>735</v>
      </c>
      <c r="B33" s="62"/>
      <c r="C33" s="138" t="s">
        <v>182</v>
      </c>
      <c r="D33" s="139"/>
      <c r="E33" s="138" t="s">
        <v>182</v>
      </c>
      <c r="F33" s="139"/>
      <c r="G33" s="138" t="s">
        <v>182</v>
      </c>
      <c r="H33" s="139"/>
      <c r="I33" s="138" t="s">
        <v>182</v>
      </c>
      <c r="J33" s="139"/>
      <c r="K33" s="138" t="s">
        <v>182</v>
      </c>
      <c r="L33" s="139"/>
      <c r="M33" s="138" t="s">
        <v>182</v>
      </c>
      <c r="N33" s="139"/>
      <c r="O33" s="138" t="s">
        <v>182</v>
      </c>
      <c r="P33" s="139"/>
      <c r="Q33" s="138">
        <v>239000</v>
      </c>
      <c r="R33" s="139">
        <v>4.0563475899524797E-2</v>
      </c>
      <c r="S33" s="138">
        <v>277000</v>
      </c>
      <c r="T33" s="139">
        <v>4.4298736606428898E-2</v>
      </c>
      <c r="U33" s="138">
        <v>267000</v>
      </c>
      <c r="V33" s="139">
        <v>4.2939852042457399E-2</v>
      </c>
    </row>
    <row r="34" spans="1:22" x14ac:dyDescent="0.2">
      <c r="A34" s="62" t="s">
        <v>737</v>
      </c>
      <c r="B34" s="62"/>
      <c r="C34" s="138" t="s">
        <v>182</v>
      </c>
      <c r="D34" s="139"/>
      <c r="E34" s="138" t="s">
        <v>182</v>
      </c>
      <c r="F34" s="139"/>
      <c r="G34" s="138" t="s">
        <v>182</v>
      </c>
      <c r="H34" s="139"/>
      <c r="I34" s="138" t="s">
        <v>182</v>
      </c>
      <c r="J34" s="139"/>
      <c r="K34" s="138" t="s">
        <v>182</v>
      </c>
      <c r="L34" s="139"/>
      <c r="M34" s="138" t="s">
        <v>182</v>
      </c>
      <c r="N34" s="139"/>
      <c r="O34" s="138" t="s">
        <v>182</v>
      </c>
      <c r="P34" s="139"/>
      <c r="Q34" s="138">
        <v>226000</v>
      </c>
      <c r="R34" s="139">
        <v>3.8357094365240998E-2</v>
      </c>
      <c r="S34" s="138">
        <v>229000</v>
      </c>
      <c r="T34" s="139">
        <v>3.6622421237805902E-2</v>
      </c>
      <c r="U34" s="138">
        <v>203000</v>
      </c>
      <c r="V34" s="139">
        <v>3.2647153425538797E-2</v>
      </c>
    </row>
    <row r="35" spans="1:22" x14ac:dyDescent="0.2">
      <c r="A35" s="62" t="s">
        <v>745</v>
      </c>
      <c r="B35" s="62"/>
      <c r="C35" s="138" t="s">
        <v>182</v>
      </c>
      <c r="D35" s="139"/>
      <c r="E35" s="138" t="s">
        <v>182</v>
      </c>
      <c r="F35" s="139"/>
      <c r="G35" s="138" t="s">
        <v>182</v>
      </c>
      <c r="H35" s="139"/>
      <c r="I35" s="138" t="s">
        <v>182</v>
      </c>
      <c r="J35" s="139"/>
      <c r="K35" s="138" t="s">
        <v>182</v>
      </c>
      <c r="L35" s="139"/>
      <c r="M35" s="138" t="s">
        <v>182</v>
      </c>
      <c r="N35" s="139"/>
      <c r="O35" s="138" t="s">
        <v>182</v>
      </c>
      <c r="P35" s="139"/>
      <c r="Q35" s="138">
        <v>637000</v>
      </c>
      <c r="R35" s="139">
        <v>0.108112695179905</v>
      </c>
      <c r="S35" s="138">
        <v>706000</v>
      </c>
      <c r="T35" s="139">
        <v>0.112905805213498</v>
      </c>
      <c r="U35" s="138">
        <v>697000</v>
      </c>
      <c r="V35" s="139">
        <v>0.112093920874879</v>
      </c>
    </row>
    <row r="36" spans="1:22" x14ac:dyDescent="0.2">
      <c r="A36" s="62" t="s">
        <v>747</v>
      </c>
      <c r="B36" s="62"/>
      <c r="C36" s="138" t="s">
        <v>182</v>
      </c>
      <c r="D36" s="139"/>
      <c r="E36" s="138" t="s">
        <v>182</v>
      </c>
      <c r="F36" s="139"/>
      <c r="G36" s="138" t="s">
        <v>182</v>
      </c>
      <c r="H36" s="139"/>
      <c r="I36" s="138" t="s">
        <v>182</v>
      </c>
      <c r="J36" s="139"/>
      <c r="K36" s="138" t="s">
        <v>182</v>
      </c>
      <c r="L36" s="139"/>
      <c r="M36" s="138" t="s">
        <v>182</v>
      </c>
      <c r="N36" s="139"/>
      <c r="O36" s="138" t="s">
        <v>182</v>
      </c>
      <c r="P36" s="139"/>
      <c r="Q36" s="138">
        <v>0</v>
      </c>
      <c r="R36" s="139"/>
      <c r="S36" s="138">
        <v>0</v>
      </c>
      <c r="T36" s="139"/>
      <c r="U36" s="138">
        <v>0</v>
      </c>
      <c r="V36" s="139"/>
    </row>
    <row r="37" spans="1:22" x14ac:dyDescent="0.2">
      <c r="A37" s="62" t="s">
        <v>748</v>
      </c>
      <c r="B37" s="62"/>
      <c r="C37" s="138" t="s">
        <v>182</v>
      </c>
      <c r="D37" s="139"/>
      <c r="E37" s="138" t="s">
        <v>182</v>
      </c>
      <c r="F37" s="139"/>
      <c r="G37" s="138" t="s">
        <v>182</v>
      </c>
      <c r="H37" s="139"/>
      <c r="I37" s="138" t="s">
        <v>182</v>
      </c>
      <c r="J37" s="139"/>
      <c r="K37" s="138" t="s">
        <v>182</v>
      </c>
      <c r="L37" s="139"/>
      <c r="M37" s="138" t="s">
        <v>182</v>
      </c>
      <c r="N37" s="139"/>
      <c r="O37" s="138" t="s">
        <v>182</v>
      </c>
      <c r="P37" s="139"/>
      <c r="Q37" s="138">
        <v>0</v>
      </c>
      <c r="R37" s="139"/>
      <c r="S37" s="138">
        <v>0</v>
      </c>
      <c r="T37" s="139"/>
      <c r="U37" s="138">
        <v>0</v>
      </c>
      <c r="V37" s="139"/>
    </row>
    <row r="38" spans="1:22" x14ac:dyDescent="0.2">
      <c r="A38" s="60" t="s">
        <v>750</v>
      </c>
      <c r="B38" s="60"/>
      <c r="C38" s="136" t="s">
        <v>182</v>
      </c>
      <c r="D38" s="137"/>
      <c r="E38" s="136" t="s">
        <v>182</v>
      </c>
      <c r="F38" s="137"/>
      <c r="G38" s="136" t="s">
        <v>182</v>
      </c>
      <c r="H38" s="137"/>
      <c r="I38" s="136" t="s">
        <v>182</v>
      </c>
      <c r="J38" s="137"/>
      <c r="K38" s="136" t="s">
        <v>182</v>
      </c>
      <c r="L38" s="137"/>
      <c r="M38" s="136" t="s">
        <v>182</v>
      </c>
      <c r="N38" s="137"/>
      <c r="O38" s="136" t="s">
        <v>182</v>
      </c>
      <c r="P38" s="137"/>
      <c r="Q38" s="136" t="s">
        <v>182</v>
      </c>
      <c r="R38" s="137"/>
      <c r="S38" s="136" t="s">
        <v>182</v>
      </c>
      <c r="T38" s="137"/>
      <c r="U38" s="136" t="s">
        <v>182</v>
      </c>
      <c r="V38" s="137"/>
    </row>
    <row r="39" spans="1:22" x14ac:dyDescent="0.2">
      <c r="A39" s="62" t="s">
        <v>745</v>
      </c>
      <c r="B39" s="62"/>
      <c r="C39" s="138">
        <v>2423</v>
      </c>
      <c r="D39" s="139"/>
      <c r="E39" s="138">
        <v>2258</v>
      </c>
      <c r="F39" s="139"/>
      <c r="G39" s="138">
        <v>2164</v>
      </c>
      <c r="H39" s="139"/>
      <c r="I39" s="138">
        <v>2187</v>
      </c>
      <c r="J39" s="139"/>
      <c r="K39" s="138">
        <v>2464</v>
      </c>
      <c r="L39" s="139"/>
      <c r="M39" s="138">
        <v>2532</v>
      </c>
      <c r="N39" s="139"/>
      <c r="O39" s="138">
        <v>2456</v>
      </c>
      <c r="P39" s="139"/>
      <c r="Q39" s="138">
        <v>2193</v>
      </c>
      <c r="R39" s="139"/>
      <c r="S39" s="138">
        <v>2535</v>
      </c>
      <c r="T39" s="139"/>
      <c r="U39" s="138">
        <v>3492</v>
      </c>
      <c r="V39" s="139"/>
    </row>
    <row r="40" spans="1:22" x14ac:dyDescent="0.2">
      <c r="A40" s="62" t="s">
        <v>730</v>
      </c>
      <c r="B40" s="62"/>
      <c r="C40" s="138">
        <v>2548</v>
      </c>
      <c r="D40" s="139"/>
      <c r="E40" s="138">
        <v>2595</v>
      </c>
      <c r="F40" s="139"/>
      <c r="G40" s="138">
        <v>2542</v>
      </c>
      <c r="H40" s="139"/>
      <c r="I40" s="138">
        <v>2549</v>
      </c>
      <c r="J40" s="139"/>
      <c r="K40" s="138">
        <v>2616</v>
      </c>
      <c r="L40" s="139"/>
      <c r="M40" s="138">
        <v>2774</v>
      </c>
      <c r="N40" s="139"/>
      <c r="O40" s="138">
        <v>2803</v>
      </c>
      <c r="P40" s="139"/>
      <c r="Q40" s="138">
        <v>2791</v>
      </c>
      <c r="R40" s="139"/>
      <c r="S40" s="138">
        <v>2932</v>
      </c>
      <c r="T40" s="139"/>
      <c r="U40" s="138">
        <v>3221</v>
      </c>
      <c r="V40" s="139"/>
    </row>
    <row r="41" spans="1:22" x14ac:dyDescent="0.2">
      <c r="A41" s="62" t="s">
        <v>731</v>
      </c>
      <c r="B41" s="62"/>
      <c r="C41" s="138">
        <v>3564</v>
      </c>
      <c r="D41" s="139"/>
      <c r="E41" s="138">
        <v>3513</v>
      </c>
      <c r="F41" s="139"/>
      <c r="G41" s="138">
        <v>3146</v>
      </c>
      <c r="H41" s="139"/>
      <c r="I41" s="138">
        <v>3130</v>
      </c>
      <c r="J41" s="139"/>
      <c r="K41" s="138">
        <v>3289</v>
      </c>
      <c r="L41" s="139"/>
      <c r="M41" s="138">
        <v>3465</v>
      </c>
      <c r="N41" s="139"/>
      <c r="O41" s="138">
        <v>3507</v>
      </c>
      <c r="P41" s="139"/>
      <c r="Q41" s="138">
        <v>3477</v>
      </c>
      <c r="R41" s="139"/>
      <c r="S41" s="138">
        <v>3674</v>
      </c>
      <c r="T41" s="139"/>
      <c r="U41" s="138">
        <v>4031</v>
      </c>
      <c r="V41" s="139"/>
    </row>
    <row r="42" spans="1:22" x14ac:dyDescent="0.2">
      <c r="A42" s="62" t="s">
        <v>732</v>
      </c>
      <c r="B42" s="62"/>
      <c r="C42" s="138" t="s">
        <v>182</v>
      </c>
      <c r="D42" s="139"/>
      <c r="E42" s="138" t="s">
        <v>182</v>
      </c>
      <c r="F42" s="139"/>
      <c r="G42" s="138">
        <v>2674</v>
      </c>
      <c r="H42" s="139"/>
      <c r="I42" s="138">
        <v>2696</v>
      </c>
      <c r="J42" s="139"/>
      <c r="K42" s="138">
        <v>2780</v>
      </c>
      <c r="L42" s="139"/>
      <c r="M42" s="138">
        <v>2922</v>
      </c>
      <c r="N42" s="139"/>
      <c r="O42" s="138">
        <v>3006</v>
      </c>
      <c r="P42" s="139"/>
      <c r="Q42" s="138">
        <v>2994</v>
      </c>
      <c r="R42" s="139"/>
      <c r="S42" s="138">
        <v>3128</v>
      </c>
      <c r="T42" s="139"/>
      <c r="U42" s="138">
        <v>3459</v>
      </c>
      <c r="V42" s="139"/>
    </row>
    <row r="43" spans="1:22" x14ac:dyDescent="0.2">
      <c r="A43" s="62" t="s">
        <v>734</v>
      </c>
      <c r="B43" s="62"/>
      <c r="C43" s="138">
        <v>2601</v>
      </c>
      <c r="D43" s="139"/>
      <c r="E43" s="138">
        <v>2668</v>
      </c>
      <c r="F43" s="139"/>
      <c r="G43" s="138">
        <v>2745</v>
      </c>
      <c r="H43" s="139"/>
      <c r="I43" s="138">
        <v>2821</v>
      </c>
      <c r="J43" s="139"/>
      <c r="K43" s="138">
        <v>2860</v>
      </c>
      <c r="L43" s="139"/>
      <c r="M43" s="138">
        <v>2982</v>
      </c>
      <c r="N43" s="139"/>
      <c r="O43" s="138">
        <v>3049</v>
      </c>
      <c r="P43" s="139"/>
      <c r="Q43" s="138">
        <v>3000</v>
      </c>
      <c r="R43" s="139"/>
      <c r="S43" s="138">
        <v>3101</v>
      </c>
      <c r="T43" s="139"/>
      <c r="U43" s="138">
        <v>3423</v>
      </c>
      <c r="V43" s="139"/>
    </row>
    <row r="44" spans="1:22" x14ac:dyDescent="0.2">
      <c r="A44" s="62" t="s">
        <v>733</v>
      </c>
      <c r="B44" s="62"/>
      <c r="C44" s="138">
        <v>2817</v>
      </c>
      <c r="D44" s="139"/>
      <c r="E44" s="138">
        <v>2789</v>
      </c>
      <c r="F44" s="139"/>
      <c r="G44" s="138">
        <v>2611</v>
      </c>
      <c r="H44" s="139"/>
      <c r="I44" s="138">
        <v>2616</v>
      </c>
      <c r="J44" s="139"/>
      <c r="K44" s="138">
        <v>2615</v>
      </c>
      <c r="L44" s="139"/>
      <c r="M44" s="138">
        <v>2737</v>
      </c>
      <c r="N44" s="139"/>
      <c r="O44" s="138">
        <v>2711</v>
      </c>
      <c r="P44" s="139"/>
      <c r="Q44" s="138">
        <v>2674</v>
      </c>
      <c r="R44" s="139"/>
      <c r="S44" s="138">
        <v>2786</v>
      </c>
      <c r="T44" s="139"/>
      <c r="U44" s="138">
        <v>3118</v>
      </c>
      <c r="V44" s="139"/>
    </row>
    <row r="45" spans="1:22" x14ac:dyDescent="0.2">
      <c r="A45" s="62" t="s">
        <v>735</v>
      </c>
      <c r="B45" s="62"/>
      <c r="C45" s="138" t="s">
        <v>182</v>
      </c>
      <c r="D45" s="139"/>
      <c r="E45" s="138" t="s">
        <v>182</v>
      </c>
      <c r="F45" s="139"/>
      <c r="G45" s="138">
        <v>2546</v>
      </c>
      <c r="H45" s="139"/>
      <c r="I45" s="138">
        <v>2718</v>
      </c>
      <c r="J45" s="139"/>
      <c r="K45" s="138">
        <v>2746</v>
      </c>
      <c r="L45" s="139"/>
      <c r="M45" s="138">
        <v>2880</v>
      </c>
      <c r="N45" s="139"/>
      <c r="O45" s="138">
        <v>2988</v>
      </c>
      <c r="P45" s="139"/>
      <c r="Q45" s="138">
        <v>2824</v>
      </c>
      <c r="R45" s="139"/>
      <c r="S45" s="138">
        <v>2874</v>
      </c>
      <c r="T45" s="139"/>
      <c r="U45" s="138">
        <v>3101</v>
      </c>
      <c r="V45" s="139"/>
    </row>
    <row r="46" spans="1:22" x14ac:dyDescent="0.2">
      <c r="A46" s="62" t="s">
        <v>737</v>
      </c>
      <c r="B46" s="62"/>
      <c r="C46" s="138">
        <v>1612</v>
      </c>
      <c r="D46" s="139"/>
      <c r="E46" s="138">
        <v>1618</v>
      </c>
      <c r="F46" s="139"/>
      <c r="G46" s="138">
        <v>1625</v>
      </c>
      <c r="H46" s="139"/>
      <c r="I46" s="138">
        <v>1543</v>
      </c>
      <c r="J46" s="139"/>
      <c r="K46" s="138">
        <v>1601</v>
      </c>
      <c r="L46" s="139"/>
      <c r="M46" s="138">
        <v>1782</v>
      </c>
      <c r="N46" s="139"/>
      <c r="O46" s="138">
        <v>1774</v>
      </c>
      <c r="P46" s="139"/>
      <c r="Q46" s="138">
        <v>1832</v>
      </c>
      <c r="R46" s="139"/>
      <c r="S46" s="138">
        <v>2052</v>
      </c>
      <c r="T46" s="139"/>
      <c r="U46" s="138">
        <v>2241</v>
      </c>
      <c r="V46" s="139"/>
    </row>
    <row r="47" spans="1:22" x14ac:dyDescent="0.2">
      <c r="A47" s="62" t="s">
        <v>736</v>
      </c>
      <c r="B47" s="62"/>
      <c r="C47" s="138">
        <v>1571</v>
      </c>
      <c r="D47" s="139"/>
      <c r="E47" s="138">
        <v>1567</v>
      </c>
      <c r="F47" s="139"/>
      <c r="G47" s="138">
        <v>1500</v>
      </c>
      <c r="H47" s="139"/>
      <c r="I47" s="138">
        <v>1497</v>
      </c>
      <c r="J47" s="139"/>
      <c r="K47" s="138">
        <v>1549</v>
      </c>
      <c r="L47" s="139"/>
      <c r="M47" s="138">
        <v>1644</v>
      </c>
      <c r="N47" s="139"/>
      <c r="O47" s="138">
        <v>1642</v>
      </c>
      <c r="P47" s="139"/>
      <c r="Q47" s="138">
        <v>1676</v>
      </c>
      <c r="R47" s="139"/>
      <c r="S47" s="138">
        <v>1806</v>
      </c>
      <c r="T47" s="139"/>
      <c r="U47" s="138">
        <v>1953</v>
      </c>
      <c r="V47" s="139"/>
    </row>
    <row r="48" spans="1:22" x14ac:dyDescent="0.2">
      <c r="A48" s="62" t="s">
        <v>751</v>
      </c>
      <c r="B48" s="62"/>
      <c r="C48" s="138">
        <v>1760</v>
      </c>
      <c r="D48" s="139"/>
      <c r="E48" s="138">
        <v>1956</v>
      </c>
      <c r="F48" s="139"/>
      <c r="G48" s="138" t="s">
        <v>182</v>
      </c>
      <c r="H48" s="139"/>
      <c r="I48" s="138" t="s">
        <v>182</v>
      </c>
      <c r="J48" s="139"/>
      <c r="K48" s="138" t="s">
        <v>182</v>
      </c>
      <c r="L48" s="139"/>
      <c r="M48" s="138" t="s">
        <v>182</v>
      </c>
      <c r="N48" s="139"/>
      <c r="O48" s="138" t="s">
        <v>182</v>
      </c>
      <c r="P48" s="139"/>
      <c r="Q48" s="138" t="s">
        <v>182</v>
      </c>
      <c r="R48" s="139"/>
      <c r="S48" s="138" t="s">
        <v>182</v>
      </c>
      <c r="T48" s="139"/>
      <c r="U48" s="138" t="s">
        <v>182</v>
      </c>
      <c r="V48" s="139"/>
    </row>
    <row r="49" spans="1:22" x14ac:dyDescent="0.2">
      <c r="A49" s="62" t="s">
        <v>752</v>
      </c>
      <c r="B49" s="62"/>
      <c r="C49" s="138">
        <v>2458</v>
      </c>
      <c r="D49" s="139"/>
      <c r="E49" s="138">
        <v>2540</v>
      </c>
      <c r="F49" s="139"/>
      <c r="G49" s="138" t="s">
        <v>182</v>
      </c>
      <c r="H49" s="139"/>
      <c r="I49" s="138" t="s">
        <v>182</v>
      </c>
      <c r="J49" s="139"/>
      <c r="K49" s="138" t="s">
        <v>182</v>
      </c>
      <c r="L49" s="139"/>
      <c r="M49" s="138" t="s">
        <v>182</v>
      </c>
      <c r="N49" s="139"/>
      <c r="O49" s="138" t="s">
        <v>182</v>
      </c>
      <c r="P49" s="139"/>
      <c r="Q49" s="138" t="s">
        <v>182</v>
      </c>
      <c r="R49" s="139"/>
      <c r="S49" s="138" t="s">
        <v>182</v>
      </c>
      <c r="T49" s="139"/>
      <c r="U49" s="138" t="s">
        <v>182</v>
      </c>
      <c r="V49" s="139"/>
    </row>
    <row r="50" spans="1:22" x14ac:dyDescent="0.2">
      <c r="A50" s="62" t="s">
        <v>753</v>
      </c>
      <c r="B50" s="62"/>
      <c r="C50" s="138">
        <v>2802</v>
      </c>
      <c r="D50" s="139"/>
      <c r="E50" s="138">
        <v>2819</v>
      </c>
      <c r="F50" s="139"/>
      <c r="G50" s="138" t="s">
        <v>182</v>
      </c>
      <c r="H50" s="139"/>
      <c r="I50" s="138" t="s">
        <v>182</v>
      </c>
      <c r="J50" s="139"/>
      <c r="K50" s="138" t="s">
        <v>182</v>
      </c>
      <c r="L50" s="139"/>
      <c r="M50" s="138" t="s">
        <v>182</v>
      </c>
      <c r="N50" s="139"/>
      <c r="O50" s="138" t="s">
        <v>182</v>
      </c>
      <c r="P50" s="139"/>
      <c r="Q50" s="138" t="s">
        <v>182</v>
      </c>
      <c r="R50" s="139"/>
      <c r="S50" s="138" t="s">
        <v>182</v>
      </c>
      <c r="T50" s="139"/>
      <c r="U50" s="138" t="s">
        <v>182</v>
      </c>
      <c r="V50" s="139"/>
    </row>
    <row r="51" spans="1:22" x14ac:dyDescent="0.2">
      <c r="A51" s="62" t="s">
        <v>754</v>
      </c>
      <c r="B51" s="62"/>
      <c r="C51" s="138">
        <v>2597</v>
      </c>
      <c r="D51" s="139"/>
      <c r="E51" s="138">
        <v>2697</v>
      </c>
      <c r="F51" s="139"/>
      <c r="G51" s="138" t="s">
        <v>182</v>
      </c>
      <c r="H51" s="139"/>
      <c r="I51" s="138" t="s">
        <v>182</v>
      </c>
      <c r="J51" s="139"/>
      <c r="K51" s="138" t="s">
        <v>182</v>
      </c>
      <c r="L51" s="139"/>
      <c r="M51" s="138" t="s">
        <v>182</v>
      </c>
      <c r="N51" s="139"/>
      <c r="O51" s="138" t="s">
        <v>182</v>
      </c>
      <c r="P51" s="139"/>
      <c r="Q51" s="138" t="s">
        <v>182</v>
      </c>
      <c r="R51" s="139"/>
      <c r="S51" s="138" t="s">
        <v>182</v>
      </c>
      <c r="T51" s="139"/>
      <c r="U51" s="138" t="s">
        <v>182</v>
      </c>
      <c r="V51" s="139"/>
    </row>
    <row r="52" spans="1:22" x14ac:dyDescent="0.2">
      <c r="A52" s="62" t="s">
        <v>746</v>
      </c>
      <c r="B52" s="62"/>
      <c r="C52" s="138">
        <v>657</v>
      </c>
      <c r="D52" s="139"/>
      <c r="E52" s="138">
        <v>656</v>
      </c>
      <c r="F52" s="139"/>
      <c r="G52" s="138">
        <v>621</v>
      </c>
      <c r="H52" s="139"/>
      <c r="I52" s="138">
        <v>614</v>
      </c>
      <c r="J52" s="139"/>
      <c r="K52" s="138">
        <v>633</v>
      </c>
      <c r="L52" s="139"/>
      <c r="M52" s="138">
        <v>667</v>
      </c>
      <c r="N52" s="139"/>
      <c r="O52" s="138">
        <v>659</v>
      </c>
      <c r="P52" s="139"/>
      <c r="Q52" s="138">
        <v>626</v>
      </c>
      <c r="R52" s="139"/>
      <c r="S52" s="138">
        <v>685</v>
      </c>
      <c r="T52" s="139"/>
      <c r="U52" s="138">
        <v>778</v>
      </c>
      <c r="V52" s="139"/>
    </row>
    <row r="53" spans="1:22" x14ac:dyDescent="0.2">
      <c r="A53" s="62" t="s">
        <v>747</v>
      </c>
      <c r="B53" s="62"/>
      <c r="C53" s="138" t="s">
        <v>182</v>
      </c>
      <c r="D53" s="139"/>
      <c r="E53" s="138" t="s">
        <v>182</v>
      </c>
      <c r="F53" s="139"/>
      <c r="G53" s="138" t="s">
        <v>182</v>
      </c>
      <c r="H53" s="139"/>
      <c r="I53" s="138" t="s">
        <v>182</v>
      </c>
      <c r="J53" s="139"/>
      <c r="K53" s="138" t="s">
        <v>182</v>
      </c>
      <c r="L53" s="139"/>
      <c r="M53" s="138" t="s">
        <v>182</v>
      </c>
      <c r="N53" s="139"/>
      <c r="O53" s="138" t="s">
        <v>182</v>
      </c>
      <c r="P53" s="139"/>
      <c r="Q53" s="138">
        <v>0</v>
      </c>
      <c r="R53" s="139"/>
      <c r="S53" s="138">
        <v>0</v>
      </c>
      <c r="T53" s="139"/>
      <c r="U53" s="138">
        <v>0</v>
      </c>
      <c r="V53" s="139"/>
    </row>
    <row r="54" spans="1:22" x14ac:dyDescent="0.2">
      <c r="A54" s="62" t="s">
        <v>748</v>
      </c>
      <c r="B54" s="62"/>
      <c r="C54" s="138">
        <v>0</v>
      </c>
      <c r="D54" s="139"/>
      <c r="E54" s="138">
        <v>0</v>
      </c>
      <c r="F54" s="139"/>
      <c r="G54" s="138">
        <v>0</v>
      </c>
      <c r="H54" s="139"/>
      <c r="I54" s="138">
        <v>0</v>
      </c>
      <c r="J54" s="139"/>
      <c r="K54" s="138">
        <v>0</v>
      </c>
      <c r="L54" s="139"/>
      <c r="M54" s="138">
        <v>0</v>
      </c>
      <c r="N54" s="139"/>
      <c r="O54" s="138">
        <v>0</v>
      </c>
      <c r="P54" s="139"/>
      <c r="Q54" s="138">
        <v>0</v>
      </c>
      <c r="R54" s="139"/>
      <c r="S54" s="138">
        <v>0</v>
      </c>
      <c r="T54" s="139"/>
      <c r="U54" s="138">
        <v>0</v>
      </c>
      <c r="V54" s="139"/>
    </row>
    <row r="55" spans="1:22" x14ac:dyDescent="0.2">
      <c r="A55" s="60" t="s">
        <v>755</v>
      </c>
      <c r="B55" s="60"/>
      <c r="C55" s="136" t="s">
        <v>182</v>
      </c>
      <c r="D55" s="137"/>
      <c r="E55" s="136" t="s">
        <v>182</v>
      </c>
      <c r="F55" s="137"/>
      <c r="G55" s="136" t="s">
        <v>182</v>
      </c>
      <c r="H55" s="137"/>
      <c r="I55" s="136" t="s">
        <v>182</v>
      </c>
      <c r="J55" s="137"/>
      <c r="K55" s="136" t="s">
        <v>182</v>
      </c>
      <c r="L55" s="137"/>
      <c r="M55" s="136" t="s">
        <v>182</v>
      </c>
      <c r="N55" s="137"/>
      <c r="O55" s="136" t="s">
        <v>182</v>
      </c>
      <c r="P55" s="137"/>
      <c r="Q55" s="136" t="s">
        <v>182</v>
      </c>
      <c r="R55" s="137"/>
      <c r="S55" s="136" t="s">
        <v>182</v>
      </c>
      <c r="T55" s="137"/>
      <c r="U55" s="136" t="s">
        <v>182</v>
      </c>
      <c r="V55" s="137"/>
    </row>
    <row r="56" spans="1:22" x14ac:dyDescent="0.2">
      <c r="A56" s="62" t="s">
        <v>745</v>
      </c>
      <c r="B56" s="62"/>
      <c r="C56" s="138">
        <v>-2</v>
      </c>
      <c r="D56" s="139"/>
      <c r="E56" s="138">
        <v>-7</v>
      </c>
      <c r="F56" s="139"/>
      <c r="G56" s="138">
        <v>-4</v>
      </c>
      <c r="H56" s="139"/>
      <c r="I56" s="138">
        <v>1</v>
      </c>
      <c r="J56" s="139"/>
      <c r="K56" s="138">
        <v>13</v>
      </c>
      <c r="L56" s="139"/>
      <c r="M56" s="138">
        <v>3</v>
      </c>
      <c r="N56" s="139"/>
      <c r="O56" s="138">
        <v>-3</v>
      </c>
      <c r="P56" s="139"/>
      <c r="Q56" s="138">
        <v>-11</v>
      </c>
      <c r="R56" s="139"/>
      <c r="S56" s="138">
        <v>16</v>
      </c>
      <c r="T56" s="139"/>
      <c r="U56" s="138">
        <v>38</v>
      </c>
      <c r="V56" s="139"/>
    </row>
    <row r="57" spans="1:22" x14ac:dyDescent="0.2">
      <c r="A57" s="62" t="s">
        <v>746</v>
      </c>
      <c r="B57" s="62"/>
      <c r="C57" s="138">
        <v>1</v>
      </c>
      <c r="D57" s="139"/>
      <c r="E57" s="138">
        <v>0</v>
      </c>
      <c r="F57" s="139"/>
      <c r="G57" s="138">
        <v>-5</v>
      </c>
      <c r="H57" s="139"/>
      <c r="I57" s="138">
        <v>-1</v>
      </c>
      <c r="J57" s="139"/>
      <c r="K57" s="138">
        <v>3</v>
      </c>
      <c r="L57" s="139"/>
      <c r="M57" s="138">
        <v>5</v>
      </c>
      <c r="N57" s="139"/>
      <c r="O57" s="138">
        <v>-1</v>
      </c>
      <c r="P57" s="139"/>
      <c r="Q57" s="138">
        <v>-5</v>
      </c>
      <c r="R57" s="139"/>
      <c r="S57" s="138">
        <v>9</v>
      </c>
      <c r="T57" s="139"/>
      <c r="U57" s="138">
        <v>14</v>
      </c>
      <c r="V57" s="139"/>
    </row>
    <row r="58" spans="1:22" x14ac:dyDescent="0.2">
      <c r="A58" s="62" t="s">
        <v>730</v>
      </c>
      <c r="B58" s="62"/>
      <c r="C58" s="138">
        <v>2</v>
      </c>
      <c r="D58" s="139"/>
      <c r="E58" s="138">
        <v>2</v>
      </c>
      <c r="F58" s="139"/>
      <c r="G58" s="138">
        <v>-2</v>
      </c>
      <c r="H58" s="139"/>
      <c r="I58" s="138">
        <v>0</v>
      </c>
      <c r="J58" s="139"/>
      <c r="K58" s="138">
        <v>3</v>
      </c>
      <c r="L58" s="139"/>
      <c r="M58" s="138">
        <v>6</v>
      </c>
      <c r="N58" s="139"/>
      <c r="O58" s="138">
        <v>1</v>
      </c>
      <c r="P58" s="139"/>
      <c r="Q58" s="138">
        <v>0</v>
      </c>
      <c r="R58" s="139"/>
      <c r="S58" s="138">
        <v>5</v>
      </c>
      <c r="T58" s="139"/>
      <c r="U58" s="138">
        <v>10</v>
      </c>
      <c r="V58" s="139"/>
    </row>
    <row r="59" spans="1:22" x14ac:dyDescent="0.2">
      <c r="A59" s="62" t="s">
        <v>733</v>
      </c>
      <c r="B59" s="62"/>
      <c r="C59" s="138">
        <v>4</v>
      </c>
      <c r="D59" s="139"/>
      <c r="E59" s="138">
        <v>-1</v>
      </c>
      <c r="F59" s="139"/>
      <c r="G59" s="138">
        <v>-6</v>
      </c>
      <c r="H59" s="139"/>
      <c r="I59" s="138">
        <v>0</v>
      </c>
      <c r="J59" s="139"/>
      <c r="K59" s="138">
        <v>0</v>
      </c>
      <c r="L59" s="139"/>
      <c r="M59" s="138">
        <v>5</v>
      </c>
      <c r="N59" s="139"/>
      <c r="O59" s="138">
        <v>-1</v>
      </c>
      <c r="P59" s="139"/>
      <c r="Q59" s="138">
        <v>-1</v>
      </c>
      <c r="R59" s="139"/>
      <c r="S59" s="138">
        <v>4</v>
      </c>
      <c r="T59" s="139"/>
      <c r="U59" s="138">
        <v>12</v>
      </c>
      <c r="V59" s="139"/>
    </row>
    <row r="60" spans="1:22" x14ac:dyDescent="0.2">
      <c r="A60" s="62" t="s">
        <v>732</v>
      </c>
      <c r="B60" s="62"/>
      <c r="C60" s="138" t="s">
        <v>182</v>
      </c>
      <c r="D60" s="139"/>
      <c r="E60" s="138" t="s">
        <v>182</v>
      </c>
      <c r="F60" s="139"/>
      <c r="G60" s="138" t="s">
        <v>182</v>
      </c>
      <c r="H60" s="139"/>
      <c r="I60" s="138">
        <v>1</v>
      </c>
      <c r="J60" s="139"/>
      <c r="K60" s="138">
        <v>3</v>
      </c>
      <c r="L60" s="139"/>
      <c r="M60" s="138">
        <v>5</v>
      </c>
      <c r="N60" s="139"/>
      <c r="O60" s="138">
        <v>3</v>
      </c>
      <c r="P60" s="139"/>
      <c r="Q60" s="138">
        <v>0</v>
      </c>
      <c r="R60" s="139"/>
      <c r="S60" s="138">
        <v>4</v>
      </c>
      <c r="T60" s="139"/>
      <c r="U60" s="138">
        <v>11</v>
      </c>
      <c r="V60" s="139"/>
    </row>
    <row r="61" spans="1:22" x14ac:dyDescent="0.2">
      <c r="A61" s="62" t="s">
        <v>731</v>
      </c>
      <c r="B61" s="62"/>
      <c r="C61" s="138">
        <v>0</v>
      </c>
      <c r="D61" s="139"/>
      <c r="E61" s="138">
        <v>-1</v>
      </c>
      <c r="F61" s="139"/>
      <c r="G61" s="138">
        <v>-4</v>
      </c>
      <c r="H61" s="139"/>
      <c r="I61" s="138">
        <v>-1</v>
      </c>
      <c r="J61" s="139"/>
      <c r="K61" s="138">
        <v>5</v>
      </c>
      <c r="L61" s="139"/>
      <c r="M61" s="138">
        <v>5</v>
      </c>
      <c r="N61" s="139"/>
      <c r="O61" s="138">
        <v>1</v>
      </c>
      <c r="P61" s="139"/>
      <c r="Q61" s="138">
        <v>-1</v>
      </c>
      <c r="R61" s="139"/>
      <c r="S61" s="138">
        <v>6</v>
      </c>
      <c r="T61" s="139"/>
      <c r="U61" s="138">
        <v>10</v>
      </c>
      <c r="V61" s="139"/>
    </row>
    <row r="62" spans="1:22" x14ac:dyDescent="0.2">
      <c r="A62" s="62" t="s">
        <v>734</v>
      </c>
      <c r="B62" s="62"/>
      <c r="C62" s="138">
        <v>3</v>
      </c>
      <c r="D62" s="139"/>
      <c r="E62" s="138">
        <v>3</v>
      </c>
      <c r="F62" s="139"/>
      <c r="G62" s="138">
        <v>3</v>
      </c>
      <c r="H62" s="139"/>
      <c r="I62" s="138">
        <v>3</v>
      </c>
      <c r="J62" s="139"/>
      <c r="K62" s="138">
        <v>1</v>
      </c>
      <c r="L62" s="139"/>
      <c r="M62" s="138">
        <v>4</v>
      </c>
      <c r="N62" s="139"/>
      <c r="O62" s="138">
        <v>2</v>
      </c>
      <c r="P62" s="139"/>
      <c r="Q62" s="138">
        <v>0</v>
      </c>
      <c r="R62" s="139"/>
      <c r="S62" s="138">
        <v>3</v>
      </c>
      <c r="T62" s="139"/>
      <c r="U62" s="138">
        <v>10</v>
      </c>
      <c r="V62" s="139"/>
    </row>
    <row r="63" spans="1:22" x14ac:dyDescent="0.2">
      <c r="A63" s="62" t="s">
        <v>737</v>
      </c>
      <c r="B63" s="62"/>
      <c r="C63" s="138">
        <v>1</v>
      </c>
      <c r="D63" s="139"/>
      <c r="E63" s="138">
        <v>0</v>
      </c>
      <c r="F63" s="139"/>
      <c r="G63" s="138">
        <v>0</v>
      </c>
      <c r="H63" s="139"/>
      <c r="I63" s="138">
        <v>-5</v>
      </c>
      <c r="J63" s="139"/>
      <c r="K63" s="138">
        <v>4</v>
      </c>
      <c r="L63" s="139"/>
      <c r="M63" s="138">
        <v>11</v>
      </c>
      <c r="N63" s="139"/>
      <c r="O63" s="138">
        <v>0</v>
      </c>
      <c r="P63" s="139"/>
      <c r="Q63" s="138">
        <v>2</v>
      </c>
      <c r="R63" s="139"/>
      <c r="S63" s="138">
        <v>12</v>
      </c>
      <c r="T63" s="139"/>
      <c r="U63" s="138">
        <v>9</v>
      </c>
      <c r="V63" s="139"/>
    </row>
    <row r="64" spans="1:22" x14ac:dyDescent="0.2">
      <c r="A64" s="62" t="s">
        <v>736</v>
      </c>
      <c r="B64" s="62"/>
      <c r="C64" s="138">
        <v>4</v>
      </c>
      <c r="D64" s="139"/>
      <c r="E64" s="138">
        <v>0</v>
      </c>
      <c r="F64" s="139"/>
      <c r="G64" s="138">
        <v>-4</v>
      </c>
      <c r="H64" s="139"/>
      <c r="I64" s="138">
        <v>0</v>
      </c>
      <c r="J64" s="139"/>
      <c r="K64" s="138">
        <v>3</v>
      </c>
      <c r="L64" s="139"/>
      <c r="M64" s="138">
        <v>6</v>
      </c>
      <c r="N64" s="139"/>
      <c r="O64" s="138">
        <v>0</v>
      </c>
      <c r="P64" s="139"/>
      <c r="Q64" s="138">
        <v>1</v>
      </c>
      <c r="R64" s="139"/>
      <c r="S64" s="138">
        <v>8</v>
      </c>
      <c r="T64" s="139"/>
      <c r="U64" s="138">
        <v>8</v>
      </c>
      <c r="V64" s="139"/>
    </row>
    <row r="65" spans="1:22" x14ac:dyDescent="0.2">
      <c r="A65" s="62" t="s">
        <v>735</v>
      </c>
      <c r="B65" s="62"/>
      <c r="C65" s="138" t="s">
        <v>182</v>
      </c>
      <c r="D65" s="139"/>
      <c r="E65" s="138" t="s">
        <v>182</v>
      </c>
      <c r="F65" s="139"/>
      <c r="G65" s="138" t="s">
        <v>182</v>
      </c>
      <c r="H65" s="139"/>
      <c r="I65" s="138">
        <v>7</v>
      </c>
      <c r="J65" s="139"/>
      <c r="K65" s="138">
        <v>1</v>
      </c>
      <c r="L65" s="139"/>
      <c r="M65" s="138">
        <v>5</v>
      </c>
      <c r="N65" s="139"/>
      <c r="O65" s="138">
        <v>4</v>
      </c>
      <c r="P65" s="139"/>
      <c r="Q65" s="138">
        <v>-5</v>
      </c>
      <c r="R65" s="139"/>
      <c r="S65" s="138">
        <v>2</v>
      </c>
      <c r="T65" s="139"/>
      <c r="U65" s="138">
        <v>8</v>
      </c>
      <c r="V65" s="139"/>
    </row>
    <row r="66" spans="1:22" x14ac:dyDescent="0.2">
      <c r="A66" s="62" t="s">
        <v>751</v>
      </c>
      <c r="B66" s="62"/>
      <c r="C66" s="138">
        <v>-7</v>
      </c>
      <c r="D66" s="139"/>
      <c r="E66" s="138">
        <v>11</v>
      </c>
      <c r="F66" s="139"/>
      <c r="G66" s="138">
        <v>4</v>
      </c>
      <c r="H66" s="139"/>
      <c r="I66" s="138" t="s">
        <v>182</v>
      </c>
      <c r="J66" s="139"/>
      <c r="K66" s="138" t="s">
        <v>182</v>
      </c>
      <c r="L66" s="139"/>
      <c r="M66" s="138" t="s">
        <v>182</v>
      </c>
      <c r="N66" s="139"/>
      <c r="O66" s="138" t="s">
        <v>182</v>
      </c>
      <c r="P66" s="139"/>
      <c r="Q66" s="138" t="s">
        <v>182</v>
      </c>
      <c r="R66" s="139"/>
      <c r="S66" s="138" t="s">
        <v>182</v>
      </c>
      <c r="T66" s="139"/>
      <c r="U66" s="138" t="s">
        <v>182</v>
      </c>
      <c r="V66" s="139"/>
    </row>
    <row r="67" spans="1:22" x14ac:dyDescent="0.2">
      <c r="A67" s="62" t="s">
        <v>752</v>
      </c>
      <c r="B67" s="62"/>
      <c r="C67" s="138">
        <v>2</v>
      </c>
      <c r="D67" s="139"/>
      <c r="E67" s="138">
        <v>3</v>
      </c>
      <c r="F67" s="139"/>
      <c r="G67" s="138">
        <v>1</v>
      </c>
      <c r="H67" s="139"/>
      <c r="I67" s="138" t="s">
        <v>182</v>
      </c>
      <c r="J67" s="139"/>
      <c r="K67" s="138" t="s">
        <v>182</v>
      </c>
      <c r="L67" s="139"/>
      <c r="M67" s="138" t="s">
        <v>182</v>
      </c>
      <c r="N67" s="139"/>
      <c r="O67" s="138" t="s">
        <v>182</v>
      </c>
      <c r="P67" s="139"/>
      <c r="Q67" s="138" t="s">
        <v>182</v>
      </c>
      <c r="R67" s="139"/>
      <c r="S67" s="138" t="s">
        <v>182</v>
      </c>
      <c r="T67" s="139"/>
      <c r="U67" s="138" t="s">
        <v>182</v>
      </c>
      <c r="V67" s="139"/>
    </row>
    <row r="68" spans="1:22" x14ac:dyDescent="0.2">
      <c r="A68" s="62" t="s">
        <v>753</v>
      </c>
      <c r="B68" s="62"/>
      <c r="C68" s="138">
        <v>3</v>
      </c>
      <c r="D68" s="139"/>
      <c r="E68" s="138">
        <v>1</v>
      </c>
      <c r="F68" s="139"/>
      <c r="G68" s="138">
        <v>-1</v>
      </c>
      <c r="H68" s="139"/>
      <c r="I68" s="138" t="s">
        <v>182</v>
      </c>
      <c r="J68" s="139"/>
      <c r="K68" s="138" t="s">
        <v>182</v>
      </c>
      <c r="L68" s="139"/>
      <c r="M68" s="138" t="s">
        <v>182</v>
      </c>
      <c r="N68" s="139"/>
      <c r="O68" s="138" t="s">
        <v>182</v>
      </c>
      <c r="P68" s="139"/>
      <c r="Q68" s="138" t="s">
        <v>182</v>
      </c>
      <c r="R68" s="139"/>
      <c r="S68" s="138" t="s">
        <v>182</v>
      </c>
      <c r="T68" s="139"/>
      <c r="U68" s="138" t="s">
        <v>182</v>
      </c>
      <c r="V68" s="139"/>
    </row>
    <row r="69" spans="1:22" x14ac:dyDescent="0.2">
      <c r="A69" s="62" t="s">
        <v>754</v>
      </c>
      <c r="B69" s="62"/>
      <c r="C69" s="138">
        <v>2</v>
      </c>
      <c r="D69" s="139"/>
      <c r="E69" s="138">
        <v>4</v>
      </c>
      <c r="F69" s="139"/>
      <c r="G69" s="138">
        <v>-2</v>
      </c>
      <c r="H69" s="139"/>
      <c r="I69" s="138" t="s">
        <v>182</v>
      </c>
      <c r="J69" s="139"/>
      <c r="K69" s="138" t="s">
        <v>182</v>
      </c>
      <c r="L69" s="139"/>
      <c r="M69" s="138" t="s">
        <v>182</v>
      </c>
      <c r="N69" s="139"/>
      <c r="O69" s="138" t="s">
        <v>182</v>
      </c>
      <c r="P69" s="139"/>
      <c r="Q69" s="138" t="s">
        <v>182</v>
      </c>
      <c r="R69" s="139"/>
      <c r="S69" s="138" t="s">
        <v>182</v>
      </c>
      <c r="T69" s="139"/>
      <c r="U69" s="138" t="s">
        <v>182</v>
      </c>
      <c r="V69" s="139"/>
    </row>
    <row r="70" spans="1:22" x14ac:dyDescent="0.2">
      <c r="A70" s="62" t="s">
        <v>747</v>
      </c>
      <c r="B70" s="62"/>
      <c r="C70" s="138" t="s">
        <v>182</v>
      </c>
      <c r="D70" s="139"/>
      <c r="E70" s="138" t="s">
        <v>182</v>
      </c>
      <c r="F70" s="139"/>
      <c r="G70" s="138" t="s">
        <v>182</v>
      </c>
      <c r="H70" s="139"/>
      <c r="I70" s="138" t="s">
        <v>182</v>
      </c>
      <c r="J70" s="139"/>
      <c r="K70" s="138" t="s">
        <v>182</v>
      </c>
      <c r="L70" s="139"/>
      <c r="M70" s="138" t="s">
        <v>182</v>
      </c>
      <c r="N70" s="139"/>
      <c r="O70" s="138" t="s">
        <v>182</v>
      </c>
      <c r="P70" s="139"/>
      <c r="Q70" s="138" t="s">
        <v>182</v>
      </c>
      <c r="R70" s="139"/>
      <c r="S70" s="138">
        <v>0</v>
      </c>
      <c r="T70" s="139"/>
      <c r="U70" s="138">
        <v>0</v>
      </c>
      <c r="V70" s="139"/>
    </row>
    <row r="71" spans="1:22" x14ac:dyDescent="0.2">
      <c r="A71" s="62" t="s">
        <v>748</v>
      </c>
      <c r="B71" s="62"/>
      <c r="C71" s="138">
        <v>0</v>
      </c>
      <c r="D71" s="139"/>
      <c r="E71" s="138">
        <v>0</v>
      </c>
      <c r="F71" s="139"/>
      <c r="G71" s="138">
        <v>0</v>
      </c>
      <c r="H71" s="139"/>
      <c r="I71" s="138">
        <v>0</v>
      </c>
      <c r="J71" s="139"/>
      <c r="K71" s="138">
        <v>0</v>
      </c>
      <c r="L71" s="139"/>
      <c r="M71" s="138">
        <v>0</v>
      </c>
      <c r="N71" s="139"/>
      <c r="O71" s="138">
        <v>0</v>
      </c>
      <c r="P71" s="139"/>
      <c r="Q71" s="138">
        <v>0</v>
      </c>
      <c r="R71" s="139"/>
      <c r="S71" s="138">
        <v>0</v>
      </c>
      <c r="T71" s="139"/>
      <c r="U71" s="138">
        <v>0</v>
      </c>
      <c r="V71" s="139"/>
    </row>
    <row r="72" spans="1:22" x14ac:dyDescent="0.2">
      <c r="A72" s="60" t="s">
        <v>756</v>
      </c>
      <c r="B72" s="60"/>
      <c r="C72" s="136" t="s">
        <v>182</v>
      </c>
      <c r="D72" s="137"/>
      <c r="E72" s="136" t="s">
        <v>182</v>
      </c>
      <c r="F72" s="137"/>
      <c r="G72" s="136" t="s">
        <v>182</v>
      </c>
      <c r="H72" s="137"/>
      <c r="I72" s="136" t="s">
        <v>182</v>
      </c>
      <c r="J72" s="137"/>
      <c r="K72" s="136" t="s">
        <v>182</v>
      </c>
      <c r="L72" s="137"/>
      <c r="M72" s="136" t="s">
        <v>182</v>
      </c>
      <c r="N72" s="137"/>
      <c r="O72" s="136" t="s">
        <v>182</v>
      </c>
      <c r="P72" s="137"/>
      <c r="Q72" s="136" t="s">
        <v>182</v>
      </c>
      <c r="R72" s="137"/>
      <c r="S72" s="136" t="s">
        <v>182</v>
      </c>
      <c r="T72" s="137"/>
      <c r="U72" s="136" t="s">
        <v>182</v>
      </c>
      <c r="V72" s="137"/>
    </row>
    <row r="73" spans="1:22" x14ac:dyDescent="0.2">
      <c r="A73" s="62" t="s">
        <v>747</v>
      </c>
      <c r="B73" s="62"/>
      <c r="C73" s="138" t="s">
        <v>182</v>
      </c>
      <c r="D73" s="139"/>
      <c r="E73" s="138" t="s">
        <v>182</v>
      </c>
      <c r="F73" s="139"/>
      <c r="G73" s="138" t="s">
        <v>182</v>
      </c>
      <c r="H73" s="139"/>
      <c r="I73" s="138" t="s">
        <v>182</v>
      </c>
      <c r="J73" s="139"/>
      <c r="K73" s="138" t="s">
        <v>182</v>
      </c>
      <c r="L73" s="139"/>
      <c r="M73" s="138" t="s">
        <v>182</v>
      </c>
      <c r="N73" s="139"/>
      <c r="O73" s="138" t="s">
        <v>182</v>
      </c>
      <c r="P73" s="139"/>
      <c r="Q73" s="138" t="s">
        <v>182</v>
      </c>
      <c r="R73" s="139"/>
      <c r="S73" s="138">
        <v>0</v>
      </c>
      <c r="T73" s="139"/>
      <c r="U73" s="138">
        <v>136</v>
      </c>
      <c r="V73" s="139"/>
    </row>
    <row r="74" spans="1:22" x14ac:dyDescent="0.2">
      <c r="A74" s="62" t="s">
        <v>745</v>
      </c>
      <c r="B74" s="62"/>
      <c r="C74" s="138">
        <v>-9</v>
      </c>
      <c r="D74" s="139"/>
      <c r="E74" s="138">
        <v>-2</v>
      </c>
      <c r="F74" s="139"/>
      <c r="G74" s="138">
        <v>-19</v>
      </c>
      <c r="H74" s="139"/>
      <c r="I74" s="138">
        <v>-20</v>
      </c>
      <c r="J74" s="139"/>
      <c r="K74" s="138">
        <v>15</v>
      </c>
      <c r="L74" s="139"/>
      <c r="M74" s="138">
        <v>7</v>
      </c>
      <c r="N74" s="139"/>
      <c r="O74" s="138">
        <v>-8</v>
      </c>
      <c r="P74" s="139"/>
      <c r="Q74" s="138">
        <v>-33</v>
      </c>
      <c r="R74" s="139"/>
      <c r="S74" s="138">
        <v>28</v>
      </c>
      <c r="T74" s="139"/>
      <c r="U74" s="138">
        <v>36</v>
      </c>
      <c r="V74" s="139"/>
    </row>
    <row r="75" spans="1:22" x14ac:dyDescent="0.2">
      <c r="A75" s="62" t="s">
        <v>748</v>
      </c>
      <c r="B75" s="62"/>
      <c r="C75" s="138">
        <v>23</v>
      </c>
      <c r="D75" s="139"/>
      <c r="E75" s="138">
        <v>6</v>
      </c>
      <c r="F75" s="139"/>
      <c r="G75" s="138">
        <v>13</v>
      </c>
      <c r="H75" s="139"/>
      <c r="I75" s="138">
        <v>-23</v>
      </c>
      <c r="J75" s="139"/>
      <c r="K75" s="138">
        <v>18</v>
      </c>
      <c r="L75" s="139"/>
      <c r="M75" s="138">
        <v>34</v>
      </c>
      <c r="N75" s="139"/>
      <c r="O75" s="138">
        <v>-11</v>
      </c>
      <c r="P75" s="139"/>
      <c r="Q75" s="138">
        <v>-21</v>
      </c>
      <c r="R75" s="139"/>
      <c r="S75" s="138">
        <v>82</v>
      </c>
      <c r="T75" s="139"/>
      <c r="U75" s="138">
        <v>22</v>
      </c>
      <c r="V75" s="139"/>
    </row>
    <row r="76" spans="1:22" x14ac:dyDescent="0.2">
      <c r="A76" s="62" t="s">
        <v>746</v>
      </c>
      <c r="B76" s="62"/>
      <c r="C76" s="138">
        <v>6</v>
      </c>
      <c r="D76" s="139"/>
      <c r="E76" s="138">
        <v>5</v>
      </c>
      <c r="F76" s="139"/>
      <c r="G76" s="138">
        <v>-2</v>
      </c>
      <c r="H76" s="139"/>
      <c r="I76" s="138">
        <v>-2</v>
      </c>
      <c r="J76" s="139"/>
      <c r="K76" s="138">
        <v>4</v>
      </c>
      <c r="L76" s="139"/>
      <c r="M76" s="138">
        <v>7</v>
      </c>
      <c r="N76" s="139"/>
      <c r="O76" s="138">
        <v>-9</v>
      </c>
      <c r="P76" s="139"/>
      <c r="Q76" s="138">
        <v>-3</v>
      </c>
      <c r="R76" s="139"/>
      <c r="S76" s="138">
        <v>20</v>
      </c>
      <c r="T76" s="139"/>
      <c r="U76" s="138">
        <v>13</v>
      </c>
      <c r="V76" s="139"/>
    </row>
    <row r="77" spans="1:22" x14ac:dyDescent="0.2">
      <c r="A77" s="62" t="s">
        <v>730</v>
      </c>
      <c r="B77" s="62"/>
      <c r="C77" s="138">
        <v>6</v>
      </c>
      <c r="D77" s="139"/>
      <c r="E77" s="138">
        <v>8</v>
      </c>
      <c r="F77" s="139"/>
      <c r="G77" s="138">
        <v>-4</v>
      </c>
      <c r="H77" s="139"/>
      <c r="I77" s="138">
        <v>-2</v>
      </c>
      <c r="J77" s="139"/>
      <c r="K77" s="138">
        <v>-1</v>
      </c>
      <c r="L77" s="139"/>
      <c r="M77" s="138">
        <v>6</v>
      </c>
      <c r="N77" s="139"/>
      <c r="O77" s="138">
        <v>1</v>
      </c>
      <c r="P77" s="139"/>
      <c r="Q77" s="138">
        <v>-7</v>
      </c>
      <c r="R77" s="139"/>
      <c r="S77" s="138">
        <v>7</v>
      </c>
      <c r="T77" s="139"/>
      <c r="U77" s="138">
        <v>9</v>
      </c>
      <c r="V77" s="139"/>
    </row>
    <row r="78" spans="1:22" x14ac:dyDescent="0.2">
      <c r="A78" s="62" t="s">
        <v>733</v>
      </c>
      <c r="B78" s="62"/>
      <c r="C78" s="138">
        <v>5</v>
      </c>
      <c r="D78" s="139"/>
      <c r="E78" s="138">
        <v>0</v>
      </c>
      <c r="F78" s="139"/>
      <c r="G78" s="138">
        <v>-3</v>
      </c>
      <c r="H78" s="139"/>
      <c r="I78" s="138">
        <v>7</v>
      </c>
      <c r="J78" s="139"/>
      <c r="K78" s="138">
        <v>-5</v>
      </c>
      <c r="L78" s="139"/>
      <c r="M78" s="138">
        <v>6</v>
      </c>
      <c r="N78" s="139"/>
      <c r="O78" s="138">
        <v>-2</v>
      </c>
      <c r="P78" s="139"/>
      <c r="Q78" s="138">
        <v>-26</v>
      </c>
      <c r="R78" s="139"/>
      <c r="S78" s="138">
        <v>-4</v>
      </c>
      <c r="T78" s="139"/>
      <c r="U78" s="138">
        <v>19</v>
      </c>
      <c r="V78" s="139"/>
    </row>
    <row r="79" spans="1:22" x14ac:dyDescent="0.2">
      <c r="A79" s="62" t="s">
        <v>732</v>
      </c>
      <c r="B79" s="62"/>
      <c r="C79" s="138" t="s">
        <v>182</v>
      </c>
      <c r="D79" s="139"/>
      <c r="E79" s="138" t="s">
        <v>182</v>
      </c>
      <c r="F79" s="139"/>
      <c r="G79" s="138" t="s">
        <v>182</v>
      </c>
      <c r="H79" s="139"/>
      <c r="I79" s="138">
        <v>-4</v>
      </c>
      <c r="J79" s="139"/>
      <c r="K79" s="138">
        <v>-2</v>
      </c>
      <c r="L79" s="139"/>
      <c r="M79" s="138">
        <v>3</v>
      </c>
      <c r="N79" s="139"/>
      <c r="O79" s="138">
        <v>8</v>
      </c>
      <c r="P79" s="139"/>
      <c r="Q79" s="138">
        <v>-2</v>
      </c>
      <c r="R79" s="139"/>
      <c r="S79" s="138">
        <v>5</v>
      </c>
      <c r="T79" s="139"/>
      <c r="U79" s="138">
        <v>14</v>
      </c>
      <c r="V79" s="139"/>
    </row>
    <row r="80" spans="1:22" x14ac:dyDescent="0.2">
      <c r="A80" s="62" t="s">
        <v>736</v>
      </c>
      <c r="B80" s="62"/>
      <c r="C80" s="138">
        <v>6</v>
      </c>
      <c r="D80" s="139"/>
      <c r="E80" s="138">
        <v>6</v>
      </c>
      <c r="F80" s="139"/>
      <c r="G80" s="138">
        <v>2</v>
      </c>
      <c r="H80" s="139"/>
      <c r="I80" s="138">
        <v>1</v>
      </c>
      <c r="J80" s="139"/>
      <c r="K80" s="138">
        <v>3</v>
      </c>
      <c r="L80" s="139"/>
      <c r="M80" s="138">
        <v>9</v>
      </c>
      <c r="N80" s="139"/>
      <c r="O80" s="138">
        <v>6</v>
      </c>
      <c r="P80" s="139"/>
      <c r="Q80" s="138">
        <v>-4</v>
      </c>
      <c r="R80" s="139"/>
      <c r="S80" s="138">
        <v>9</v>
      </c>
      <c r="T80" s="139"/>
      <c r="U80" s="138">
        <v>12</v>
      </c>
      <c r="V80" s="139"/>
    </row>
    <row r="81" spans="1:22" x14ac:dyDescent="0.2">
      <c r="A81" s="62" t="s">
        <v>734</v>
      </c>
      <c r="B81" s="62"/>
      <c r="C81" s="138">
        <v>7</v>
      </c>
      <c r="D81" s="139"/>
      <c r="E81" s="138">
        <v>6</v>
      </c>
      <c r="F81" s="139"/>
      <c r="G81" s="138">
        <v>-3</v>
      </c>
      <c r="H81" s="139"/>
      <c r="I81" s="138">
        <v>-3</v>
      </c>
      <c r="J81" s="139"/>
      <c r="K81" s="138">
        <v>-2</v>
      </c>
      <c r="L81" s="139"/>
      <c r="M81" s="138">
        <v>13</v>
      </c>
      <c r="N81" s="139"/>
      <c r="O81" s="138">
        <v>3</v>
      </c>
      <c r="P81" s="139"/>
      <c r="Q81" s="138">
        <v>-4</v>
      </c>
      <c r="R81" s="139"/>
      <c r="S81" s="138">
        <v>10</v>
      </c>
      <c r="T81" s="139"/>
      <c r="U81" s="138">
        <v>8</v>
      </c>
      <c r="V81" s="139"/>
    </row>
    <row r="82" spans="1:22" x14ac:dyDescent="0.2">
      <c r="A82" s="62" t="s">
        <v>731</v>
      </c>
      <c r="B82" s="62"/>
      <c r="C82" s="138">
        <v>13</v>
      </c>
      <c r="D82" s="139"/>
      <c r="E82" s="138">
        <v>15</v>
      </c>
      <c r="F82" s="139"/>
      <c r="G82" s="138">
        <v>-4</v>
      </c>
      <c r="H82" s="139"/>
      <c r="I82" s="138">
        <v>-4</v>
      </c>
      <c r="J82" s="139"/>
      <c r="K82" s="138">
        <v>1</v>
      </c>
      <c r="L82" s="139"/>
      <c r="M82" s="138">
        <v>6</v>
      </c>
      <c r="N82" s="139"/>
      <c r="O82" s="138">
        <v>0</v>
      </c>
      <c r="P82" s="139"/>
      <c r="Q82" s="138">
        <v>-2</v>
      </c>
      <c r="R82" s="139"/>
      <c r="S82" s="138">
        <v>5</v>
      </c>
      <c r="T82" s="139"/>
      <c r="U82" s="138">
        <v>7</v>
      </c>
      <c r="V82" s="139"/>
    </row>
    <row r="83" spans="1:22" x14ac:dyDescent="0.2">
      <c r="A83" s="62" t="s">
        <v>735</v>
      </c>
      <c r="B83" s="62"/>
      <c r="C83" s="138" t="s">
        <v>182</v>
      </c>
      <c r="D83" s="139"/>
      <c r="E83" s="138" t="s">
        <v>182</v>
      </c>
      <c r="F83" s="139"/>
      <c r="G83" s="138" t="s">
        <v>182</v>
      </c>
      <c r="H83" s="139"/>
      <c r="I83" s="138">
        <v>-3</v>
      </c>
      <c r="J83" s="139"/>
      <c r="K83" s="138">
        <v>0</v>
      </c>
      <c r="L83" s="139"/>
      <c r="M83" s="138">
        <v>9</v>
      </c>
      <c r="N83" s="139"/>
      <c r="O83" s="138">
        <v>-4</v>
      </c>
      <c r="P83" s="139"/>
      <c r="Q83" s="138">
        <v>-9</v>
      </c>
      <c r="R83" s="139"/>
      <c r="S83" s="138">
        <v>18</v>
      </c>
      <c r="T83" s="139"/>
      <c r="U83" s="138">
        <v>4</v>
      </c>
      <c r="V83" s="139"/>
    </row>
    <row r="84" spans="1:22" x14ac:dyDescent="0.2">
      <c r="A84" s="62" t="s">
        <v>737</v>
      </c>
      <c r="B84" s="62"/>
      <c r="C84" s="138">
        <v>3</v>
      </c>
      <c r="D84" s="139"/>
      <c r="E84" s="138">
        <v>1</v>
      </c>
      <c r="F84" s="139"/>
      <c r="G84" s="138">
        <v>-8</v>
      </c>
      <c r="H84" s="139"/>
      <c r="I84" s="138">
        <v>-5</v>
      </c>
      <c r="J84" s="139"/>
      <c r="K84" s="138">
        <v>1</v>
      </c>
      <c r="L84" s="139"/>
      <c r="M84" s="138">
        <v>-5</v>
      </c>
      <c r="N84" s="139"/>
      <c r="O84" s="138">
        <v>-2</v>
      </c>
      <c r="P84" s="139"/>
      <c r="Q84" s="138">
        <v>-2</v>
      </c>
      <c r="R84" s="139"/>
      <c r="S84" s="138">
        <v>14</v>
      </c>
      <c r="T84" s="139"/>
      <c r="U84" s="138">
        <v>-3</v>
      </c>
      <c r="V84" s="139"/>
    </row>
    <row r="85" spans="1:22" x14ac:dyDescent="0.2">
      <c r="A85" s="62" t="s">
        <v>751</v>
      </c>
      <c r="B85" s="62"/>
      <c r="C85" s="138">
        <v>1</v>
      </c>
      <c r="D85" s="139"/>
      <c r="E85" s="138">
        <v>17</v>
      </c>
      <c r="F85" s="139"/>
      <c r="G85" s="138">
        <v>0</v>
      </c>
      <c r="H85" s="139"/>
      <c r="I85" s="138" t="s">
        <v>182</v>
      </c>
      <c r="J85" s="139"/>
      <c r="K85" s="138" t="s">
        <v>182</v>
      </c>
      <c r="L85" s="139"/>
      <c r="M85" s="138" t="s">
        <v>182</v>
      </c>
      <c r="N85" s="139"/>
      <c r="O85" s="138" t="s">
        <v>182</v>
      </c>
      <c r="P85" s="139"/>
      <c r="Q85" s="138" t="s">
        <v>182</v>
      </c>
      <c r="R85" s="139"/>
      <c r="S85" s="138" t="s">
        <v>182</v>
      </c>
      <c r="T85" s="139"/>
      <c r="U85" s="138" t="s">
        <v>182</v>
      </c>
      <c r="V85" s="139"/>
    </row>
    <row r="86" spans="1:22" x14ac:dyDescent="0.2">
      <c r="A86" s="62" t="s">
        <v>752</v>
      </c>
      <c r="B86" s="62"/>
      <c r="C86" s="138">
        <v>1</v>
      </c>
      <c r="D86" s="139"/>
      <c r="E86" s="138">
        <v>9</v>
      </c>
      <c r="F86" s="139"/>
      <c r="G86" s="138">
        <v>-15</v>
      </c>
      <c r="H86" s="139"/>
      <c r="I86" s="138" t="s">
        <v>182</v>
      </c>
      <c r="J86" s="139"/>
      <c r="K86" s="138" t="s">
        <v>182</v>
      </c>
      <c r="L86" s="139"/>
      <c r="M86" s="138" t="s">
        <v>182</v>
      </c>
      <c r="N86" s="139"/>
      <c r="O86" s="138" t="s">
        <v>182</v>
      </c>
      <c r="P86" s="139"/>
      <c r="Q86" s="138" t="s">
        <v>182</v>
      </c>
      <c r="R86" s="139"/>
      <c r="S86" s="138" t="s">
        <v>182</v>
      </c>
      <c r="T86" s="139"/>
      <c r="U86" s="138" t="s">
        <v>182</v>
      </c>
      <c r="V86" s="139"/>
    </row>
    <row r="87" spans="1:22" x14ac:dyDescent="0.2">
      <c r="A87" s="62" t="s">
        <v>753</v>
      </c>
      <c r="B87" s="62"/>
      <c r="C87" s="138">
        <v>-1</v>
      </c>
      <c r="D87" s="139"/>
      <c r="E87" s="138">
        <v>-1</v>
      </c>
      <c r="F87" s="139"/>
      <c r="G87" s="138">
        <v>-3</v>
      </c>
      <c r="H87" s="139"/>
      <c r="I87" s="138" t="s">
        <v>182</v>
      </c>
      <c r="J87" s="139"/>
      <c r="K87" s="138" t="s">
        <v>182</v>
      </c>
      <c r="L87" s="139"/>
      <c r="M87" s="138" t="s">
        <v>182</v>
      </c>
      <c r="N87" s="139"/>
      <c r="O87" s="138" t="s">
        <v>182</v>
      </c>
      <c r="P87" s="139"/>
      <c r="Q87" s="138" t="s">
        <v>182</v>
      </c>
      <c r="R87" s="139"/>
      <c r="S87" s="138" t="s">
        <v>182</v>
      </c>
      <c r="T87" s="139"/>
      <c r="U87" s="138" t="s">
        <v>182</v>
      </c>
      <c r="V87" s="139"/>
    </row>
    <row r="88" spans="1:22" x14ac:dyDescent="0.2">
      <c r="A88" s="62" t="s">
        <v>754</v>
      </c>
      <c r="B88" s="62"/>
      <c r="C88" s="138">
        <v>1</v>
      </c>
      <c r="D88" s="139"/>
      <c r="E88" s="138">
        <v>12</v>
      </c>
      <c r="F88" s="139"/>
      <c r="G88" s="138">
        <v>-4</v>
      </c>
      <c r="H88" s="139"/>
      <c r="I88" s="138" t="s">
        <v>182</v>
      </c>
      <c r="J88" s="139"/>
      <c r="K88" s="138" t="s">
        <v>182</v>
      </c>
      <c r="L88" s="139"/>
      <c r="M88" s="138" t="s">
        <v>182</v>
      </c>
      <c r="N88" s="139"/>
      <c r="O88" s="138" t="s">
        <v>182</v>
      </c>
      <c r="P88" s="139"/>
      <c r="Q88" s="138" t="s">
        <v>182</v>
      </c>
      <c r="R88" s="139"/>
      <c r="S88" s="138" t="s">
        <v>182</v>
      </c>
      <c r="T88" s="139"/>
      <c r="U88" s="138" t="s">
        <v>182</v>
      </c>
      <c r="V88" s="139"/>
    </row>
    <row r="89" spans="1:22" x14ac:dyDescent="0.2">
      <c r="A89" s="60" t="s">
        <v>757</v>
      </c>
      <c r="B89" s="60"/>
      <c r="C89" s="132" t="s">
        <v>182</v>
      </c>
      <c r="D89" s="133"/>
      <c r="E89" s="132" t="s">
        <v>182</v>
      </c>
      <c r="F89" s="133"/>
      <c r="G89" s="132" t="s">
        <v>182</v>
      </c>
      <c r="H89" s="133"/>
      <c r="I89" s="132">
        <v>713</v>
      </c>
      <c r="J89" s="133">
        <v>1</v>
      </c>
      <c r="K89" s="132">
        <v>864</v>
      </c>
      <c r="L89" s="133">
        <v>1</v>
      </c>
      <c r="M89" s="132">
        <v>1046</v>
      </c>
      <c r="N89" s="133">
        <v>1</v>
      </c>
      <c r="O89" s="132">
        <v>906</v>
      </c>
      <c r="P89" s="133">
        <v>1</v>
      </c>
      <c r="Q89" s="132">
        <v>541</v>
      </c>
      <c r="R89" s="133">
        <v>1</v>
      </c>
      <c r="S89" s="132">
        <v>913</v>
      </c>
      <c r="T89" s="133">
        <v>1</v>
      </c>
      <c r="U89" s="132">
        <v>1626</v>
      </c>
      <c r="V89" s="133">
        <v>1</v>
      </c>
    </row>
    <row r="90" spans="1:22" x14ac:dyDescent="0.2">
      <c r="A90" s="62" t="s">
        <v>758</v>
      </c>
      <c r="B90" s="62"/>
      <c r="C90" s="134" t="s">
        <v>182</v>
      </c>
      <c r="D90" s="135"/>
      <c r="E90" s="134" t="s">
        <v>182</v>
      </c>
      <c r="F90" s="135"/>
      <c r="G90" s="134" t="s">
        <v>182</v>
      </c>
      <c r="H90" s="135"/>
      <c r="I90" s="134">
        <v>647</v>
      </c>
      <c r="J90" s="135">
        <v>0.90743338008415098</v>
      </c>
      <c r="K90" s="134">
        <v>785</v>
      </c>
      <c r="L90" s="135">
        <v>0.90856481481481499</v>
      </c>
      <c r="M90" s="134">
        <v>967</v>
      </c>
      <c r="N90" s="135">
        <v>0.92447418738049703</v>
      </c>
      <c r="O90" s="134">
        <v>823</v>
      </c>
      <c r="P90" s="135">
        <v>0.90838852097130196</v>
      </c>
      <c r="Q90" s="134">
        <v>496</v>
      </c>
      <c r="R90" s="135">
        <v>0.91682070240295699</v>
      </c>
      <c r="S90" s="134">
        <v>807</v>
      </c>
      <c r="T90" s="135">
        <v>0.88389923329682396</v>
      </c>
      <c r="U90" s="134">
        <v>1381</v>
      </c>
      <c r="V90" s="135">
        <v>0.84932349323493195</v>
      </c>
    </row>
    <row r="91" spans="1:22" x14ac:dyDescent="0.2">
      <c r="A91" s="62" t="s">
        <v>759</v>
      </c>
      <c r="B91" s="62"/>
      <c r="C91" s="134" t="s">
        <v>182</v>
      </c>
      <c r="D91" s="135"/>
      <c r="E91" s="134" t="s">
        <v>182</v>
      </c>
      <c r="F91" s="135"/>
      <c r="G91" s="134" t="s">
        <v>182</v>
      </c>
      <c r="H91" s="135"/>
      <c r="I91" s="134">
        <v>66</v>
      </c>
      <c r="J91" s="135">
        <v>9.2566619915848497E-2</v>
      </c>
      <c r="K91" s="134">
        <v>79</v>
      </c>
      <c r="L91" s="135">
        <v>9.1435185185185203E-2</v>
      </c>
      <c r="M91" s="134">
        <v>79</v>
      </c>
      <c r="N91" s="135">
        <v>7.5525812619502905E-2</v>
      </c>
      <c r="O91" s="134">
        <v>83</v>
      </c>
      <c r="P91" s="135">
        <v>9.1611479028697596E-2</v>
      </c>
      <c r="Q91" s="134">
        <v>45</v>
      </c>
      <c r="R91" s="135">
        <v>8.3179297597042498E-2</v>
      </c>
      <c r="S91" s="134">
        <v>106</v>
      </c>
      <c r="T91" s="135">
        <v>0.116100766703176</v>
      </c>
      <c r="U91" s="134">
        <v>245</v>
      </c>
      <c r="V91" s="135">
        <v>0.150676506765068</v>
      </c>
    </row>
    <row r="92" spans="1:22" x14ac:dyDescent="0.2">
      <c r="A92" s="60" t="s">
        <v>760</v>
      </c>
      <c r="B92" s="60"/>
      <c r="C92" s="136" t="s">
        <v>182</v>
      </c>
      <c r="D92" s="137"/>
      <c r="E92" s="136" t="s">
        <v>182</v>
      </c>
      <c r="F92" s="137"/>
      <c r="G92" s="136" t="s">
        <v>182</v>
      </c>
      <c r="H92" s="137"/>
      <c r="I92" s="136" t="s">
        <v>182</v>
      </c>
      <c r="J92" s="137"/>
      <c r="K92" s="136" t="s">
        <v>182</v>
      </c>
      <c r="L92" s="137"/>
      <c r="M92" s="136" t="s">
        <v>182</v>
      </c>
      <c r="N92" s="137"/>
      <c r="O92" s="136" t="s">
        <v>182</v>
      </c>
      <c r="P92" s="137"/>
      <c r="Q92" s="136" t="s">
        <v>182</v>
      </c>
      <c r="R92" s="137"/>
      <c r="S92" s="136" t="s">
        <v>182</v>
      </c>
      <c r="T92" s="137"/>
      <c r="U92" s="136" t="s">
        <v>182</v>
      </c>
      <c r="V92" s="137"/>
    </row>
    <row r="93" spans="1:22" x14ac:dyDescent="0.2">
      <c r="A93" s="62" t="s">
        <v>747</v>
      </c>
      <c r="B93" s="62"/>
      <c r="C93" s="138" t="s">
        <v>182</v>
      </c>
      <c r="D93" s="139"/>
      <c r="E93" s="138" t="s">
        <v>182</v>
      </c>
      <c r="F93" s="139"/>
      <c r="G93" s="138" t="s">
        <v>182</v>
      </c>
      <c r="H93" s="139"/>
      <c r="I93" s="138" t="s">
        <v>182</v>
      </c>
      <c r="J93" s="139"/>
      <c r="K93" s="138" t="s">
        <v>182</v>
      </c>
      <c r="L93" s="139"/>
      <c r="M93" s="138" t="s">
        <v>182</v>
      </c>
      <c r="N93" s="139"/>
      <c r="O93" s="138" t="s">
        <v>182</v>
      </c>
      <c r="P93" s="139"/>
      <c r="Q93" s="138" t="s">
        <v>182</v>
      </c>
      <c r="R93" s="139"/>
      <c r="S93" s="138">
        <v>0</v>
      </c>
      <c r="T93" s="139"/>
      <c r="U93" s="138">
        <v>0</v>
      </c>
      <c r="V93" s="139"/>
    </row>
    <row r="94" spans="1:22" x14ac:dyDescent="0.2">
      <c r="A94" s="62" t="s">
        <v>748</v>
      </c>
      <c r="B94" s="62"/>
      <c r="C94" s="138">
        <v>0</v>
      </c>
      <c r="D94" s="139"/>
      <c r="E94" s="138">
        <v>0</v>
      </c>
      <c r="F94" s="139"/>
      <c r="G94" s="138">
        <v>0</v>
      </c>
      <c r="H94" s="139"/>
      <c r="I94" s="138">
        <v>0</v>
      </c>
      <c r="J94" s="139"/>
      <c r="K94" s="138">
        <v>0</v>
      </c>
      <c r="L94" s="139"/>
      <c r="M94" s="138">
        <v>0</v>
      </c>
      <c r="N94" s="139"/>
      <c r="O94" s="138">
        <v>0</v>
      </c>
      <c r="P94" s="139"/>
      <c r="Q94" s="138">
        <v>0</v>
      </c>
      <c r="R94" s="139"/>
      <c r="S94" s="138">
        <v>0</v>
      </c>
      <c r="T94" s="139"/>
      <c r="U94" s="138">
        <v>0</v>
      </c>
      <c r="V94" s="139"/>
    </row>
    <row r="95" spans="1:22" x14ac:dyDescent="0.2">
      <c r="A95" s="62" t="s">
        <v>746</v>
      </c>
      <c r="B95" s="62"/>
      <c r="C95" s="138">
        <v>5</v>
      </c>
      <c r="D95" s="139"/>
      <c r="E95" s="138">
        <v>6</v>
      </c>
      <c r="F95" s="139"/>
      <c r="G95" s="138">
        <v>4</v>
      </c>
      <c r="H95" s="139"/>
      <c r="I95" s="138">
        <v>-1</v>
      </c>
      <c r="J95" s="139"/>
      <c r="K95" s="138">
        <v>1</v>
      </c>
      <c r="L95" s="139"/>
      <c r="M95" s="138">
        <v>2</v>
      </c>
      <c r="N95" s="139"/>
      <c r="O95" s="138">
        <v>-8</v>
      </c>
      <c r="P95" s="139"/>
      <c r="Q95" s="138">
        <v>2</v>
      </c>
      <c r="R95" s="139"/>
      <c r="S95" s="138">
        <v>9</v>
      </c>
      <c r="T95" s="139"/>
      <c r="U95" s="138">
        <v>0</v>
      </c>
      <c r="V95" s="139"/>
    </row>
    <row r="96" spans="1:22" x14ac:dyDescent="0.2">
      <c r="A96" s="62" t="s">
        <v>745</v>
      </c>
      <c r="B96" s="62"/>
      <c r="C96" s="138">
        <v>-7</v>
      </c>
      <c r="D96" s="139"/>
      <c r="E96" s="138">
        <v>6</v>
      </c>
      <c r="F96" s="139"/>
      <c r="G96" s="138">
        <v>-16</v>
      </c>
      <c r="H96" s="139"/>
      <c r="I96" s="138">
        <v>-21</v>
      </c>
      <c r="J96" s="139"/>
      <c r="K96" s="138">
        <v>2</v>
      </c>
      <c r="L96" s="139"/>
      <c r="M96" s="138">
        <v>4</v>
      </c>
      <c r="N96" s="139"/>
      <c r="O96" s="138">
        <v>-5</v>
      </c>
      <c r="P96" s="139"/>
      <c r="Q96" s="138">
        <v>-24</v>
      </c>
      <c r="R96" s="139"/>
      <c r="S96" s="138">
        <v>11</v>
      </c>
      <c r="T96" s="139"/>
      <c r="U96" s="138">
        <v>-1</v>
      </c>
      <c r="V96" s="139"/>
    </row>
    <row r="97" spans="1:22" x14ac:dyDescent="0.2">
      <c r="A97" s="62" t="s">
        <v>730</v>
      </c>
      <c r="B97" s="62"/>
      <c r="C97" s="138">
        <v>4</v>
      </c>
      <c r="D97" s="139"/>
      <c r="E97" s="138">
        <v>6</v>
      </c>
      <c r="F97" s="139"/>
      <c r="G97" s="138">
        <v>-2</v>
      </c>
      <c r="H97" s="139"/>
      <c r="I97" s="138">
        <v>-2</v>
      </c>
      <c r="J97" s="139"/>
      <c r="K97" s="138">
        <v>-4</v>
      </c>
      <c r="L97" s="139"/>
      <c r="M97" s="138">
        <v>0</v>
      </c>
      <c r="N97" s="139"/>
      <c r="O97" s="138">
        <v>0</v>
      </c>
      <c r="P97" s="139"/>
      <c r="Q97" s="138">
        <v>-6</v>
      </c>
      <c r="R97" s="139"/>
      <c r="S97" s="138">
        <v>1</v>
      </c>
      <c r="T97" s="139"/>
      <c r="U97" s="138">
        <v>-1</v>
      </c>
      <c r="V97" s="139"/>
    </row>
    <row r="98" spans="1:22" x14ac:dyDescent="0.2">
      <c r="A98" s="62" t="s">
        <v>733</v>
      </c>
      <c r="B98" s="62"/>
      <c r="C98" s="138">
        <v>2</v>
      </c>
      <c r="D98" s="139"/>
      <c r="E98" s="138">
        <v>1</v>
      </c>
      <c r="F98" s="139"/>
      <c r="G98" s="138">
        <v>3</v>
      </c>
      <c r="H98" s="139"/>
      <c r="I98" s="138">
        <v>7</v>
      </c>
      <c r="J98" s="139"/>
      <c r="K98" s="138">
        <v>-5</v>
      </c>
      <c r="L98" s="139"/>
      <c r="M98" s="138">
        <v>1</v>
      </c>
      <c r="N98" s="139"/>
      <c r="O98" s="138">
        <v>-2</v>
      </c>
      <c r="P98" s="139"/>
      <c r="Q98" s="138">
        <v>-25</v>
      </c>
      <c r="R98" s="139"/>
      <c r="S98" s="138">
        <v>-8</v>
      </c>
      <c r="T98" s="139"/>
      <c r="U98" s="138">
        <v>6</v>
      </c>
      <c r="V98" s="139"/>
    </row>
    <row r="99" spans="1:22" x14ac:dyDescent="0.2">
      <c r="A99" s="62" t="s">
        <v>736</v>
      </c>
      <c r="B99" s="62"/>
      <c r="C99" s="138">
        <v>2</v>
      </c>
      <c r="D99" s="139"/>
      <c r="E99" s="138">
        <v>7</v>
      </c>
      <c r="F99" s="139"/>
      <c r="G99" s="138">
        <v>6</v>
      </c>
      <c r="H99" s="139"/>
      <c r="I99" s="138">
        <v>1</v>
      </c>
      <c r="J99" s="139"/>
      <c r="K99" s="138">
        <v>-1</v>
      </c>
      <c r="L99" s="139"/>
      <c r="M99" s="138">
        <v>2</v>
      </c>
      <c r="N99" s="139"/>
      <c r="O99" s="138">
        <v>6</v>
      </c>
      <c r="P99" s="139"/>
      <c r="Q99" s="138">
        <v>-5</v>
      </c>
      <c r="R99" s="139"/>
      <c r="S99" s="138">
        <v>1</v>
      </c>
      <c r="T99" s="139"/>
      <c r="U99" s="138">
        <v>4</v>
      </c>
      <c r="V99" s="139"/>
    </row>
    <row r="100" spans="1:22" x14ac:dyDescent="0.2">
      <c r="A100" s="62" t="s">
        <v>732</v>
      </c>
      <c r="B100" s="62"/>
      <c r="C100" s="138" t="s">
        <v>182</v>
      </c>
      <c r="D100" s="139"/>
      <c r="E100" s="138" t="s">
        <v>182</v>
      </c>
      <c r="F100" s="139"/>
      <c r="G100" s="138" t="s">
        <v>182</v>
      </c>
      <c r="H100" s="139"/>
      <c r="I100" s="138">
        <v>-5</v>
      </c>
      <c r="J100" s="139"/>
      <c r="K100" s="138">
        <v>-5</v>
      </c>
      <c r="L100" s="139"/>
      <c r="M100" s="138">
        <v>-2</v>
      </c>
      <c r="N100" s="139"/>
      <c r="O100" s="138">
        <v>5</v>
      </c>
      <c r="P100" s="139"/>
      <c r="Q100" s="138">
        <v>-1</v>
      </c>
      <c r="R100" s="139"/>
      <c r="S100" s="138">
        <v>1</v>
      </c>
      <c r="T100" s="139"/>
      <c r="U100" s="138">
        <v>3</v>
      </c>
      <c r="V100" s="139"/>
    </row>
    <row r="101" spans="1:22" x14ac:dyDescent="0.2">
      <c r="A101" s="62" t="s">
        <v>734</v>
      </c>
      <c r="B101" s="62"/>
      <c r="C101" s="138">
        <v>4</v>
      </c>
      <c r="D101" s="139"/>
      <c r="E101" s="138">
        <v>3</v>
      </c>
      <c r="F101" s="139"/>
      <c r="G101" s="138">
        <v>-6</v>
      </c>
      <c r="H101" s="139"/>
      <c r="I101" s="138">
        <v>-6</v>
      </c>
      <c r="J101" s="139"/>
      <c r="K101" s="138">
        <v>-4</v>
      </c>
      <c r="L101" s="139"/>
      <c r="M101" s="138">
        <v>8</v>
      </c>
      <c r="N101" s="139"/>
      <c r="O101" s="138">
        <v>1</v>
      </c>
      <c r="P101" s="139"/>
      <c r="Q101" s="138">
        <v>-5</v>
      </c>
      <c r="R101" s="139"/>
      <c r="S101" s="138">
        <v>6</v>
      </c>
      <c r="T101" s="139"/>
      <c r="U101" s="138">
        <v>-2</v>
      </c>
      <c r="V101" s="139"/>
    </row>
    <row r="102" spans="1:22" x14ac:dyDescent="0.2">
      <c r="A102" s="62" t="s">
        <v>731</v>
      </c>
      <c r="B102" s="62"/>
      <c r="C102" s="138">
        <v>13</v>
      </c>
      <c r="D102" s="139"/>
      <c r="E102" s="138">
        <v>17</v>
      </c>
      <c r="F102" s="139"/>
      <c r="G102" s="138">
        <v>0</v>
      </c>
      <c r="H102" s="139"/>
      <c r="I102" s="138">
        <v>-4</v>
      </c>
      <c r="J102" s="139"/>
      <c r="K102" s="138">
        <v>-4</v>
      </c>
      <c r="L102" s="139"/>
      <c r="M102" s="138">
        <v>0</v>
      </c>
      <c r="N102" s="139"/>
      <c r="O102" s="138">
        <v>-1</v>
      </c>
      <c r="P102" s="139"/>
      <c r="Q102" s="138">
        <v>-1</v>
      </c>
      <c r="R102" s="139"/>
      <c r="S102" s="138">
        <v>-1</v>
      </c>
      <c r="T102" s="139"/>
      <c r="U102" s="138">
        <v>-3</v>
      </c>
      <c r="V102" s="139"/>
    </row>
    <row r="103" spans="1:22" x14ac:dyDescent="0.2">
      <c r="A103" s="62" t="s">
        <v>735</v>
      </c>
      <c r="B103" s="62"/>
      <c r="C103" s="138" t="s">
        <v>182</v>
      </c>
      <c r="D103" s="139"/>
      <c r="E103" s="138" t="s">
        <v>182</v>
      </c>
      <c r="F103" s="139"/>
      <c r="G103" s="138" t="s">
        <v>182</v>
      </c>
      <c r="H103" s="139"/>
      <c r="I103" s="138">
        <v>-9</v>
      </c>
      <c r="J103" s="139"/>
      <c r="K103" s="138">
        <v>-1</v>
      </c>
      <c r="L103" s="139"/>
      <c r="M103" s="138">
        <v>4</v>
      </c>
      <c r="N103" s="139"/>
      <c r="O103" s="138">
        <v>-7</v>
      </c>
      <c r="P103" s="139"/>
      <c r="Q103" s="138">
        <v>-4</v>
      </c>
      <c r="R103" s="139"/>
      <c r="S103" s="138">
        <v>16</v>
      </c>
      <c r="T103" s="139"/>
      <c r="U103" s="138">
        <v>-4</v>
      </c>
      <c r="V103" s="139"/>
    </row>
    <row r="104" spans="1:22" x14ac:dyDescent="0.2">
      <c r="A104" s="62" t="s">
        <v>737</v>
      </c>
      <c r="B104" s="62"/>
      <c r="C104" s="138">
        <v>2</v>
      </c>
      <c r="D104" s="139"/>
      <c r="E104" s="138">
        <v>1</v>
      </c>
      <c r="F104" s="139"/>
      <c r="G104" s="138">
        <v>-9</v>
      </c>
      <c r="H104" s="139"/>
      <c r="I104" s="138">
        <v>0</v>
      </c>
      <c r="J104" s="139"/>
      <c r="K104" s="138">
        <v>-3</v>
      </c>
      <c r="L104" s="139"/>
      <c r="M104" s="138">
        <v>-15</v>
      </c>
      <c r="N104" s="139"/>
      <c r="O104" s="138">
        <v>-2</v>
      </c>
      <c r="P104" s="139"/>
      <c r="Q104" s="138">
        <v>-4</v>
      </c>
      <c r="R104" s="139"/>
      <c r="S104" s="138">
        <v>1</v>
      </c>
      <c r="T104" s="139"/>
      <c r="U104" s="138">
        <v>-11</v>
      </c>
      <c r="V104" s="139"/>
    </row>
    <row r="105" spans="1:22" x14ac:dyDescent="0.2">
      <c r="A105" s="62" t="s">
        <v>751</v>
      </c>
      <c r="B105" s="62"/>
      <c r="C105" s="138">
        <v>9</v>
      </c>
      <c r="D105" s="139"/>
      <c r="E105" s="138">
        <v>5</v>
      </c>
      <c r="F105" s="139"/>
      <c r="G105" s="138">
        <v>-4</v>
      </c>
      <c r="H105" s="139"/>
      <c r="I105" s="138" t="s">
        <v>182</v>
      </c>
      <c r="J105" s="139"/>
      <c r="K105" s="138" t="s">
        <v>182</v>
      </c>
      <c r="L105" s="139"/>
      <c r="M105" s="138" t="s">
        <v>182</v>
      </c>
      <c r="N105" s="139"/>
      <c r="O105" s="138" t="s">
        <v>182</v>
      </c>
      <c r="P105" s="139"/>
      <c r="Q105" s="138" t="s">
        <v>182</v>
      </c>
      <c r="R105" s="139"/>
      <c r="S105" s="138" t="s">
        <v>182</v>
      </c>
      <c r="T105" s="139"/>
      <c r="U105" s="138" t="s">
        <v>182</v>
      </c>
      <c r="V105" s="139"/>
    </row>
    <row r="106" spans="1:22" x14ac:dyDescent="0.2">
      <c r="A106" s="62" t="s">
        <v>752</v>
      </c>
      <c r="B106" s="62"/>
      <c r="C106" s="138">
        <v>0</v>
      </c>
      <c r="D106" s="139"/>
      <c r="E106" s="138">
        <v>5</v>
      </c>
      <c r="F106" s="139"/>
      <c r="G106" s="138">
        <v>-16</v>
      </c>
      <c r="H106" s="139"/>
      <c r="I106" s="138" t="s">
        <v>182</v>
      </c>
      <c r="J106" s="139"/>
      <c r="K106" s="138" t="s">
        <v>182</v>
      </c>
      <c r="L106" s="139"/>
      <c r="M106" s="138" t="s">
        <v>182</v>
      </c>
      <c r="N106" s="139"/>
      <c r="O106" s="138" t="s">
        <v>182</v>
      </c>
      <c r="P106" s="139"/>
      <c r="Q106" s="138" t="s">
        <v>182</v>
      </c>
      <c r="R106" s="139"/>
      <c r="S106" s="138" t="s">
        <v>182</v>
      </c>
      <c r="T106" s="139"/>
      <c r="U106" s="138" t="s">
        <v>182</v>
      </c>
      <c r="V106" s="139"/>
    </row>
    <row r="107" spans="1:22" x14ac:dyDescent="0.2">
      <c r="A107" s="62" t="s">
        <v>753</v>
      </c>
      <c r="B107" s="62"/>
      <c r="C107" s="138">
        <v>-4</v>
      </c>
      <c r="D107" s="139"/>
      <c r="E107" s="138">
        <v>-2</v>
      </c>
      <c r="F107" s="139"/>
      <c r="G107" s="138">
        <v>-2</v>
      </c>
      <c r="H107" s="139"/>
      <c r="I107" s="138" t="s">
        <v>182</v>
      </c>
      <c r="J107" s="139"/>
      <c r="K107" s="138" t="s">
        <v>182</v>
      </c>
      <c r="L107" s="139"/>
      <c r="M107" s="138" t="s">
        <v>182</v>
      </c>
      <c r="N107" s="139"/>
      <c r="O107" s="138" t="s">
        <v>182</v>
      </c>
      <c r="P107" s="139"/>
      <c r="Q107" s="138" t="s">
        <v>182</v>
      </c>
      <c r="R107" s="139"/>
      <c r="S107" s="138" t="s">
        <v>182</v>
      </c>
      <c r="T107" s="139"/>
      <c r="U107" s="138" t="s">
        <v>182</v>
      </c>
      <c r="V107" s="139"/>
    </row>
    <row r="108" spans="1:22" x14ac:dyDescent="0.2">
      <c r="A108" s="62" t="s">
        <v>754</v>
      </c>
      <c r="B108" s="62"/>
      <c r="C108" s="138">
        <v>-1</v>
      </c>
      <c r="D108" s="139"/>
      <c r="E108" s="138">
        <v>7</v>
      </c>
      <c r="F108" s="139"/>
      <c r="G108" s="138">
        <v>-2</v>
      </c>
      <c r="H108" s="139"/>
      <c r="I108" s="138" t="s">
        <v>182</v>
      </c>
      <c r="J108" s="139"/>
      <c r="K108" s="138" t="s">
        <v>182</v>
      </c>
      <c r="L108" s="139"/>
      <c r="M108" s="138" t="s">
        <v>182</v>
      </c>
      <c r="N108" s="139"/>
      <c r="O108" s="138" t="s">
        <v>182</v>
      </c>
      <c r="P108" s="139"/>
      <c r="Q108" s="138" t="s">
        <v>182</v>
      </c>
      <c r="R108" s="139"/>
      <c r="S108" s="138" t="s">
        <v>182</v>
      </c>
      <c r="T108" s="139"/>
      <c r="U108" s="138" t="s">
        <v>182</v>
      </c>
      <c r="V108" s="139"/>
    </row>
    <row r="109" spans="1:22" x14ac:dyDescent="0.2">
      <c r="A109" s="60" t="s">
        <v>761</v>
      </c>
      <c r="B109" s="60"/>
      <c r="C109" s="136">
        <v>134200000</v>
      </c>
      <c r="D109" s="137">
        <v>1</v>
      </c>
      <c r="E109" s="136">
        <v>142900000</v>
      </c>
      <c r="F109" s="137">
        <v>1</v>
      </c>
      <c r="G109" s="136">
        <v>121300000</v>
      </c>
      <c r="H109" s="137">
        <v>1</v>
      </c>
      <c r="I109" s="136">
        <v>95600000</v>
      </c>
      <c r="J109" s="137">
        <v>1</v>
      </c>
      <c r="K109" s="136">
        <v>97300000</v>
      </c>
      <c r="L109" s="137">
        <v>1</v>
      </c>
      <c r="M109" s="136">
        <v>100400000</v>
      </c>
      <c r="N109" s="137">
        <v>1</v>
      </c>
      <c r="O109" s="136">
        <v>94800000</v>
      </c>
      <c r="P109" s="137">
        <v>1</v>
      </c>
      <c r="Q109" s="136">
        <v>71500000</v>
      </c>
      <c r="R109" s="137">
        <v>1</v>
      </c>
      <c r="S109" s="136">
        <v>79000000</v>
      </c>
      <c r="T109" s="137">
        <v>1</v>
      </c>
      <c r="U109" s="136">
        <v>78100000</v>
      </c>
      <c r="V109" s="137">
        <v>1</v>
      </c>
    </row>
    <row r="110" spans="1:22" x14ac:dyDescent="0.2">
      <c r="A110" s="62" t="s">
        <v>745</v>
      </c>
      <c r="B110" s="62"/>
      <c r="C110" s="138">
        <v>134200000</v>
      </c>
      <c r="D110" s="139">
        <v>1</v>
      </c>
      <c r="E110" s="138">
        <v>142900000</v>
      </c>
      <c r="F110" s="139">
        <v>1</v>
      </c>
      <c r="G110" s="138">
        <v>121300000</v>
      </c>
      <c r="H110" s="139">
        <v>1</v>
      </c>
      <c r="I110" s="138">
        <v>95600000</v>
      </c>
      <c r="J110" s="139">
        <v>1</v>
      </c>
      <c r="K110" s="138">
        <v>97300000</v>
      </c>
      <c r="L110" s="139">
        <v>1</v>
      </c>
      <c r="M110" s="138">
        <v>100400000</v>
      </c>
      <c r="N110" s="139">
        <v>1</v>
      </c>
      <c r="O110" s="138">
        <v>94800000</v>
      </c>
      <c r="P110" s="139">
        <v>1</v>
      </c>
      <c r="Q110" s="138">
        <v>71500000</v>
      </c>
      <c r="R110" s="139">
        <v>1</v>
      </c>
      <c r="S110" s="138">
        <v>79000000</v>
      </c>
      <c r="T110" s="139">
        <v>1</v>
      </c>
      <c r="U110" s="138">
        <v>78100000</v>
      </c>
      <c r="V110" s="139">
        <v>1</v>
      </c>
    </row>
    <row r="111" spans="1:22" x14ac:dyDescent="0.2">
      <c r="A111" s="62" t="s">
        <v>762</v>
      </c>
      <c r="B111" s="62"/>
      <c r="C111" s="138">
        <v>90200000</v>
      </c>
      <c r="D111" s="139">
        <v>0.67213114754098402</v>
      </c>
      <c r="E111" s="138">
        <v>103900000</v>
      </c>
      <c r="F111" s="139">
        <v>0.72708187543736902</v>
      </c>
      <c r="G111" s="138">
        <v>90500000</v>
      </c>
      <c r="H111" s="139">
        <v>0.74608408903544898</v>
      </c>
      <c r="I111" s="138">
        <v>69900000</v>
      </c>
      <c r="J111" s="139">
        <v>0.73117154811715501</v>
      </c>
      <c r="K111" s="138">
        <v>61100000</v>
      </c>
      <c r="L111" s="139">
        <v>0.62795477903391606</v>
      </c>
      <c r="M111" s="138">
        <v>57300000</v>
      </c>
      <c r="N111" s="139">
        <v>0.57071713147410397</v>
      </c>
      <c r="O111" s="138">
        <v>56600000</v>
      </c>
      <c r="P111" s="139">
        <v>0.59704641350210996</v>
      </c>
      <c r="Q111" s="138">
        <v>42000000</v>
      </c>
      <c r="R111" s="139">
        <v>0.58741258741258695</v>
      </c>
      <c r="S111" s="138">
        <v>46600000</v>
      </c>
      <c r="T111" s="139">
        <v>0.58987341772151902</v>
      </c>
      <c r="U111" s="138">
        <v>45700000</v>
      </c>
      <c r="V111" s="139">
        <v>0.58514724711907795</v>
      </c>
    </row>
    <row r="112" spans="1:22" x14ac:dyDescent="0.2">
      <c r="A112" s="62" t="s">
        <v>763</v>
      </c>
      <c r="B112" s="62"/>
      <c r="C112" s="138">
        <v>24100000</v>
      </c>
      <c r="D112" s="139">
        <v>0.179582712369598</v>
      </c>
      <c r="E112" s="138">
        <v>26100000</v>
      </c>
      <c r="F112" s="139">
        <v>0.182645206438069</v>
      </c>
      <c r="G112" s="138">
        <v>24300000</v>
      </c>
      <c r="H112" s="139">
        <v>0.20032976092333099</v>
      </c>
      <c r="I112" s="138" t="s">
        <v>182</v>
      </c>
      <c r="J112" s="139"/>
      <c r="K112" s="138" t="s">
        <v>182</v>
      </c>
      <c r="L112" s="139"/>
      <c r="M112" s="138" t="s">
        <v>182</v>
      </c>
      <c r="N112" s="139"/>
      <c r="O112" s="138" t="s">
        <v>182</v>
      </c>
      <c r="P112" s="139"/>
      <c r="Q112" s="138" t="s">
        <v>182</v>
      </c>
      <c r="R112" s="139"/>
      <c r="S112" s="138" t="s">
        <v>182</v>
      </c>
      <c r="T112" s="139"/>
      <c r="U112" s="138" t="s">
        <v>182</v>
      </c>
      <c r="V112" s="139"/>
    </row>
    <row r="113" spans="1:22" x14ac:dyDescent="0.2">
      <c r="A113" s="62" t="s">
        <v>764</v>
      </c>
      <c r="B113" s="62"/>
      <c r="C113" s="138">
        <v>66100000</v>
      </c>
      <c r="D113" s="139">
        <v>0.49254843517138602</v>
      </c>
      <c r="E113" s="138">
        <v>77800000</v>
      </c>
      <c r="F113" s="139">
        <v>0.54443666899929999</v>
      </c>
      <c r="G113" s="138">
        <v>66200000</v>
      </c>
      <c r="H113" s="139">
        <v>0.54575432811211899</v>
      </c>
      <c r="I113" s="138" t="s">
        <v>182</v>
      </c>
      <c r="J113" s="139"/>
      <c r="K113" s="138" t="s">
        <v>182</v>
      </c>
      <c r="L113" s="139"/>
      <c r="M113" s="138" t="s">
        <v>182</v>
      </c>
      <c r="N113" s="139"/>
      <c r="O113" s="138" t="s">
        <v>182</v>
      </c>
      <c r="P113" s="139"/>
      <c r="Q113" s="138" t="s">
        <v>182</v>
      </c>
      <c r="R113" s="139"/>
      <c r="S113" s="138" t="s">
        <v>182</v>
      </c>
      <c r="T113" s="139"/>
      <c r="U113" s="138" t="s">
        <v>182</v>
      </c>
      <c r="V113" s="139"/>
    </row>
    <row r="114" spans="1:22" x14ac:dyDescent="0.2">
      <c r="A114" s="62" t="s">
        <v>765</v>
      </c>
      <c r="B114" s="62"/>
      <c r="C114" s="138">
        <v>44000000</v>
      </c>
      <c r="D114" s="139">
        <v>0.32786885245901598</v>
      </c>
      <c r="E114" s="138">
        <v>39000000</v>
      </c>
      <c r="F114" s="139">
        <v>0.27291812456263098</v>
      </c>
      <c r="G114" s="138">
        <v>30800000</v>
      </c>
      <c r="H114" s="139">
        <v>0.25391591096455102</v>
      </c>
      <c r="I114" s="138">
        <v>25700000</v>
      </c>
      <c r="J114" s="139">
        <v>0.26882845188284499</v>
      </c>
      <c r="K114" s="138">
        <v>36200000</v>
      </c>
      <c r="L114" s="139">
        <v>0.372045220966084</v>
      </c>
      <c r="M114" s="138">
        <v>43100000</v>
      </c>
      <c r="N114" s="139">
        <v>0.42928286852589598</v>
      </c>
      <c r="O114" s="138">
        <v>38200000</v>
      </c>
      <c r="P114" s="139">
        <v>0.40295358649788998</v>
      </c>
      <c r="Q114" s="138">
        <v>29500000</v>
      </c>
      <c r="R114" s="139">
        <v>0.41258741258741299</v>
      </c>
      <c r="S114" s="138">
        <v>32400000</v>
      </c>
      <c r="T114" s="139">
        <v>0.41012658227848098</v>
      </c>
      <c r="U114" s="138">
        <v>32400000</v>
      </c>
      <c r="V114" s="139">
        <v>0.41485275288092199</v>
      </c>
    </row>
    <row r="115" spans="1:22" x14ac:dyDescent="0.2">
      <c r="A115" s="62" t="s">
        <v>766</v>
      </c>
      <c r="B115" s="62"/>
      <c r="C115" s="138">
        <v>19100000</v>
      </c>
      <c r="D115" s="139">
        <v>0.142324888226528</v>
      </c>
      <c r="E115" s="138">
        <v>15600000</v>
      </c>
      <c r="F115" s="139">
        <v>0.10916724982505201</v>
      </c>
      <c r="G115" s="138">
        <v>11900000</v>
      </c>
      <c r="H115" s="139">
        <v>9.8103874690849094E-2</v>
      </c>
      <c r="I115" s="138" t="s">
        <v>182</v>
      </c>
      <c r="J115" s="139"/>
      <c r="K115" s="138" t="s">
        <v>182</v>
      </c>
      <c r="L115" s="139"/>
      <c r="M115" s="138" t="s">
        <v>182</v>
      </c>
      <c r="N115" s="139"/>
      <c r="O115" s="138" t="s">
        <v>182</v>
      </c>
      <c r="P115" s="139"/>
      <c r="Q115" s="138" t="s">
        <v>182</v>
      </c>
      <c r="R115" s="139"/>
      <c r="S115" s="138" t="s">
        <v>182</v>
      </c>
      <c r="T115" s="139"/>
      <c r="U115" s="138" t="s">
        <v>182</v>
      </c>
      <c r="V115" s="139"/>
    </row>
    <row r="116" spans="1:22" x14ac:dyDescent="0.2">
      <c r="A116" s="62" t="s">
        <v>767</v>
      </c>
      <c r="B116" s="62"/>
      <c r="C116" s="138">
        <v>24900000</v>
      </c>
      <c r="D116" s="139">
        <v>0.18554396423248901</v>
      </c>
      <c r="E116" s="138">
        <v>23400000</v>
      </c>
      <c r="F116" s="139">
        <v>0.16375087473757899</v>
      </c>
      <c r="G116" s="138">
        <v>18900000</v>
      </c>
      <c r="H116" s="139">
        <v>0.15581203627370199</v>
      </c>
      <c r="I116" s="138" t="s">
        <v>182</v>
      </c>
      <c r="J116" s="139"/>
      <c r="K116" s="138" t="s">
        <v>182</v>
      </c>
      <c r="L116" s="139"/>
      <c r="M116" s="138" t="s">
        <v>182</v>
      </c>
      <c r="N116" s="139"/>
      <c r="O116" s="138" t="s">
        <v>182</v>
      </c>
      <c r="P116" s="139"/>
      <c r="Q116" s="138" t="s">
        <v>182</v>
      </c>
      <c r="R116" s="139"/>
      <c r="S116" s="138" t="s">
        <v>182</v>
      </c>
      <c r="T116" s="139"/>
      <c r="U116" s="138" t="s">
        <v>182</v>
      </c>
      <c r="V116" s="139"/>
    </row>
    <row r="117" spans="1:22" x14ac:dyDescent="0.2">
      <c r="A117" s="60" t="s">
        <v>768</v>
      </c>
      <c r="B117" s="60"/>
      <c r="C117" s="132">
        <v>6539</v>
      </c>
      <c r="D117" s="133">
        <v>1</v>
      </c>
      <c r="E117" s="132">
        <v>6922</v>
      </c>
      <c r="F117" s="133">
        <v>1</v>
      </c>
      <c r="G117" s="132">
        <v>6761</v>
      </c>
      <c r="H117" s="133">
        <v>1</v>
      </c>
      <c r="I117" s="132">
        <v>6451</v>
      </c>
      <c r="J117" s="133">
        <v>1</v>
      </c>
      <c r="K117" s="132">
        <v>6400</v>
      </c>
      <c r="L117" s="133">
        <v>1</v>
      </c>
      <c r="M117" s="132">
        <v>6482</v>
      </c>
      <c r="N117" s="133">
        <v>1</v>
      </c>
      <c r="O117" s="132">
        <v>6220</v>
      </c>
      <c r="P117" s="133">
        <v>1</v>
      </c>
      <c r="Q117" s="132">
        <v>5892</v>
      </c>
      <c r="R117" s="133">
        <v>1</v>
      </c>
      <c r="S117" s="132">
        <v>6253</v>
      </c>
      <c r="T117" s="133">
        <v>1</v>
      </c>
      <c r="U117" s="132">
        <v>6218</v>
      </c>
      <c r="V117" s="133">
        <v>1</v>
      </c>
    </row>
    <row r="118" spans="1:22" x14ac:dyDescent="0.2">
      <c r="A118" s="62" t="s">
        <v>746</v>
      </c>
      <c r="B118" s="62"/>
      <c r="C118" s="134">
        <v>2582</v>
      </c>
      <c r="D118" s="135">
        <v>0.39486159963297102</v>
      </c>
      <c r="E118" s="134">
        <v>2728</v>
      </c>
      <c r="F118" s="135">
        <v>0.39410574978329999</v>
      </c>
      <c r="G118" s="134">
        <v>2838</v>
      </c>
      <c r="H118" s="135">
        <v>0.41976039047478197</v>
      </c>
      <c r="I118" s="134">
        <v>2811</v>
      </c>
      <c r="J118" s="135">
        <v>0.43574639590761099</v>
      </c>
      <c r="K118" s="134">
        <v>2843</v>
      </c>
      <c r="L118" s="135">
        <v>0.44421875</v>
      </c>
      <c r="M118" s="134">
        <v>2895</v>
      </c>
      <c r="N118" s="135">
        <v>0.44662141314409098</v>
      </c>
      <c r="O118" s="134">
        <v>2670</v>
      </c>
      <c r="P118" s="135">
        <v>0.42926045016077202</v>
      </c>
      <c r="Q118" s="134">
        <v>2720</v>
      </c>
      <c r="R118" s="135">
        <v>0.46164290563475902</v>
      </c>
      <c r="S118" s="134">
        <v>2976</v>
      </c>
      <c r="T118" s="135">
        <v>0.47593155285463001</v>
      </c>
      <c r="U118" s="134">
        <v>2963</v>
      </c>
      <c r="V118" s="135">
        <v>0.47651978128015399</v>
      </c>
    </row>
    <row r="119" spans="1:22" x14ac:dyDescent="0.2">
      <c r="A119" s="62" t="s">
        <v>730</v>
      </c>
      <c r="B119" s="62"/>
      <c r="C119" s="134">
        <v>2762</v>
      </c>
      <c r="D119" s="135">
        <v>0.422388744456339</v>
      </c>
      <c r="E119" s="134">
        <v>2932</v>
      </c>
      <c r="F119" s="135">
        <v>0.423577000866801</v>
      </c>
      <c r="G119" s="134">
        <v>2860</v>
      </c>
      <c r="H119" s="135">
        <v>0.42301434699009</v>
      </c>
      <c r="I119" s="134">
        <v>2802</v>
      </c>
      <c r="J119" s="135">
        <v>0.43435126337002</v>
      </c>
      <c r="K119" s="134">
        <v>2702</v>
      </c>
      <c r="L119" s="135">
        <v>0.42218749999999999</v>
      </c>
      <c r="M119" s="134">
        <v>2700</v>
      </c>
      <c r="N119" s="135">
        <v>0.41653810552298698</v>
      </c>
      <c r="O119" s="134">
        <v>2707</v>
      </c>
      <c r="P119" s="135">
        <v>0.43520900321543399</v>
      </c>
      <c r="Q119" s="134">
        <v>2535</v>
      </c>
      <c r="R119" s="135">
        <v>0.43024439918533602</v>
      </c>
      <c r="S119" s="134">
        <v>2571</v>
      </c>
      <c r="T119" s="135">
        <v>0.41116264193187302</v>
      </c>
      <c r="U119" s="134">
        <v>2558</v>
      </c>
      <c r="V119" s="135">
        <v>0.411386297844966</v>
      </c>
    </row>
    <row r="120" spans="1:22" x14ac:dyDescent="0.2">
      <c r="A120" s="62" t="s">
        <v>731</v>
      </c>
      <c r="B120" s="62"/>
      <c r="C120" s="134">
        <v>532</v>
      </c>
      <c r="D120" s="135">
        <v>8.1358005811286105E-2</v>
      </c>
      <c r="E120" s="134">
        <v>620</v>
      </c>
      <c r="F120" s="135">
        <v>8.9569488587113597E-2</v>
      </c>
      <c r="G120" s="134">
        <v>726</v>
      </c>
      <c r="H120" s="135">
        <v>0.10738056500517699</v>
      </c>
      <c r="I120" s="134">
        <v>700</v>
      </c>
      <c r="J120" s="135">
        <v>0.108510308479306</v>
      </c>
      <c r="K120" s="134">
        <v>672</v>
      </c>
      <c r="L120" s="135">
        <v>0.105</v>
      </c>
      <c r="M120" s="134">
        <v>675</v>
      </c>
      <c r="N120" s="135">
        <v>0.10413452638074699</v>
      </c>
      <c r="O120" s="134">
        <v>668</v>
      </c>
      <c r="P120" s="135">
        <v>0.107395498392283</v>
      </c>
      <c r="Q120" s="134">
        <v>664</v>
      </c>
      <c r="R120" s="135">
        <v>0.11269517990495601</v>
      </c>
      <c r="S120" s="134">
        <v>659</v>
      </c>
      <c r="T120" s="135">
        <v>0.10538941308172101</v>
      </c>
      <c r="U120" s="134">
        <v>641</v>
      </c>
      <c r="V120" s="135">
        <v>0.103087809585076</v>
      </c>
    </row>
    <row r="121" spans="1:22" x14ac:dyDescent="0.2">
      <c r="A121" s="62" t="s">
        <v>732</v>
      </c>
      <c r="B121" s="62"/>
      <c r="C121" s="134" t="s">
        <v>182</v>
      </c>
      <c r="D121" s="135"/>
      <c r="E121" s="134">
        <v>513</v>
      </c>
      <c r="F121" s="135">
        <v>7.4111528459982701E-2</v>
      </c>
      <c r="G121" s="134">
        <v>503</v>
      </c>
      <c r="H121" s="135">
        <v>7.4397278509096304E-2</v>
      </c>
      <c r="I121" s="134">
        <v>477</v>
      </c>
      <c r="J121" s="135">
        <v>7.3942024492326799E-2</v>
      </c>
      <c r="K121" s="134">
        <v>454</v>
      </c>
      <c r="L121" s="135">
        <v>7.0937500000000001E-2</v>
      </c>
      <c r="M121" s="134">
        <v>447</v>
      </c>
      <c r="N121" s="135">
        <v>6.8960197469916704E-2</v>
      </c>
      <c r="O121" s="134">
        <v>469</v>
      </c>
      <c r="P121" s="135">
        <v>7.5401929260450196E-2</v>
      </c>
      <c r="Q121" s="134">
        <v>463</v>
      </c>
      <c r="R121" s="135">
        <v>7.8581126951799002E-2</v>
      </c>
      <c r="S121" s="134">
        <v>467</v>
      </c>
      <c r="T121" s="135">
        <v>7.4684151607228494E-2</v>
      </c>
      <c r="U121" s="134">
        <v>481</v>
      </c>
      <c r="V121" s="135">
        <v>7.7356063042779005E-2</v>
      </c>
    </row>
    <row r="122" spans="1:22" x14ac:dyDescent="0.2">
      <c r="A122" s="62" t="s">
        <v>733</v>
      </c>
      <c r="B122" s="62"/>
      <c r="C122" s="134">
        <v>432</v>
      </c>
      <c r="D122" s="135">
        <v>6.6065147576082006E-2</v>
      </c>
      <c r="E122" s="134">
        <v>435</v>
      </c>
      <c r="F122" s="135">
        <v>6.2843108928055502E-2</v>
      </c>
      <c r="G122" s="134">
        <v>450</v>
      </c>
      <c r="H122" s="135">
        <v>6.6558201449489707E-2</v>
      </c>
      <c r="I122" s="134">
        <v>482</v>
      </c>
      <c r="J122" s="135">
        <v>7.4717098124321799E-2</v>
      </c>
      <c r="K122" s="134">
        <v>457</v>
      </c>
      <c r="L122" s="135">
        <v>7.1406250000000004E-2</v>
      </c>
      <c r="M122" s="134">
        <v>463</v>
      </c>
      <c r="N122" s="135">
        <v>7.1428571428571397E-2</v>
      </c>
      <c r="O122" s="134">
        <v>456</v>
      </c>
      <c r="P122" s="135">
        <v>7.3311897106109303E-2</v>
      </c>
      <c r="Q122" s="134">
        <v>344</v>
      </c>
      <c r="R122" s="135">
        <v>5.8384249830278401E-2</v>
      </c>
      <c r="S122" s="134">
        <v>318</v>
      </c>
      <c r="T122" s="135">
        <v>5.0855589317127803E-2</v>
      </c>
      <c r="U122" s="134">
        <v>338</v>
      </c>
      <c r="V122" s="135">
        <v>5.4358314570601501E-2</v>
      </c>
    </row>
    <row r="123" spans="1:22" x14ac:dyDescent="0.2">
      <c r="A123" s="62" t="s">
        <v>736</v>
      </c>
      <c r="B123" s="62"/>
      <c r="C123" s="134">
        <v>275</v>
      </c>
      <c r="D123" s="135">
        <v>4.2055360146811403E-2</v>
      </c>
      <c r="E123" s="134">
        <v>451</v>
      </c>
      <c r="F123" s="135">
        <v>6.5154579601271301E-2</v>
      </c>
      <c r="G123" s="134">
        <v>306</v>
      </c>
      <c r="H123" s="135">
        <v>4.5259576985652999E-2</v>
      </c>
      <c r="I123" s="134">
        <v>310</v>
      </c>
      <c r="J123" s="135">
        <v>4.8054565183692499E-2</v>
      </c>
      <c r="K123" s="134">
        <v>308</v>
      </c>
      <c r="L123" s="135">
        <v>4.8125000000000001E-2</v>
      </c>
      <c r="M123" s="134">
        <v>315</v>
      </c>
      <c r="N123" s="135">
        <v>4.8596112311015099E-2</v>
      </c>
      <c r="O123" s="134">
        <v>335</v>
      </c>
      <c r="P123" s="135">
        <v>5.3858520900321498E-2</v>
      </c>
      <c r="Q123" s="134">
        <v>321</v>
      </c>
      <c r="R123" s="135">
        <v>5.4480651731160901E-2</v>
      </c>
      <c r="S123" s="134">
        <v>325</v>
      </c>
      <c r="T123" s="135">
        <v>5.1975051975051999E-2</v>
      </c>
      <c r="U123" s="134">
        <v>337</v>
      </c>
      <c r="V123" s="135">
        <v>5.4197491154712098E-2</v>
      </c>
    </row>
    <row r="124" spans="1:22" x14ac:dyDescent="0.2">
      <c r="A124" s="62" t="s">
        <v>734</v>
      </c>
      <c r="B124" s="62"/>
      <c r="C124" s="134">
        <v>298</v>
      </c>
      <c r="D124" s="135">
        <v>4.55727175409084E-2</v>
      </c>
      <c r="E124" s="134">
        <v>307</v>
      </c>
      <c r="F124" s="135">
        <v>4.4351343542328801E-2</v>
      </c>
      <c r="G124" s="134">
        <v>290</v>
      </c>
      <c r="H124" s="135">
        <v>4.2893063156337799E-2</v>
      </c>
      <c r="I124" s="134">
        <v>274</v>
      </c>
      <c r="J124" s="135">
        <v>4.2474035033328202E-2</v>
      </c>
      <c r="K124" s="134">
        <v>264</v>
      </c>
      <c r="L124" s="135">
        <v>4.1250000000000002E-2</v>
      </c>
      <c r="M124" s="134">
        <v>285</v>
      </c>
      <c r="N124" s="135">
        <v>4.3967911138537499E-2</v>
      </c>
      <c r="O124" s="134">
        <v>288</v>
      </c>
      <c r="P124" s="135">
        <v>4.6302250803858497E-2</v>
      </c>
      <c r="Q124" s="134">
        <v>278</v>
      </c>
      <c r="R124" s="135">
        <v>4.7182620502376101E-2</v>
      </c>
      <c r="S124" s="134">
        <v>296</v>
      </c>
      <c r="T124" s="135">
        <v>4.7337278106508902E-2</v>
      </c>
      <c r="U124" s="134">
        <v>291</v>
      </c>
      <c r="V124" s="135">
        <v>4.6799614023801901E-2</v>
      </c>
    </row>
    <row r="125" spans="1:22" x14ac:dyDescent="0.2">
      <c r="A125" s="62" t="s">
        <v>735</v>
      </c>
      <c r="B125" s="62"/>
      <c r="C125" s="134" t="s">
        <v>182</v>
      </c>
      <c r="D125" s="135"/>
      <c r="E125" s="134">
        <v>276</v>
      </c>
      <c r="F125" s="135">
        <v>3.9872869112973101E-2</v>
      </c>
      <c r="G125" s="134">
        <v>284</v>
      </c>
      <c r="H125" s="135">
        <v>4.2005620470344597E-2</v>
      </c>
      <c r="I125" s="134">
        <v>259</v>
      </c>
      <c r="J125" s="135">
        <v>4.0148814137343003E-2</v>
      </c>
      <c r="K125" s="134">
        <v>256</v>
      </c>
      <c r="L125" s="135">
        <v>0.04</v>
      </c>
      <c r="M125" s="134">
        <v>267</v>
      </c>
      <c r="N125" s="135">
        <v>4.1190990435050902E-2</v>
      </c>
      <c r="O125" s="134">
        <v>248</v>
      </c>
      <c r="P125" s="135">
        <v>3.9871382636655898E-2</v>
      </c>
      <c r="Q125" s="134">
        <v>239</v>
      </c>
      <c r="R125" s="135">
        <v>4.0563475899524797E-2</v>
      </c>
      <c r="S125" s="134">
        <v>277</v>
      </c>
      <c r="T125" s="135">
        <v>4.4298736606428898E-2</v>
      </c>
      <c r="U125" s="134">
        <v>267</v>
      </c>
      <c r="V125" s="135">
        <v>4.2939852042457399E-2</v>
      </c>
    </row>
    <row r="126" spans="1:22" x14ac:dyDescent="0.2">
      <c r="A126" s="62" t="s">
        <v>737</v>
      </c>
      <c r="B126" s="62"/>
      <c r="C126" s="134">
        <v>327</v>
      </c>
      <c r="D126" s="135">
        <v>5.0007646429117598E-2</v>
      </c>
      <c r="E126" s="134">
        <v>330</v>
      </c>
      <c r="F126" s="135">
        <v>4.7674082635076602E-2</v>
      </c>
      <c r="G126" s="134">
        <v>301</v>
      </c>
      <c r="H126" s="135">
        <v>4.4520041413991997E-2</v>
      </c>
      <c r="I126" s="134">
        <v>300</v>
      </c>
      <c r="J126" s="135">
        <v>4.6504417919702397E-2</v>
      </c>
      <c r="K126" s="134">
        <v>291</v>
      </c>
      <c r="L126" s="135">
        <v>4.5468750000000002E-2</v>
      </c>
      <c r="M126" s="134">
        <v>248</v>
      </c>
      <c r="N126" s="135">
        <v>3.8259796359148397E-2</v>
      </c>
      <c r="O126" s="134">
        <v>243</v>
      </c>
      <c r="P126" s="135">
        <v>3.9067524115755599E-2</v>
      </c>
      <c r="Q126" s="134">
        <v>226</v>
      </c>
      <c r="R126" s="135">
        <v>3.8357094365240998E-2</v>
      </c>
      <c r="S126" s="134">
        <v>229</v>
      </c>
      <c r="T126" s="135">
        <v>3.6622421237805902E-2</v>
      </c>
      <c r="U126" s="134">
        <v>203</v>
      </c>
      <c r="V126" s="135">
        <v>3.2647153425538797E-2</v>
      </c>
    </row>
    <row r="127" spans="1:22" x14ac:dyDescent="0.2">
      <c r="A127" s="62" t="s">
        <v>738</v>
      </c>
      <c r="B127" s="62"/>
      <c r="C127" s="134">
        <v>723</v>
      </c>
      <c r="D127" s="135">
        <v>0.110567365040526</v>
      </c>
      <c r="E127" s="134">
        <v>758</v>
      </c>
      <c r="F127" s="135">
        <v>0.1095059231436</v>
      </c>
      <c r="G127" s="134">
        <v>596</v>
      </c>
      <c r="H127" s="135">
        <v>8.8152640141990798E-2</v>
      </c>
      <c r="I127" s="134" t="s">
        <v>182</v>
      </c>
      <c r="J127" s="135"/>
      <c r="K127" s="134" t="s">
        <v>182</v>
      </c>
      <c r="L127" s="135"/>
      <c r="M127" s="134" t="s">
        <v>182</v>
      </c>
      <c r="N127" s="135"/>
      <c r="O127" s="134" t="s">
        <v>182</v>
      </c>
      <c r="P127" s="135"/>
      <c r="Q127" s="134" t="s">
        <v>182</v>
      </c>
      <c r="R127" s="135"/>
      <c r="S127" s="134" t="s">
        <v>182</v>
      </c>
      <c r="T127" s="135"/>
      <c r="U127" s="134" t="s">
        <v>182</v>
      </c>
      <c r="V127" s="135"/>
    </row>
    <row r="128" spans="1:22" x14ac:dyDescent="0.2">
      <c r="A128" s="62" t="s">
        <v>739</v>
      </c>
      <c r="B128" s="62"/>
      <c r="C128" s="134">
        <v>150</v>
      </c>
      <c r="D128" s="135">
        <v>2.29392873528062E-2</v>
      </c>
      <c r="E128" s="134" t="s">
        <v>182</v>
      </c>
      <c r="F128" s="135"/>
      <c r="G128" s="134" t="s">
        <v>182</v>
      </c>
      <c r="H128" s="135"/>
      <c r="I128" s="134" t="s">
        <v>182</v>
      </c>
      <c r="J128" s="135"/>
      <c r="K128" s="134" t="s">
        <v>182</v>
      </c>
      <c r="L128" s="135"/>
      <c r="M128" s="134" t="s">
        <v>182</v>
      </c>
      <c r="N128" s="135"/>
      <c r="O128" s="134" t="s">
        <v>182</v>
      </c>
      <c r="P128" s="135"/>
      <c r="Q128" s="134" t="s">
        <v>182</v>
      </c>
      <c r="R128" s="135"/>
      <c r="S128" s="134" t="s">
        <v>182</v>
      </c>
      <c r="T128" s="135"/>
      <c r="U128" s="134" t="s">
        <v>182</v>
      </c>
      <c r="V128" s="135"/>
    </row>
    <row r="129" spans="1:22" x14ac:dyDescent="0.2">
      <c r="A129" s="62" t="s">
        <v>740</v>
      </c>
      <c r="B129" s="62"/>
      <c r="C129" s="134">
        <v>813</v>
      </c>
      <c r="D129" s="135">
        <v>0.12433093745220999</v>
      </c>
      <c r="E129" s="134">
        <v>843</v>
      </c>
      <c r="F129" s="135">
        <v>0.121785611095059</v>
      </c>
      <c r="G129" s="134">
        <v>804</v>
      </c>
      <c r="H129" s="135">
        <v>0.118917319923088</v>
      </c>
      <c r="I129" s="134" t="s">
        <v>182</v>
      </c>
      <c r="J129" s="135"/>
      <c r="K129" s="134" t="s">
        <v>182</v>
      </c>
      <c r="L129" s="135"/>
      <c r="M129" s="134" t="s">
        <v>182</v>
      </c>
      <c r="N129" s="135"/>
      <c r="O129" s="134" t="s">
        <v>182</v>
      </c>
      <c r="P129" s="135"/>
      <c r="Q129" s="134" t="s">
        <v>182</v>
      </c>
      <c r="R129" s="135"/>
      <c r="S129" s="134" t="s">
        <v>182</v>
      </c>
      <c r="T129" s="135"/>
      <c r="U129" s="134" t="s">
        <v>182</v>
      </c>
      <c r="V129" s="135"/>
    </row>
    <row r="130" spans="1:22" x14ac:dyDescent="0.2">
      <c r="A130" s="62" t="s">
        <v>741</v>
      </c>
      <c r="B130" s="62"/>
      <c r="C130" s="134">
        <v>96</v>
      </c>
      <c r="D130" s="135">
        <v>1.4681143905796E-2</v>
      </c>
      <c r="E130" s="134" t="s">
        <v>182</v>
      </c>
      <c r="F130" s="135"/>
      <c r="G130" s="134" t="s">
        <v>182</v>
      </c>
      <c r="H130" s="135"/>
      <c r="I130" s="134" t="s">
        <v>182</v>
      </c>
      <c r="J130" s="135"/>
      <c r="K130" s="134" t="s">
        <v>182</v>
      </c>
      <c r="L130" s="135"/>
      <c r="M130" s="134" t="s">
        <v>182</v>
      </c>
      <c r="N130" s="135"/>
      <c r="O130" s="134" t="s">
        <v>182</v>
      </c>
      <c r="P130" s="135"/>
      <c r="Q130" s="134" t="s">
        <v>182</v>
      </c>
      <c r="R130" s="135"/>
      <c r="S130" s="134" t="s">
        <v>182</v>
      </c>
      <c r="T130" s="135"/>
      <c r="U130" s="134" t="s">
        <v>182</v>
      </c>
      <c r="V130" s="135"/>
    </row>
    <row r="131" spans="1:22" x14ac:dyDescent="0.2">
      <c r="A131" s="62" t="s">
        <v>742</v>
      </c>
      <c r="B131" s="62"/>
      <c r="C131" s="134">
        <v>390</v>
      </c>
      <c r="D131" s="135">
        <v>5.96421471172962E-2</v>
      </c>
      <c r="E131" s="134" t="s">
        <v>182</v>
      </c>
      <c r="F131" s="135"/>
      <c r="G131" s="134" t="s">
        <v>182</v>
      </c>
      <c r="H131" s="135"/>
      <c r="I131" s="134" t="s">
        <v>182</v>
      </c>
      <c r="J131" s="135"/>
      <c r="K131" s="134" t="s">
        <v>182</v>
      </c>
      <c r="L131" s="135"/>
      <c r="M131" s="134" t="s">
        <v>182</v>
      </c>
      <c r="N131" s="135"/>
      <c r="O131" s="134" t="s">
        <v>182</v>
      </c>
      <c r="P131" s="135"/>
      <c r="Q131" s="134" t="s">
        <v>182</v>
      </c>
      <c r="R131" s="135"/>
      <c r="S131" s="134" t="s">
        <v>182</v>
      </c>
      <c r="T131" s="135"/>
      <c r="U131" s="134" t="s">
        <v>182</v>
      </c>
      <c r="V131" s="135"/>
    </row>
    <row r="132" spans="1:22" x14ac:dyDescent="0.2">
      <c r="A132" s="62" t="s">
        <v>743</v>
      </c>
      <c r="B132" s="62"/>
      <c r="C132" s="134">
        <v>1226</v>
      </c>
      <c r="D132" s="135">
        <v>0.18749044196360301</v>
      </c>
      <c r="E132" s="134">
        <v>1331</v>
      </c>
      <c r="F132" s="135">
        <v>0.192285466628142</v>
      </c>
      <c r="G132" s="134">
        <v>1460</v>
      </c>
      <c r="H132" s="135">
        <v>0.215944386925011</v>
      </c>
      <c r="I132" s="134" t="s">
        <v>182</v>
      </c>
      <c r="J132" s="135"/>
      <c r="K132" s="134" t="s">
        <v>182</v>
      </c>
      <c r="L132" s="135"/>
      <c r="M132" s="134" t="s">
        <v>182</v>
      </c>
      <c r="N132" s="135"/>
      <c r="O132" s="134" t="s">
        <v>182</v>
      </c>
      <c r="P132" s="135"/>
      <c r="Q132" s="134" t="s">
        <v>182</v>
      </c>
      <c r="R132" s="135"/>
      <c r="S132" s="134" t="s">
        <v>182</v>
      </c>
      <c r="T132" s="135"/>
      <c r="U132" s="134" t="s">
        <v>182</v>
      </c>
      <c r="V132" s="135"/>
    </row>
    <row r="133" spans="1:22" x14ac:dyDescent="0.2">
      <c r="A133" s="62" t="s">
        <v>744</v>
      </c>
      <c r="B133" s="62"/>
      <c r="C133" s="134">
        <v>262</v>
      </c>
      <c r="D133" s="135">
        <v>4.00672885762349E-2</v>
      </c>
      <c r="E133" s="134" t="s">
        <v>182</v>
      </c>
      <c r="F133" s="135"/>
      <c r="G133" s="134" t="s">
        <v>182</v>
      </c>
      <c r="H133" s="135"/>
      <c r="I133" s="134" t="s">
        <v>182</v>
      </c>
      <c r="J133" s="135"/>
      <c r="K133" s="134" t="s">
        <v>182</v>
      </c>
      <c r="L133" s="135"/>
      <c r="M133" s="134" t="s">
        <v>182</v>
      </c>
      <c r="N133" s="135"/>
      <c r="O133" s="134" t="s">
        <v>182</v>
      </c>
      <c r="P133" s="135"/>
      <c r="Q133" s="134" t="s">
        <v>182</v>
      </c>
      <c r="R133" s="135"/>
      <c r="S133" s="134" t="s">
        <v>182</v>
      </c>
      <c r="T133" s="135"/>
      <c r="U133" s="134" t="s">
        <v>182</v>
      </c>
      <c r="V133" s="135"/>
    </row>
    <row r="134" spans="1:22" x14ac:dyDescent="0.2">
      <c r="A134" s="62" t="s">
        <v>745</v>
      </c>
      <c r="B134" s="62"/>
      <c r="C134" s="134">
        <v>1195</v>
      </c>
      <c r="D134" s="135">
        <v>0.18274965591069001</v>
      </c>
      <c r="E134" s="134">
        <v>1262</v>
      </c>
      <c r="F134" s="135">
        <v>0.18231724934989901</v>
      </c>
      <c r="G134" s="134">
        <v>1063</v>
      </c>
      <c r="H134" s="135">
        <v>0.157225262535128</v>
      </c>
      <c r="I134" s="134">
        <v>838</v>
      </c>
      <c r="J134" s="135">
        <v>0.129902340722369</v>
      </c>
      <c r="K134" s="134">
        <v>855</v>
      </c>
      <c r="L134" s="135">
        <v>0.13359375000000001</v>
      </c>
      <c r="M134" s="134">
        <v>887</v>
      </c>
      <c r="N134" s="135">
        <v>0.13684048133292201</v>
      </c>
      <c r="O134" s="134">
        <v>843</v>
      </c>
      <c r="P134" s="135">
        <v>0.13553054662379399</v>
      </c>
      <c r="Q134" s="134">
        <v>637</v>
      </c>
      <c r="R134" s="135">
        <v>0.108112695179905</v>
      </c>
      <c r="S134" s="134">
        <v>706</v>
      </c>
      <c r="T134" s="135">
        <v>0.112905805213498</v>
      </c>
      <c r="U134" s="134">
        <v>697</v>
      </c>
      <c r="V134" s="135">
        <v>0.112093920874879</v>
      </c>
    </row>
    <row r="135" spans="1:22" x14ac:dyDescent="0.2">
      <c r="A135" s="62" t="s">
        <v>747</v>
      </c>
      <c r="B135" s="62"/>
      <c r="C135" s="134" t="s">
        <v>182</v>
      </c>
      <c r="D135" s="135"/>
      <c r="E135" s="134" t="s">
        <v>182</v>
      </c>
      <c r="F135" s="135"/>
      <c r="G135" s="134" t="s">
        <v>182</v>
      </c>
      <c r="H135" s="135"/>
      <c r="I135" s="134" t="s">
        <v>182</v>
      </c>
      <c r="J135" s="135"/>
      <c r="K135" s="134" t="s">
        <v>182</v>
      </c>
      <c r="L135" s="135"/>
      <c r="M135" s="134" t="s">
        <v>182</v>
      </c>
      <c r="N135" s="135"/>
      <c r="O135" s="134" t="s">
        <v>182</v>
      </c>
      <c r="P135" s="135"/>
      <c r="Q135" s="134">
        <v>0</v>
      </c>
      <c r="R135" s="135"/>
      <c r="S135" s="134">
        <v>0</v>
      </c>
      <c r="T135" s="135"/>
      <c r="U135" s="134">
        <v>0</v>
      </c>
      <c r="V135" s="135"/>
    </row>
    <row r="136" spans="1:22" x14ac:dyDescent="0.2">
      <c r="A136" s="62" t="s">
        <v>748</v>
      </c>
      <c r="B136" s="62"/>
      <c r="C136" s="134">
        <v>0</v>
      </c>
      <c r="D136" s="135"/>
      <c r="E136" s="134">
        <v>0</v>
      </c>
      <c r="F136" s="135"/>
      <c r="G136" s="134">
        <v>0</v>
      </c>
      <c r="H136" s="135"/>
      <c r="I136" s="134">
        <v>0</v>
      </c>
      <c r="J136" s="135"/>
      <c r="K136" s="134">
        <v>0</v>
      </c>
      <c r="L136" s="135"/>
      <c r="M136" s="134">
        <v>0</v>
      </c>
      <c r="N136" s="135"/>
      <c r="O136" s="134">
        <v>0</v>
      </c>
      <c r="P136" s="135"/>
      <c r="Q136" s="134">
        <v>0</v>
      </c>
      <c r="R136" s="135"/>
      <c r="S136" s="134">
        <v>0</v>
      </c>
      <c r="T136" s="135"/>
      <c r="U136" s="134">
        <v>0</v>
      </c>
      <c r="V136" s="135"/>
    </row>
    <row r="137" spans="1:22" x14ac:dyDescent="0.2">
      <c r="A137" s="60" t="s">
        <v>769</v>
      </c>
      <c r="B137" s="60"/>
      <c r="C137" s="132">
        <v>226600</v>
      </c>
      <c r="D137" s="133">
        <v>1</v>
      </c>
      <c r="E137" s="132">
        <v>245200</v>
      </c>
      <c r="F137" s="133">
        <v>1</v>
      </c>
      <c r="G137" s="132">
        <v>229400</v>
      </c>
      <c r="H137" s="133">
        <v>1</v>
      </c>
      <c r="I137" s="132">
        <v>207500</v>
      </c>
      <c r="J137" s="133">
        <v>1</v>
      </c>
      <c r="K137" s="132">
        <v>208100</v>
      </c>
      <c r="L137" s="133">
        <v>1</v>
      </c>
      <c r="M137" s="132">
        <v>202900</v>
      </c>
      <c r="N137" s="133">
        <v>1</v>
      </c>
      <c r="O137" s="132">
        <v>196000</v>
      </c>
      <c r="P137" s="133">
        <v>1</v>
      </c>
      <c r="Q137" s="132">
        <v>182600</v>
      </c>
      <c r="R137" s="133">
        <v>1</v>
      </c>
      <c r="S137" s="132">
        <v>193200</v>
      </c>
      <c r="T137" s="133">
        <v>1</v>
      </c>
      <c r="U137" s="132">
        <v>189800</v>
      </c>
      <c r="V137" s="133">
        <v>1</v>
      </c>
    </row>
    <row r="138" spans="1:22" x14ac:dyDescent="0.2">
      <c r="A138" s="62" t="s">
        <v>730</v>
      </c>
      <c r="B138" s="62"/>
      <c r="C138" s="134">
        <v>137000</v>
      </c>
      <c r="D138" s="135">
        <v>0.60458958517210903</v>
      </c>
      <c r="E138" s="134">
        <v>148600</v>
      </c>
      <c r="F138" s="135">
        <v>0.60603588907014705</v>
      </c>
      <c r="G138" s="134">
        <v>144900</v>
      </c>
      <c r="H138" s="135">
        <v>0.63164777680906703</v>
      </c>
      <c r="I138" s="134">
        <v>134600</v>
      </c>
      <c r="J138" s="135">
        <v>0.64867469879518103</v>
      </c>
      <c r="K138" s="134">
        <v>131900</v>
      </c>
      <c r="L138" s="135">
        <v>0.63382988947621299</v>
      </c>
      <c r="M138" s="134">
        <v>128100</v>
      </c>
      <c r="N138" s="135">
        <v>0.63134549038935395</v>
      </c>
      <c r="O138" s="134">
        <v>128000</v>
      </c>
      <c r="P138" s="135">
        <v>0.65306122448979598</v>
      </c>
      <c r="Q138" s="134">
        <v>124400</v>
      </c>
      <c r="R138" s="135">
        <v>0.68127053669222304</v>
      </c>
      <c r="S138" s="134">
        <v>126300</v>
      </c>
      <c r="T138" s="135">
        <v>0.65372670807453404</v>
      </c>
      <c r="U138" s="134">
        <v>126000</v>
      </c>
      <c r="V138" s="135">
        <v>0.66385669125395197</v>
      </c>
    </row>
    <row r="139" spans="1:22" x14ac:dyDescent="0.2">
      <c r="A139" s="62" t="s">
        <v>745</v>
      </c>
      <c r="B139" s="62"/>
      <c r="C139" s="134">
        <v>64600</v>
      </c>
      <c r="D139" s="135">
        <v>0.28508384819064397</v>
      </c>
      <c r="E139" s="134">
        <v>69500</v>
      </c>
      <c r="F139" s="135">
        <v>0.28344208809135402</v>
      </c>
      <c r="G139" s="134">
        <v>56300</v>
      </c>
      <c r="H139" s="135">
        <v>0.245422842197036</v>
      </c>
      <c r="I139" s="134">
        <v>45100</v>
      </c>
      <c r="J139" s="135">
        <v>0.21734939759036101</v>
      </c>
      <c r="K139" s="134">
        <v>47300</v>
      </c>
      <c r="L139" s="135">
        <v>0.22729456991830899</v>
      </c>
      <c r="M139" s="134">
        <v>45500</v>
      </c>
      <c r="N139" s="135">
        <v>0.22424839822572701</v>
      </c>
      <c r="O139" s="134">
        <v>41100</v>
      </c>
      <c r="P139" s="135">
        <v>0.20969387755102001</v>
      </c>
      <c r="Q139" s="134">
        <v>30100</v>
      </c>
      <c r="R139" s="135">
        <v>0.164841182913472</v>
      </c>
      <c r="S139" s="134">
        <v>35400</v>
      </c>
      <c r="T139" s="135">
        <v>0.18322981366459601</v>
      </c>
      <c r="U139" s="134">
        <v>33800</v>
      </c>
      <c r="V139" s="135">
        <v>0.17808219178082199</v>
      </c>
    </row>
    <row r="140" spans="1:22" x14ac:dyDescent="0.2">
      <c r="A140" s="62" t="s">
        <v>746</v>
      </c>
      <c r="B140" s="62"/>
      <c r="C140" s="134">
        <v>25000</v>
      </c>
      <c r="D140" s="135">
        <v>0.11032656663724601</v>
      </c>
      <c r="E140" s="134">
        <v>27100</v>
      </c>
      <c r="F140" s="135">
        <v>0.110522022838499</v>
      </c>
      <c r="G140" s="134">
        <v>28200</v>
      </c>
      <c r="H140" s="135">
        <v>0.122929380993897</v>
      </c>
      <c r="I140" s="134">
        <v>27800</v>
      </c>
      <c r="J140" s="135">
        <v>0.13397590361445799</v>
      </c>
      <c r="K140" s="134">
        <v>28900</v>
      </c>
      <c r="L140" s="135">
        <v>0.13887554060547799</v>
      </c>
      <c r="M140" s="134">
        <v>29300</v>
      </c>
      <c r="N140" s="135">
        <v>0.14440611138491899</v>
      </c>
      <c r="O140" s="134">
        <v>26900</v>
      </c>
      <c r="P140" s="135">
        <v>0.13724489795918399</v>
      </c>
      <c r="Q140" s="134">
        <v>28100</v>
      </c>
      <c r="R140" s="135">
        <v>0.15388828039430399</v>
      </c>
      <c r="S140" s="134">
        <v>31500</v>
      </c>
      <c r="T140" s="135">
        <v>0.16304347826087001</v>
      </c>
      <c r="U140" s="134">
        <v>30000</v>
      </c>
      <c r="V140" s="135">
        <v>0.15806111696522701</v>
      </c>
    </row>
    <row r="141" spans="1:22" x14ac:dyDescent="0.2">
      <c r="A141" s="60" t="s">
        <v>770</v>
      </c>
      <c r="B141" s="60"/>
      <c r="C141" s="132">
        <v>36752</v>
      </c>
      <c r="D141" s="133">
        <v>1</v>
      </c>
      <c r="E141" s="132">
        <v>36711</v>
      </c>
      <c r="F141" s="133">
        <v>1</v>
      </c>
      <c r="G141" s="132">
        <v>36891</v>
      </c>
      <c r="H141" s="133">
        <v>1</v>
      </c>
      <c r="I141" s="132">
        <v>36863</v>
      </c>
      <c r="J141" s="133">
        <v>1</v>
      </c>
      <c r="K141" s="132">
        <v>36768</v>
      </c>
      <c r="L141" s="133">
        <v>1</v>
      </c>
      <c r="M141" s="132">
        <v>36557</v>
      </c>
      <c r="N141" s="133">
        <v>1</v>
      </c>
      <c r="O141" s="132">
        <v>36030</v>
      </c>
      <c r="P141" s="133">
        <v>1</v>
      </c>
      <c r="Q141" s="132">
        <v>35485</v>
      </c>
      <c r="R141" s="133">
        <v>1</v>
      </c>
      <c r="S141" s="132">
        <v>35305</v>
      </c>
      <c r="T141" s="133">
        <v>1</v>
      </c>
      <c r="U141" s="132">
        <v>35750</v>
      </c>
      <c r="V141" s="133">
        <v>1</v>
      </c>
    </row>
    <row r="142" spans="1:22" x14ac:dyDescent="0.2">
      <c r="A142" s="62" t="s">
        <v>771</v>
      </c>
      <c r="B142" s="62"/>
      <c r="C142" s="134">
        <v>26411</v>
      </c>
      <c r="D142" s="135">
        <v>0.71862755768393605</v>
      </c>
      <c r="E142" s="134">
        <v>26391</v>
      </c>
      <c r="F142" s="135">
        <v>0.71888534771594303</v>
      </c>
      <c r="G142" s="134">
        <v>26565</v>
      </c>
      <c r="H142" s="135">
        <v>0.72009433195088202</v>
      </c>
      <c r="I142" s="134">
        <v>26530</v>
      </c>
      <c r="J142" s="135">
        <v>0.71969183191818398</v>
      </c>
      <c r="K142" s="134">
        <v>26500</v>
      </c>
      <c r="L142" s="135">
        <v>0.72073542210617902</v>
      </c>
      <c r="M142" s="134">
        <v>26286</v>
      </c>
      <c r="N142" s="135">
        <v>0.71904149684054997</v>
      </c>
      <c r="O142" s="134">
        <v>25793</v>
      </c>
      <c r="P142" s="135">
        <v>0.71587565917291196</v>
      </c>
      <c r="Q142" s="134">
        <v>25300</v>
      </c>
      <c r="R142" s="135">
        <v>0.71297731435817902</v>
      </c>
      <c r="S142" s="134">
        <v>25140</v>
      </c>
      <c r="T142" s="135">
        <v>0.71208044186375896</v>
      </c>
      <c r="U142" s="134">
        <v>25541</v>
      </c>
      <c r="V142" s="135">
        <v>0.71443356643356604</v>
      </c>
    </row>
    <row r="143" spans="1:22" x14ac:dyDescent="0.2">
      <c r="A143" s="62" t="s">
        <v>772</v>
      </c>
      <c r="B143" s="62"/>
      <c r="C143" s="134">
        <v>9420</v>
      </c>
      <c r="D143" s="135">
        <v>0.25631258162821102</v>
      </c>
      <c r="E143" s="134">
        <v>9397</v>
      </c>
      <c r="F143" s="135">
        <v>0.25597232437144202</v>
      </c>
      <c r="G143" s="134">
        <v>9390</v>
      </c>
      <c r="H143" s="135">
        <v>0.254533626087664</v>
      </c>
      <c r="I143" s="134">
        <v>9396</v>
      </c>
      <c r="J143" s="135">
        <v>0.25488972682635702</v>
      </c>
      <c r="K143" s="134">
        <v>9348</v>
      </c>
      <c r="L143" s="135">
        <v>0.25424281984334202</v>
      </c>
      <c r="M143" s="134">
        <v>9350</v>
      </c>
      <c r="N143" s="135">
        <v>0.25576496977323099</v>
      </c>
      <c r="O143" s="134">
        <v>9316</v>
      </c>
      <c r="P143" s="135">
        <v>0.25856230918678902</v>
      </c>
      <c r="Q143" s="134">
        <v>9289</v>
      </c>
      <c r="R143" s="135">
        <v>0.261772579963365</v>
      </c>
      <c r="S143" s="134">
        <v>9278</v>
      </c>
      <c r="T143" s="135">
        <v>0.26279563801161299</v>
      </c>
      <c r="U143" s="134">
        <v>9308</v>
      </c>
      <c r="V143" s="135">
        <v>0.26036363636363602</v>
      </c>
    </row>
    <row r="144" spans="1:22" x14ac:dyDescent="0.2">
      <c r="A144" s="62" t="s">
        <v>773</v>
      </c>
      <c r="B144" s="62"/>
      <c r="C144" s="134">
        <v>921</v>
      </c>
      <c r="D144" s="135">
        <v>2.5059860687853701E-2</v>
      </c>
      <c r="E144" s="134">
        <v>923</v>
      </c>
      <c r="F144" s="135">
        <v>2.5142327912614702E-2</v>
      </c>
      <c r="G144" s="134">
        <v>936</v>
      </c>
      <c r="H144" s="135">
        <v>2.5372041961454001E-2</v>
      </c>
      <c r="I144" s="134">
        <v>937</v>
      </c>
      <c r="J144" s="135">
        <v>2.54184412554594E-2</v>
      </c>
      <c r="K144" s="134">
        <v>920</v>
      </c>
      <c r="L144" s="135">
        <v>2.5021758050478699E-2</v>
      </c>
      <c r="M144" s="134">
        <v>921</v>
      </c>
      <c r="N144" s="135">
        <v>2.5193533386218801E-2</v>
      </c>
      <c r="O144" s="134">
        <v>921</v>
      </c>
      <c r="P144" s="135">
        <v>2.5562031640299701E-2</v>
      </c>
      <c r="Q144" s="134">
        <v>896</v>
      </c>
      <c r="R144" s="135">
        <v>2.52501056784557E-2</v>
      </c>
      <c r="S144" s="134">
        <v>887</v>
      </c>
      <c r="T144" s="135">
        <v>2.5123920124628201E-2</v>
      </c>
      <c r="U144" s="134">
        <v>901</v>
      </c>
      <c r="V144" s="135">
        <v>2.5202797202797202E-2</v>
      </c>
    </row>
    <row r="145" spans="1:22" x14ac:dyDescent="0.2">
      <c r="A145" s="60" t="s">
        <v>774</v>
      </c>
      <c r="B145" s="60"/>
      <c r="C145" s="136" t="s">
        <v>182</v>
      </c>
      <c r="D145" s="137"/>
      <c r="E145" s="136" t="s">
        <v>182</v>
      </c>
      <c r="F145" s="137"/>
      <c r="G145" s="136" t="s">
        <v>182</v>
      </c>
      <c r="H145" s="137"/>
      <c r="I145" s="136" t="s">
        <v>182</v>
      </c>
      <c r="J145" s="137"/>
      <c r="K145" s="136" t="s">
        <v>182</v>
      </c>
      <c r="L145" s="137"/>
      <c r="M145" s="136" t="s">
        <v>182</v>
      </c>
      <c r="N145" s="137"/>
      <c r="O145" s="136" t="s">
        <v>182</v>
      </c>
      <c r="P145" s="137"/>
      <c r="Q145" s="136" t="s">
        <v>182</v>
      </c>
      <c r="R145" s="137"/>
      <c r="S145" s="136" t="s">
        <v>182</v>
      </c>
      <c r="T145" s="137"/>
      <c r="U145" s="136" t="s">
        <v>182</v>
      </c>
      <c r="V145" s="137"/>
    </row>
    <row r="146" spans="1:22" x14ac:dyDescent="0.2">
      <c r="A146" s="62" t="s">
        <v>775</v>
      </c>
      <c r="B146" s="62"/>
      <c r="C146" s="138">
        <v>33</v>
      </c>
      <c r="D146" s="139"/>
      <c r="E146" s="138">
        <v>35</v>
      </c>
      <c r="F146" s="139"/>
      <c r="G146" s="138">
        <v>35</v>
      </c>
      <c r="H146" s="139"/>
      <c r="I146" s="138">
        <v>37</v>
      </c>
      <c r="J146" s="139"/>
      <c r="K146" s="138">
        <v>37</v>
      </c>
      <c r="L146" s="139"/>
      <c r="M146" s="138">
        <v>37</v>
      </c>
      <c r="N146" s="139"/>
      <c r="O146" s="138">
        <v>42</v>
      </c>
      <c r="P146" s="139"/>
      <c r="Q146" s="138">
        <v>42</v>
      </c>
      <c r="R146" s="139"/>
      <c r="S146" s="138">
        <v>43</v>
      </c>
      <c r="T146" s="139"/>
      <c r="U146" s="138">
        <v>45</v>
      </c>
      <c r="V146" s="139"/>
    </row>
    <row r="147" spans="1:22" x14ac:dyDescent="0.2">
      <c r="A147" s="62" t="s">
        <v>776</v>
      </c>
      <c r="B147" s="62"/>
      <c r="C147" s="138">
        <v>21</v>
      </c>
      <c r="D147" s="139"/>
      <c r="E147" s="138">
        <v>22</v>
      </c>
      <c r="F147" s="139"/>
      <c r="G147" s="138">
        <v>23</v>
      </c>
      <c r="H147" s="139"/>
      <c r="I147" s="138">
        <v>24</v>
      </c>
      <c r="J147" s="139"/>
      <c r="K147" s="138">
        <v>24</v>
      </c>
      <c r="L147" s="139"/>
      <c r="M147" s="138">
        <v>24</v>
      </c>
      <c r="N147" s="139"/>
      <c r="O147" s="138">
        <v>27</v>
      </c>
      <c r="P147" s="139"/>
      <c r="Q147" s="138">
        <v>28</v>
      </c>
      <c r="R147" s="139"/>
      <c r="S147" s="138">
        <v>29</v>
      </c>
      <c r="T147" s="139"/>
      <c r="U147" s="138">
        <v>29</v>
      </c>
      <c r="V147" s="139"/>
    </row>
    <row r="148" spans="1:22" x14ac:dyDescent="0.2">
      <c r="A148" s="62" t="s">
        <v>777</v>
      </c>
      <c r="B148" s="62"/>
      <c r="C148" s="138">
        <v>20</v>
      </c>
      <c r="D148" s="139"/>
      <c r="E148" s="138">
        <v>21</v>
      </c>
      <c r="F148" s="139"/>
      <c r="G148" s="138">
        <v>20</v>
      </c>
      <c r="H148" s="139"/>
      <c r="I148" s="138">
        <v>20</v>
      </c>
      <c r="J148" s="139"/>
      <c r="K148" s="138">
        <v>20</v>
      </c>
      <c r="L148" s="139"/>
      <c r="M148" s="138">
        <v>20</v>
      </c>
      <c r="N148" s="139"/>
      <c r="O148" s="138">
        <v>20</v>
      </c>
      <c r="P148" s="139"/>
      <c r="Q148" s="138">
        <v>21</v>
      </c>
      <c r="R148" s="139"/>
      <c r="S148" s="138">
        <v>22</v>
      </c>
      <c r="T148" s="139"/>
      <c r="U148" s="138">
        <v>23</v>
      </c>
      <c r="V148" s="139"/>
    </row>
    <row r="149" spans="1:22" x14ac:dyDescent="0.2">
      <c r="A149" s="69" t="s">
        <v>249</v>
      </c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DCF</vt:lpstr>
      <vt:lpstr>CCA</vt:lpstr>
      <vt:lpstr>Summary</vt:lpstr>
      <vt:lpstr>IS</vt:lpstr>
      <vt:lpstr>BS</vt:lpstr>
      <vt:lpstr>CF</vt:lpstr>
      <vt:lpstr>Graphs</vt:lpstr>
      <vt:lpstr>Rev. segments</vt:lpstr>
      <vt:lpstr>cash</vt:lpstr>
      <vt:lpstr>debt</vt:lpstr>
      <vt:lpstr>ebi</vt:lpstr>
      <vt:lpstr>fcff</vt:lpstr>
      <vt:lpstr>CCA!Print_Area</vt:lpstr>
      <vt:lpstr>DCF!Print_Area</vt:lpstr>
      <vt:lpstr>Graphs!Print_Area</vt:lpstr>
      <vt:lpstr>reve</vt:lpstr>
      <vt:lpstr>tgr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Amann, Guillaume J</cp:lastModifiedBy>
  <cp:revision/>
  <dcterms:created xsi:type="dcterms:W3CDTF">2023-10-05T12:49:53Z</dcterms:created>
  <dcterms:modified xsi:type="dcterms:W3CDTF">2023-11-30T00:16:37Z</dcterms:modified>
  <cp:category/>
  <cp:contentStatus/>
</cp:coreProperties>
</file>