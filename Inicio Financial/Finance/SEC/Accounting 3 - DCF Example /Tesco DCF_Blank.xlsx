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filterPrivacy="1"/>
  <xr:revisionPtr revIDLastSave="0" documentId="8_{F3357533-4341-4250-9CEA-EBAA5CD9CA45}" xr6:coauthVersionLast="47" xr6:coauthVersionMax="47" xr10:uidLastSave="{00000000-0000-0000-0000-000000000000}"/>
  <bookViews>
    <workbookView xWindow="-110" yWindow="-110" windowWidth="19420" windowHeight="11020" activeTab="3" xr2:uid="{00000000-000D-0000-FFFF-FFFF00000000}"/>
  </bookViews>
  <sheets>
    <sheet name="Income Statement" sheetId="2" r:id="rId1"/>
    <sheet name="Balance Sheet" sheetId="3" r:id="rId2"/>
    <sheet name="Cash Flow" sheetId="4" r:id="rId3"/>
    <sheet name="DCF" sheetId="14" r:id="rId4"/>
  </sheets>
  <definedNames>
    <definedName name="_xlnm.Print_Titles" localSheetId="1">'Balance Sheet'!$1:$3</definedName>
    <definedName name="_xlnm.Print_Titles" localSheetId="2">'Cash Flow'!$1:$3</definedName>
    <definedName name="_xlnm.Print_Titles" localSheetId="0">'Income Statement'!$1:$3</definedName>
  </definedNames>
  <calcPr calcId="191028" iterateDelta="9.9999999999994451E-4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32" i="14" l="1"/>
</calcChain>
</file>

<file path=xl/sharedStrings.xml><?xml version="1.0" encoding="utf-8"?>
<sst xmlns="http://schemas.openxmlformats.org/spreadsheetml/2006/main" count="598" uniqueCount="309">
  <si>
    <t>Tesco PLC (LSE:TSCO) &gt; Financials &gt; Income Statement</t>
  </si>
  <si>
    <t>In Millions of the reported currency, except per share items.</t>
  </si>
  <si>
    <t>Template:</t>
  </si>
  <si>
    <t>Standard</t>
  </si>
  <si>
    <t> </t>
  </si>
  <si>
    <t>Restatement:</t>
  </si>
  <si>
    <t>Latest Filings</t>
  </si>
  <si>
    <t>Period Type:</t>
  </si>
  <si>
    <t>Annual</t>
  </si>
  <si>
    <t>Order:</t>
  </si>
  <si>
    <t>Latest on Right</t>
  </si>
  <si>
    <t>Currency:</t>
  </si>
  <si>
    <t>Reported Currency</t>
  </si>
  <si>
    <t>Conversion:</t>
  </si>
  <si>
    <t>Historical</t>
  </si>
  <si>
    <t>Units:</t>
  </si>
  <si>
    <t>S&amp;P Capital IQ (Default)</t>
  </si>
  <si>
    <t>Decimals:</t>
  </si>
  <si>
    <t>Capital IQ (Default)</t>
  </si>
  <si>
    <t>Source:</t>
  </si>
  <si>
    <t>Capital IQ &amp; Proprietary Data</t>
  </si>
  <si>
    <t>Income Statement</t>
  </si>
  <si>
    <t xml:space="preserve">For the Fiscal Period Ending
</t>
  </si>
  <si>
    <t>Restated
12 months
Feb-24-2018</t>
  </si>
  <si>
    <t>Restated
12 months
Feb-23-2019</t>
  </si>
  <si>
    <t>Reclassified
12 months
Feb-29-2020</t>
  </si>
  <si>
    <t>Restated
12 months
Feb-27-2021</t>
  </si>
  <si>
    <t>12 months
Feb-26-2022</t>
  </si>
  <si>
    <t>LTM
12 months
Aug-27-2022</t>
  </si>
  <si>
    <t>Currency</t>
  </si>
  <si>
    <t>GBP</t>
  </si>
  <si>
    <t xml:space="preserve"> </t>
  </si>
  <si>
    <t>Revenue</t>
  </si>
  <si>
    <t>Finance Div. Revenue</t>
  </si>
  <si>
    <t>Other Revenue</t>
  </si>
  <si>
    <t>-</t>
  </si>
  <si>
    <t xml:space="preserve">  Total Revenue</t>
  </si>
  <si>
    <t>Cost Of Goods Sold</t>
  </si>
  <si>
    <t>Finance Div. Operating Exp.</t>
  </si>
  <si>
    <t>Interest Expense - Finance Division</t>
  </si>
  <si>
    <t xml:space="preserve">  Gross Profit</t>
  </si>
  <si>
    <t>Selling General &amp; Admin Exp.</t>
  </si>
  <si>
    <t>R &amp; D Exp.</t>
  </si>
  <si>
    <t>Depreciation &amp; Amort.</t>
  </si>
  <si>
    <t>Other Operating Expense/(Income)</t>
  </si>
  <si>
    <t xml:space="preserve">  Other Operating Exp., Total</t>
  </si>
  <si>
    <t xml:space="preserve">  Operating Income</t>
  </si>
  <si>
    <t>Interest Expense</t>
  </si>
  <si>
    <t>Interest and Invest. Income</t>
  </si>
  <si>
    <t xml:space="preserve">  Net Interest Exp.</t>
  </si>
  <si>
    <t>Income/(Loss) from Affiliates</t>
  </si>
  <si>
    <t>Other Non-Operating Inc. (Exp.)</t>
  </si>
  <si>
    <t xml:space="preserve">  EBT Excl. Unusual Items</t>
  </si>
  <si>
    <t>Restructuring Charges</t>
  </si>
  <si>
    <t>Merger &amp; Related Restruct. Charges</t>
  </si>
  <si>
    <t>Impairment of Goodwill</t>
  </si>
  <si>
    <t>Gain (Loss) On Sale Of Invest.</t>
  </si>
  <si>
    <t>Gain (Loss) On Sale Of Assets</t>
  </si>
  <si>
    <t>Asset Writedown</t>
  </si>
  <si>
    <t>Insurance Settlements</t>
  </si>
  <si>
    <t>Legal Settlements</t>
  </si>
  <si>
    <t>Other Unusual Items</t>
  </si>
  <si>
    <t xml:space="preserve">  EBT Incl. Unusual Items</t>
  </si>
  <si>
    <t>Income Tax Expense</t>
  </si>
  <si>
    <t xml:space="preserve">  Earnings from Cont. Ops.</t>
  </si>
  <si>
    <t>Earnings of Discontinued Ops.</t>
  </si>
  <si>
    <t>Extraord. Item &amp; Account. Change</t>
  </si>
  <si>
    <t xml:space="preserve">  Net Income to Company</t>
  </si>
  <si>
    <t>Minority Int. in Earnings</t>
  </si>
  <si>
    <t xml:space="preserve">  Net Income</t>
  </si>
  <si>
    <t>Pref. Dividends and Other Adj.</t>
  </si>
  <si>
    <t xml:space="preserve">  NI to Common Incl Extra Items</t>
  </si>
  <si>
    <t xml:space="preserve">  NI to Common Excl. Extra Items</t>
  </si>
  <si>
    <t>Per Share Items</t>
  </si>
  <si>
    <t>Basic EPS</t>
  </si>
  <si>
    <t>Basic EPS Excl. Extra Items</t>
  </si>
  <si>
    <t>Weighted Avg. Basic Shares Out.</t>
  </si>
  <si>
    <t>Diluted EPS</t>
  </si>
  <si>
    <t>Diluted EPS Excl. Extra Items</t>
  </si>
  <si>
    <t>Weighted Avg. Diluted Shares Out.</t>
  </si>
  <si>
    <t>Normalized Basic EPS</t>
  </si>
  <si>
    <t>Normalized Diluted EPS</t>
  </si>
  <si>
    <t>Dividends per Share</t>
  </si>
  <si>
    <t>Payout Ratio %</t>
  </si>
  <si>
    <t>Shares per Depository Receipt</t>
  </si>
  <si>
    <t>Supplemental Items</t>
  </si>
  <si>
    <t>EBITDA</t>
  </si>
  <si>
    <t>EBITA</t>
  </si>
  <si>
    <t>EBIT</t>
  </si>
  <si>
    <t>EBITDAR</t>
  </si>
  <si>
    <t>NA</t>
  </si>
  <si>
    <t>Effective Tax Rate %</t>
  </si>
  <si>
    <t>Current Domestic Taxes</t>
  </si>
  <si>
    <t>Current Foreign Taxes</t>
  </si>
  <si>
    <t>Total Current Taxes</t>
  </si>
  <si>
    <t>Total Deferred Taxes</t>
  </si>
  <si>
    <t>Normalized Net Income</t>
  </si>
  <si>
    <t>Interest Capitalized</t>
  </si>
  <si>
    <t>Interest on Long Term Debt</t>
  </si>
  <si>
    <t>Non-Cash Pension Expense</t>
  </si>
  <si>
    <t>Filing Date</t>
  </si>
  <si>
    <t>Restatement Type</t>
  </si>
  <si>
    <t>RS</t>
  </si>
  <si>
    <t>RD</t>
  </si>
  <si>
    <t>O</t>
  </si>
  <si>
    <t>Calculation Type</t>
  </si>
  <si>
    <t>REP</t>
  </si>
  <si>
    <t>LTM</t>
  </si>
  <si>
    <t>Supplemental Operating Expense Items</t>
  </si>
  <si>
    <t>General and Administrative Exp.</t>
  </si>
  <si>
    <t>Net Rental Exp.</t>
  </si>
  <si>
    <t>Imputed Oper. Lease Interest Exp.</t>
  </si>
  <si>
    <t>Imputed Oper. Lease Depreciation</t>
  </si>
  <si>
    <t>NM</t>
  </si>
  <si>
    <t>Stock-Based Comp., COGS</t>
  </si>
  <si>
    <t>Stock-Based Comp., Unallocated</t>
  </si>
  <si>
    <t xml:space="preserve">  Stock-Based Comp., Total</t>
  </si>
  <si>
    <t>Note: For multiple class companies, per share items are primary class equivalent, and for foreign companies listed as primary ADRs, per share items are ADR-equivalent.</t>
  </si>
  <si>
    <t xml:space="preserve">
               </t>
  </si>
  <si>
    <t>Tesco PLC (LSE:TSCO) &gt; Financials &gt; Balance Sheet</t>
  </si>
  <si>
    <t>Balance Sheet</t>
  </si>
  <si>
    <t xml:space="preserve">Balance Sheet as of:
</t>
  </si>
  <si>
    <t>Restated
Feb-24-2018</t>
  </si>
  <si>
    <t>Restated
Feb-23-2019</t>
  </si>
  <si>
    <t>Restated
Feb-29-2020</t>
  </si>
  <si>
    <t>Restated
Feb-27-2021</t>
  </si>
  <si>
    <t>ASSETS</t>
  </si>
  <si>
    <t>Cash And Equivalents</t>
  </si>
  <si>
    <t>Short Term Investments</t>
  </si>
  <si>
    <t xml:space="preserve">  Total Cash &amp; ST Investments</t>
  </si>
  <si>
    <t>Accounts Receivable</t>
  </si>
  <si>
    <t>Other Receivables</t>
  </si>
  <si>
    <t xml:space="preserve">  Total Receivables</t>
  </si>
  <si>
    <t>Inventory</t>
  </si>
  <si>
    <t>Finance Div. Loans and Leases, ST</t>
  </si>
  <si>
    <t>Finance Div. Other Curr. Assets</t>
  </si>
  <si>
    <t>Other Current Assets</t>
  </si>
  <si>
    <t xml:space="preserve">  Total Current Assets</t>
  </si>
  <si>
    <t>Gross Property, Plant &amp; Equipment</t>
  </si>
  <si>
    <t>Accumulated Depreciation</t>
  </si>
  <si>
    <t xml:space="preserve">  Net Property, Plant &amp; Equipment</t>
  </si>
  <si>
    <t>Long-term Investments</t>
  </si>
  <si>
    <t>Other Intangibles</t>
  </si>
  <si>
    <t>Finance Div. Loans and Leases, LT</t>
  </si>
  <si>
    <t>Finance Div. Other LT Assets</t>
  </si>
  <si>
    <t>Accounts Receivable Long-Term</t>
  </si>
  <si>
    <t>Deferred Tax Assets, LT</t>
  </si>
  <si>
    <t>Other Long-Term Assets</t>
  </si>
  <si>
    <t>Total Assets</t>
  </si>
  <si>
    <t>LIABILITIES</t>
  </si>
  <si>
    <t>Accounts Payable</t>
  </si>
  <si>
    <t>Short-term Borrowings</t>
  </si>
  <si>
    <t>Curr. Port. of LT Debt</t>
  </si>
  <si>
    <t>Curr. Port. of Leases</t>
  </si>
  <si>
    <t>Finance Div. Other Curr. Liab.</t>
  </si>
  <si>
    <t>Curr. Income Taxes Payable</t>
  </si>
  <si>
    <t>Other Current Liabilities</t>
  </si>
  <si>
    <t xml:space="preserve">  Total Current Liabilities</t>
  </si>
  <si>
    <t>Long-Term Debt</t>
  </si>
  <si>
    <t>Long-Term Leases</t>
  </si>
  <si>
    <t>Finance Div. Other Non-Curr. Liab.</t>
  </si>
  <si>
    <t>Pension &amp; Other Post-Retire. Benefits</t>
  </si>
  <si>
    <t>Def. Tax Liability, Non-Curr.</t>
  </si>
  <si>
    <t>Other Non-Current Liabilities</t>
  </si>
  <si>
    <t>Total Liabilities</t>
  </si>
  <si>
    <t>Common Stock</t>
  </si>
  <si>
    <t>Additional Paid In Capital</t>
  </si>
  <si>
    <t>Retained Earnings</t>
  </si>
  <si>
    <t>Treasury Stock</t>
  </si>
  <si>
    <t>Comprehensive Inc. and Other</t>
  </si>
  <si>
    <t xml:space="preserve">  Total Common Equity</t>
  </si>
  <si>
    <t>Minority Interest</t>
  </si>
  <si>
    <t>Total Equity</t>
  </si>
  <si>
    <t>Total Liabilities And Equity</t>
  </si>
  <si>
    <t>Total Shares Out. on Filing Date</t>
  </si>
  <si>
    <t>Total Shares Out. on Balance Sheet Date</t>
  </si>
  <si>
    <t>Book Value/Share</t>
  </si>
  <si>
    <t>Tangible Book Value</t>
  </si>
  <si>
    <t>Tangible Book Value/Share</t>
  </si>
  <si>
    <t>Total Debt</t>
  </si>
  <si>
    <t>Net Debt</t>
  </si>
  <si>
    <t>Debt Equiv. of Unfunded Proj. Benefit Obligation</t>
  </si>
  <si>
    <t>Debt Equivalent Oper. Leases</t>
  </si>
  <si>
    <t>Total Minority Interest</t>
  </si>
  <si>
    <t>Equity Method Investments</t>
  </si>
  <si>
    <t>Inventory Method</t>
  </si>
  <si>
    <t>Avg Cost</t>
  </si>
  <si>
    <t>Work in Progress Inventory</t>
  </si>
  <si>
    <t>Finished Goods Inventory</t>
  </si>
  <si>
    <t>Land</t>
  </si>
  <si>
    <t>Machinery</t>
  </si>
  <si>
    <t>Construction in Progress</t>
  </si>
  <si>
    <t>Full Time Employees</t>
  </si>
  <si>
    <t>Note: For multiple class companies, total share counts are primary class equivalent, and for foreign companies listed as primary ADRs, total share counts are ADR-equivalent.</t>
  </si>
  <si>
    <t>Tesco PLC (LSE:TSCO) &gt; Financials &gt; Cash Flow</t>
  </si>
  <si>
    <t>Cash Flow</t>
  </si>
  <si>
    <t>Restated
12 months
Feb-29-2020</t>
  </si>
  <si>
    <t>Net Income</t>
  </si>
  <si>
    <t>Amort. of Goodwill and Intangibles</t>
  </si>
  <si>
    <t>Depreciation &amp; Amort., Total</t>
  </si>
  <si>
    <t>Other Amortization</t>
  </si>
  <si>
    <t>(Gain) Loss From Sale Of Assets</t>
  </si>
  <si>
    <t>(Gain) Loss On Sale Of Invest.</t>
  </si>
  <si>
    <t>Asset Writedown &amp; Restructuring Costs</t>
  </si>
  <si>
    <t>Stock-Based Compensation</t>
  </si>
  <si>
    <t>Net Cash From Discontinued Ops.</t>
  </si>
  <si>
    <t>Other Operating Activities</t>
  </si>
  <si>
    <t>Change in Acc. Receivable</t>
  </si>
  <si>
    <t>Change In Inventories</t>
  </si>
  <si>
    <t>Change in Acc. Payable</t>
  </si>
  <si>
    <t>Change in Other Net Operating Assets</t>
  </si>
  <si>
    <t xml:space="preserve">  Cash from Ops.</t>
  </si>
  <si>
    <t>Capital Expenditure</t>
  </si>
  <si>
    <t>Sale of Property, Plant, and Equipment</t>
  </si>
  <si>
    <t>Cash Acquisitions</t>
  </si>
  <si>
    <t>Divestitures</t>
  </si>
  <si>
    <t>Sale (Purchase) of Intangible assets</t>
  </si>
  <si>
    <t>Invest. in Marketable &amp; Equity Securt.</t>
  </si>
  <si>
    <t>Net (Inc.) Dec. in Loans Originated/Sold</t>
  </si>
  <si>
    <t>Other Investing Activities</t>
  </si>
  <si>
    <t xml:space="preserve">  Cash from Investing</t>
  </si>
  <si>
    <t>Short Term Debt Issued</t>
  </si>
  <si>
    <t>Long-Term Debt Issued</t>
  </si>
  <si>
    <t>Total Debt Issued</t>
  </si>
  <si>
    <t>Short Term Debt Repaid</t>
  </si>
  <si>
    <t>Long-Term Debt Repaid</t>
  </si>
  <si>
    <t>Total Debt Repaid</t>
  </si>
  <si>
    <t>Issuance of Common Stock</t>
  </si>
  <si>
    <t>Repurchase of Common Stock</t>
  </si>
  <si>
    <t>Common Dividends Paid</t>
  </si>
  <si>
    <t>Total Dividends Paid</t>
  </si>
  <si>
    <t>Special Dividend Paid</t>
  </si>
  <si>
    <t>Other Financing Activities</t>
  </si>
  <si>
    <t xml:space="preserve">  Cash from Financing</t>
  </si>
  <si>
    <t>Foreign Exchange Rate Adj.</t>
  </si>
  <si>
    <t>Misc. Cash Flow Adj.</t>
  </si>
  <si>
    <t xml:space="preserve">  Net Change in Cash</t>
  </si>
  <si>
    <t>Cash Interest Paid</t>
  </si>
  <si>
    <t>Cash Taxes Paid</t>
  </si>
  <si>
    <t>Levered Free Cash Flow</t>
  </si>
  <si>
    <t>Unlevered Free Cash Flow</t>
  </si>
  <si>
    <t>Change in Net Working Capital</t>
  </si>
  <si>
    <t>Net Debt Issued</t>
  </si>
  <si>
    <t>Net Cash From Discontinued Ops. - Investing</t>
  </si>
  <si>
    <t>DCF</t>
  </si>
  <si>
    <t>2018A</t>
  </si>
  <si>
    <t>2019A</t>
  </si>
  <si>
    <t>2020A</t>
  </si>
  <si>
    <t>2021A</t>
  </si>
  <si>
    <t>2022A</t>
  </si>
  <si>
    <t>2023E</t>
  </si>
  <si>
    <t>2024E</t>
  </si>
  <si>
    <t>2025E</t>
  </si>
  <si>
    <t>2026E</t>
  </si>
  <si>
    <t>2027E</t>
  </si>
  <si>
    <t>TV</t>
  </si>
  <si>
    <t>Free Cash Flow</t>
  </si>
  <si>
    <t>Discount Factor</t>
  </si>
  <si>
    <t>PV of Future Cash Flows</t>
  </si>
  <si>
    <t>Required Rate of Return</t>
  </si>
  <si>
    <t>Today's Value</t>
  </si>
  <si>
    <t xml:space="preserve">Shares Outstanding </t>
  </si>
  <si>
    <t>Intrinsic Value</t>
  </si>
  <si>
    <t>Free Cash Flow (Past)</t>
  </si>
  <si>
    <t>EBIT (Operating Income)</t>
  </si>
  <si>
    <t>Tax Rate</t>
  </si>
  <si>
    <t>Tax Expense</t>
  </si>
  <si>
    <t>Earnings Before Tax</t>
  </si>
  <si>
    <t>Effecitve Tax Rate</t>
  </si>
  <si>
    <t xml:space="preserve">Depreciation &amp; Amortization </t>
  </si>
  <si>
    <t>Change in NWC</t>
  </si>
  <si>
    <t>FCF</t>
  </si>
  <si>
    <t>Free Cash Flow (Projected)</t>
  </si>
  <si>
    <t>FCF/Net Income</t>
  </si>
  <si>
    <t>% growth</t>
  </si>
  <si>
    <t xml:space="preserve">Net Income Margin </t>
  </si>
  <si>
    <t>Free Cash Flow Rate</t>
  </si>
  <si>
    <t>Projected FCF</t>
  </si>
  <si>
    <t>Projected FCF (Capital IQ)</t>
  </si>
  <si>
    <t>WACC</t>
  </si>
  <si>
    <t>Weights</t>
  </si>
  <si>
    <t xml:space="preserve">Market Cap </t>
  </si>
  <si>
    <t>Total</t>
  </si>
  <si>
    <t>Wd</t>
  </si>
  <si>
    <t>We</t>
  </si>
  <si>
    <t xml:space="preserve">Debt </t>
  </si>
  <si>
    <t xml:space="preserve">Total Debt </t>
  </si>
  <si>
    <t>Total Debt  (Short + Long term)</t>
  </si>
  <si>
    <t>Rate</t>
  </si>
  <si>
    <t>Income Before Tax</t>
  </si>
  <si>
    <t>Income Tax Expensee</t>
  </si>
  <si>
    <t>Effective Tax Rate</t>
  </si>
  <si>
    <t>Rd(1-t)</t>
  </si>
  <si>
    <t xml:space="preserve">Equity </t>
  </si>
  <si>
    <t>Risk Free Rate</t>
  </si>
  <si>
    <t>Beta</t>
  </si>
  <si>
    <t>Market Rate</t>
  </si>
  <si>
    <t>Re</t>
  </si>
  <si>
    <t>Terminal Value</t>
  </si>
  <si>
    <t xml:space="preserve">Perpetuity Growth </t>
  </si>
  <si>
    <t>FCFn</t>
  </si>
  <si>
    <t>Growth Rate</t>
  </si>
  <si>
    <t>Perpetuity Growth  TV</t>
  </si>
  <si>
    <t>Exit Multiple</t>
  </si>
  <si>
    <t>EV/EBITDA Multiple</t>
  </si>
  <si>
    <t>Exit Multiple TV</t>
  </si>
  <si>
    <t>Average</t>
  </si>
  <si>
    <t>Current Price</t>
  </si>
  <si>
    <t>% difference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</si>
</sst>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164" formatCode="_(* #,##0.0_);_(* \(#,##0.0\)_)\ ;_(* 0_)"/>
    <numFmt numFmtId="165" formatCode="_(#,##0.0%_);_(\(#,##0.0%\)_);_(#,##0.0%_)"/>
    <numFmt numFmtId="166" formatCode="_(* #,##0.0#_);_(* \(#,##0.0#\)_)\ ;_(* 0_)"/>
    <numFmt numFmtId="167" formatCode="_(* #,##0.0##_);_(* \(#,##0.0##\)_)\ ;_(* 0_)"/>
    <numFmt numFmtId="168" formatCode="mmm\-dd\-yyyy"/>
    <numFmt numFmtId="169" formatCode="_(* #,##0_);_(* \(#,##0\)_)\ ;_(* 0_)"/>
    <numFmt numFmtId="170" formatCode="0.0%"/>
    <numFmt numFmtId="171" formatCode="0.0000000%"/>
    <numFmt numFmtId="172" formatCode="0.0"/>
    <numFmt numFmtId="173" formatCode="0.000"/>
  </numFmts>
  <fonts count="25" x14ac:knownFonts="1">
    <font>
      <sz val="10"/>
      <name val="Arial"/>
    </font>
    <font>
      <sz val="10"/>
      <name val="Arial"/>
    </font>
    <font>
      <sz val="8"/>
      <name val="Arial"/>
      <family val="2"/>
    </font>
    <font>
      <b/>
      <sz val="13"/>
      <color indexed="8"/>
      <name val="Verdana"/>
      <family val="2"/>
    </font>
    <font>
      <b/>
      <sz val="12"/>
      <color indexed="8"/>
      <name val="Verdana"/>
      <family val="2"/>
    </font>
    <font>
      <b/>
      <sz val="10"/>
      <color indexed="9"/>
      <name val="Arial"/>
      <family val="2"/>
    </font>
    <font>
      <b/>
      <u val="singleAccounting"/>
      <sz val="8"/>
      <color indexed="8"/>
      <name val="Verdana"/>
      <family val="2"/>
    </font>
    <font>
      <b/>
      <sz val="8"/>
      <color indexed="9"/>
      <name val="Verdana"/>
      <family val="2"/>
    </font>
    <font>
      <b/>
      <u val="singleAccounting"/>
      <sz val="8"/>
      <color indexed="8"/>
      <name val="Arial"/>
      <family val="2"/>
    </font>
    <font>
      <sz val="8"/>
      <color indexed="8"/>
      <name val="Arial"/>
      <family val="2"/>
    </font>
    <font>
      <vertAlign val="superscript"/>
      <sz val="8"/>
      <color indexed="8"/>
      <name val="Arial"/>
      <family val="2"/>
    </font>
    <font>
      <vertAlign val="subscript"/>
      <sz val="8"/>
      <color indexed="8"/>
      <name val="Arial"/>
      <family val="2"/>
    </font>
    <font>
      <b/>
      <sz val="8"/>
      <color indexed="8"/>
      <name val="Arial"/>
      <family val="2"/>
    </font>
    <font>
      <i/>
      <sz val="8"/>
      <color indexed="8"/>
      <name val="Arial"/>
      <family val="2"/>
    </font>
    <font>
      <sz val="1"/>
      <color indexed="9"/>
      <name val="Symbol"/>
      <family val="1"/>
      <charset val="2"/>
    </font>
    <font>
      <sz val="10"/>
      <color indexed="8"/>
      <name val="Arial"/>
      <family val="2"/>
    </font>
    <font>
      <b/>
      <sz val="8"/>
      <color indexed="8"/>
      <name val="Verdana"/>
      <family val="2"/>
    </font>
    <font>
      <i/>
      <sz val="8"/>
      <name val="Arial"/>
      <family val="2"/>
    </font>
    <font>
      <b/>
      <sz val="8"/>
      <name val="Arial"/>
      <family val="2"/>
    </font>
    <font>
      <b/>
      <i/>
      <sz val="8"/>
      <color indexed="8"/>
      <name val="Arial"/>
      <family val="2"/>
    </font>
    <font>
      <b/>
      <u val="double"/>
      <sz val="8"/>
      <color indexed="8"/>
      <name val="Arial"/>
      <family val="2"/>
    </font>
    <font>
      <b/>
      <u/>
      <sz val="8"/>
      <color indexed="8"/>
      <name val="Arial"/>
      <family val="2"/>
    </font>
    <font>
      <sz val="10"/>
      <name val="Arial"/>
      <family val="2"/>
    </font>
    <font>
      <b/>
      <sz val="8"/>
      <color theme="0"/>
      <name val="Arial"/>
      <family val="2"/>
    </font>
    <font>
      <u/>
      <sz val="10"/>
      <color theme="1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63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56"/>
        <bgColor indexed="64"/>
      </patternFill>
    </fill>
    <fill>
      <patternFill patternType="solid">
        <fgColor indexed="6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0070C0"/>
        <bgColor indexed="64"/>
      </patternFill>
    </fill>
  </fills>
  <borders count="7">
    <border>
      <left/>
      <right/>
      <top/>
      <bottom/>
      <diagonal/>
    </border>
    <border>
      <left/>
      <right/>
      <top style="thin">
        <color indexed="8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18">
    <xf numFmtId="0" fontId="0" fillId="0" borderId="0"/>
    <xf numFmtId="9" fontId="1" fillId="0" borderId="0" applyFont="0" applyFill="0" applyBorder="0" applyAlignment="0" applyProtection="0"/>
    <xf numFmtId="0" fontId="3" fillId="0" borderId="0" applyAlignment="0"/>
    <xf numFmtId="0" fontId="4" fillId="0" borderId="0" applyAlignment="0"/>
    <xf numFmtId="0" fontId="5" fillId="2" borderId="0" applyAlignment="0"/>
    <xf numFmtId="0" fontId="6" fillId="3" borderId="0" applyAlignment="0"/>
    <xf numFmtId="0" fontId="7" fillId="4" borderId="0" applyAlignment="0"/>
    <xf numFmtId="0" fontId="8" fillId="5" borderId="0" applyAlignment="0"/>
    <xf numFmtId="0" fontId="9" fillId="0" borderId="0" applyAlignment="0"/>
    <xf numFmtId="0" fontId="10" fillId="0" borderId="0" applyAlignment="0"/>
    <xf numFmtId="0" fontId="11" fillId="0" borderId="0" applyAlignment="0"/>
    <xf numFmtId="0" fontId="12" fillId="0" borderId="0" applyAlignment="0"/>
    <xf numFmtId="0" fontId="13" fillId="0" borderId="0" applyAlignment="0"/>
    <xf numFmtId="0" fontId="12" fillId="0" borderId="0" applyAlignment="0">
      <alignment wrapText="1"/>
    </xf>
    <xf numFmtId="0" fontId="14" fillId="0" borderId="0" applyAlignment="0"/>
    <xf numFmtId="0" fontId="15" fillId="0" borderId="0" applyAlignment="0"/>
    <xf numFmtId="0" fontId="16" fillId="0" borderId="0" applyAlignment="0"/>
    <xf numFmtId="0" fontId="24" fillId="0" borderId="0" applyNumberFormat="0" applyFill="0" applyBorder="0" applyAlignment="0" applyProtection="0"/>
  </cellStyleXfs>
  <cellXfs count="64">
    <xf numFmtId="0" fontId="2" fillId="0" borderId="0" xfId="0" applyFont="1"/>
    <xf numFmtId="0" fontId="3" fillId="0" borderId="0" xfId="0" applyFont="1"/>
    <xf numFmtId="0" fontId="17" fillId="0" borderId="0" xfId="0" applyFont="1" applyAlignment="1">
      <alignment wrapText="1"/>
    </xf>
    <xf numFmtId="0" fontId="18" fillId="0" borderId="0" xfId="0" applyFont="1"/>
    <xf numFmtId="0" fontId="9" fillId="0" borderId="0" xfId="0" applyFont="1" applyAlignment="1">
      <alignment horizontal="left" vertical="top"/>
    </xf>
    <xf numFmtId="49" fontId="2" fillId="0" borderId="0" xfId="0" applyNumberFormat="1" applyFont="1"/>
    <xf numFmtId="0" fontId="7" fillId="4" borderId="0" xfId="0" applyFont="1" applyFill="1"/>
    <xf numFmtId="0" fontId="12" fillId="5" borderId="0" xfId="0" applyFont="1" applyFill="1" applyAlignment="1">
      <alignment wrapText="1"/>
    </xf>
    <xf numFmtId="0" fontId="19" fillId="5" borderId="0" xfId="0" applyFont="1" applyFill="1" applyAlignment="1">
      <alignment wrapText="1"/>
    </xf>
    <xf numFmtId="0" fontId="12" fillId="0" borderId="0" xfId="0" applyFont="1" applyAlignment="1">
      <alignment horizontal="left" vertical="top"/>
    </xf>
    <xf numFmtId="0" fontId="2" fillId="0" borderId="0" xfId="0" applyFont="1" applyAlignment="1">
      <alignment vertical="top" wrapText="1"/>
    </xf>
    <xf numFmtId="0" fontId="12" fillId="5" borderId="0" xfId="0" applyFont="1" applyFill="1" applyAlignment="1">
      <alignment horizontal="right" wrapText="1"/>
    </xf>
    <xf numFmtId="0" fontId="19" fillId="5" borderId="0" xfId="0" applyFont="1" applyFill="1" applyAlignment="1">
      <alignment horizontal="right" wrapText="1"/>
    </xf>
    <xf numFmtId="164" fontId="12" fillId="0" borderId="0" xfId="0" applyNumberFormat="1" applyFont="1" applyAlignment="1">
      <alignment horizontal="right" vertical="top" wrapText="1"/>
    </xf>
    <xf numFmtId="49" fontId="9" fillId="0" borderId="0" xfId="0" applyNumberFormat="1" applyFont="1" applyAlignment="1">
      <alignment horizontal="right" vertical="top" wrapText="1"/>
    </xf>
    <xf numFmtId="164" fontId="9" fillId="0" borderId="0" xfId="0" applyNumberFormat="1" applyFont="1" applyAlignment="1">
      <alignment horizontal="right" vertical="top" wrapText="1"/>
    </xf>
    <xf numFmtId="166" fontId="9" fillId="0" borderId="0" xfId="0" applyNumberFormat="1" applyFont="1" applyAlignment="1">
      <alignment horizontal="right" vertical="top" wrapText="1"/>
    </xf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horizontal="left" vertical="center"/>
    </xf>
    <xf numFmtId="164" fontId="12" fillId="0" borderId="1" xfId="0" applyNumberFormat="1" applyFont="1" applyBorder="1" applyAlignment="1">
      <alignment horizontal="right" vertical="top" wrapText="1"/>
    </xf>
    <xf numFmtId="164" fontId="20" fillId="0" borderId="1" xfId="0" applyNumberFormat="1" applyFont="1" applyBorder="1" applyAlignment="1">
      <alignment horizontal="right" vertical="top" wrapText="1"/>
    </xf>
    <xf numFmtId="165" fontId="9" fillId="0" borderId="0" xfId="0" applyNumberFormat="1" applyFont="1" applyAlignment="1">
      <alignment horizontal="right" vertical="top" wrapText="1"/>
    </xf>
    <xf numFmtId="167" fontId="9" fillId="0" borderId="0" xfId="0" applyNumberFormat="1" applyFont="1" applyAlignment="1">
      <alignment horizontal="right" vertical="top" wrapText="1"/>
    </xf>
    <xf numFmtId="168" fontId="9" fillId="0" borderId="0" xfId="0" applyNumberFormat="1" applyFont="1" applyAlignment="1">
      <alignment horizontal="right" vertical="top" wrapText="1"/>
    </xf>
    <xf numFmtId="164" fontId="21" fillId="0" borderId="0" xfId="0" applyNumberFormat="1" applyFont="1" applyAlignment="1">
      <alignment horizontal="right" vertical="top" wrapText="1"/>
    </xf>
    <xf numFmtId="164" fontId="20" fillId="0" borderId="0" xfId="0" applyNumberFormat="1" applyFont="1" applyAlignment="1">
      <alignment horizontal="right" vertical="top" wrapText="1"/>
    </xf>
    <xf numFmtId="169" fontId="9" fillId="0" borderId="0" xfId="0" applyNumberFormat="1" applyFont="1" applyAlignment="1">
      <alignment horizontal="right" vertical="top" wrapText="1"/>
    </xf>
    <xf numFmtId="168" fontId="12" fillId="5" borderId="0" xfId="0" applyNumberFormat="1" applyFont="1" applyFill="1" applyAlignment="1">
      <alignment horizontal="right" wrapText="1"/>
    </xf>
    <xf numFmtId="0" fontId="9" fillId="0" borderId="0" xfId="0" applyFont="1" applyAlignment="1">
      <alignment horizontal="center" vertical="center" wrapText="1"/>
    </xf>
    <xf numFmtId="0" fontId="14" fillId="0" borderId="0" xfId="14" applyAlignment="1"/>
    <xf numFmtId="9" fontId="2" fillId="0" borderId="0" xfId="1" applyFont="1"/>
    <xf numFmtId="0" fontId="2" fillId="0" borderId="2" xfId="0" applyFont="1" applyBorder="1"/>
    <xf numFmtId="0" fontId="23" fillId="6" borderId="0" xfId="0" applyFont="1" applyFill="1"/>
    <xf numFmtId="0" fontId="18" fillId="0" borderId="2" xfId="0" applyFont="1" applyBorder="1"/>
    <xf numFmtId="0" fontId="23" fillId="6" borderId="0" xfId="0" applyFont="1" applyFill="1" applyAlignment="1">
      <alignment horizontal="center"/>
    </xf>
    <xf numFmtId="0" fontId="23" fillId="7" borderId="0" xfId="0" applyFont="1" applyFill="1" applyAlignment="1">
      <alignment horizontal="center"/>
    </xf>
    <xf numFmtId="0" fontId="17" fillId="0" borderId="0" xfId="0" applyFont="1"/>
    <xf numFmtId="9" fontId="17" fillId="0" borderId="0" xfId="1" applyFont="1"/>
    <xf numFmtId="170" fontId="2" fillId="0" borderId="0" xfId="1" applyNumberFormat="1" applyFont="1"/>
    <xf numFmtId="10" fontId="2" fillId="0" borderId="0" xfId="1" applyNumberFormat="1" applyFont="1"/>
    <xf numFmtId="10" fontId="17" fillId="0" borderId="0" xfId="1" applyNumberFormat="1" applyFont="1"/>
    <xf numFmtId="170" fontId="17" fillId="0" borderId="0" xfId="1" applyNumberFormat="1" applyFont="1"/>
    <xf numFmtId="171" fontId="2" fillId="0" borderId="0" xfId="0" applyNumberFormat="1" applyFont="1"/>
    <xf numFmtId="0" fontId="23" fillId="0" borderId="0" xfId="0" applyFont="1" applyAlignment="1">
      <alignment horizontal="center"/>
    </xf>
    <xf numFmtId="4" fontId="22" fillId="0" borderId="0" xfId="17" applyNumberFormat="1" applyFont="1" applyFill="1" applyBorder="1" applyAlignment="1">
      <alignment horizontal="right" vertical="center" wrapText="1"/>
    </xf>
    <xf numFmtId="10" fontId="18" fillId="0" borderId="3" xfId="1" applyNumberFormat="1" applyFont="1" applyBorder="1"/>
    <xf numFmtId="171" fontId="18" fillId="0" borderId="3" xfId="0" applyNumberFormat="1" applyFont="1" applyBorder="1"/>
    <xf numFmtId="170" fontId="18" fillId="0" borderId="3" xfId="1" applyNumberFormat="1" applyFont="1" applyBorder="1"/>
    <xf numFmtId="170" fontId="18" fillId="0" borderId="4" xfId="1" applyNumberFormat="1" applyFont="1" applyBorder="1"/>
    <xf numFmtId="10" fontId="2" fillId="0" borderId="0" xfId="0" applyNumberFormat="1" applyFont="1"/>
    <xf numFmtId="4" fontId="2" fillId="0" borderId="0" xfId="0" applyNumberFormat="1" applyFont="1"/>
    <xf numFmtId="2" fontId="2" fillId="0" borderId="0" xfId="0" applyNumberFormat="1" applyFont="1"/>
    <xf numFmtId="172" fontId="2" fillId="0" borderId="0" xfId="0" applyNumberFormat="1" applyFont="1"/>
    <xf numFmtId="173" fontId="2" fillId="0" borderId="0" xfId="0" applyNumberFormat="1" applyFont="1"/>
    <xf numFmtId="0" fontId="2" fillId="0" borderId="0" xfId="0" applyFont="1" applyFill="1"/>
    <xf numFmtId="0" fontId="24" fillId="0" borderId="0" xfId="17" applyFill="1" applyBorder="1" applyAlignment="1">
      <alignment horizontal="right" vertical="center" wrapText="1"/>
    </xf>
    <xf numFmtId="0" fontId="2" fillId="0" borderId="0" xfId="0" applyFont="1" applyFill="1" applyBorder="1"/>
    <xf numFmtId="0" fontId="22" fillId="0" borderId="0" xfId="17" applyFont="1" applyFill="1" applyBorder="1" applyAlignment="1">
      <alignment horizontal="right" vertical="center" wrapText="1"/>
    </xf>
    <xf numFmtId="0" fontId="23" fillId="7" borderId="5" xfId="0" applyFont="1" applyFill="1" applyBorder="1" applyAlignment="1">
      <alignment horizontal="center"/>
    </xf>
    <xf numFmtId="0" fontId="2" fillId="0" borderId="5" xfId="0" applyFont="1" applyBorder="1"/>
    <xf numFmtId="10" fontId="17" fillId="0" borderId="5" xfId="1" applyNumberFormat="1" applyFont="1" applyBorder="1"/>
    <xf numFmtId="9" fontId="17" fillId="0" borderId="5" xfId="1" applyFont="1" applyBorder="1"/>
    <xf numFmtId="10" fontId="18" fillId="0" borderId="6" xfId="0" applyNumberFormat="1" applyFont="1" applyBorder="1"/>
    <xf numFmtId="2" fontId="2" fillId="0" borderId="6" xfId="0" applyNumberFormat="1" applyFont="1" applyBorder="1"/>
  </cellXfs>
  <cellStyles count="21">
    <cellStyle name="ChartingText" xfId="15" xr:uid="{00000000-0005-0000-0000-000000000000}"/>
    <cellStyle name="CHPAboveAverage" xfId="16" xr:uid="{00000000-0005-0000-0000-000001000000}"/>
    <cellStyle name="CHPBelowAverage" xfId="16" xr:uid="{00000000-0005-0000-0000-000002000000}"/>
    <cellStyle name="CHPBottom" xfId="16" xr:uid="{00000000-0005-0000-0000-000003000000}"/>
    <cellStyle name="CHPTop" xfId="16" xr:uid="{00000000-0005-0000-0000-000004000000}"/>
    <cellStyle name="ColumnHeaderNormal" xfId="7" xr:uid="{00000000-0005-0000-0000-000005000000}"/>
    <cellStyle name="Hyperlink" xfId="17" builtinId="8"/>
    <cellStyle name="Invisible" xfId="14" xr:uid="{00000000-0005-0000-0000-000007000000}"/>
    <cellStyle name="NewColumnHeaderNormal" xfId="5" xr:uid="{00000000-0005-0000-0000-000008000000}"/>
    <cellStyle name="NewSectionHeaderNormal" xfId="4" xr:uid="{00000000-0005-0000-0000-000009000000}"/>
    <cellStyle name="NewTitleNormal" xfId="3" xr:uid="{00000000-0005-0000-0000-00000A000000}"/>
    <cellStyle name="Normal" xfId="0" builtinId="0"/>
    <cellStyle name="Percent" xfId="1" builtinId="5"/>
    <cellStyle name="SectionHeaderNormal" xfId="6" xr:uid="{00000000-0005-0000-0000-00000D000000}"/>
    <cellStyle name="SubScript" xfId="10" xr:uid="{00000000-0005-0000-0000-00000E000000}"/>
    <cellStyle name="SuperScript" xfId="9" xr:uid="{00000000-0005-0000-0000-00000F000000}"/>
    <cellStyle name="TextBold" xfId="11" xr:uid="{00000000-0005-0000-0000-000010000000}"/>
    <cellStyle name="TextItalic" xfId="12" xr:uid="{00000000-0005-0000-0000-000011000000}"/>
    <cellStyle name="TextNormal" xfId="8" xr:uid="{00000000-0005-0000-0000-000012000000}"/>
    <cellStyle name="TitleNormal" xfId="2" xr:uid="{00000000-0005-0000-0000-000013000000}"/>
    <cellStyle name="Total" xfId="13" builtinId="25" customBuiltin="1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FA4040"/>
      <rgbColor rgb="00FFFFEB"/>
      <rgbColor rgb="00EEEEEE"/>
      <rgbColor rgb="00F0F0DC"/>
      <rgbColor rgb="00993366"/>
      <rgbColor rgb="00F5F5E1"/>
      <rgbColor rgb="00004080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958850</xdr:colOff>
      <xdr:row>2</xdr:row>
      <xdr:rowOff>88900</xdr:rowOff>
    </xdr:to>
    <xdr:pic>
      <xdr:nvPicPr>
        <xdr:cNvPr id="3074" name="Picture 2">
          <a:extLst>
            <a:ext uri="{FF2B5EF4-FFF2-40B4-BE49-F238E27FC236}">
              <a16:creationId xmlns:a16="http://schemas.microsoft.com/office/drawing/2014/main" id="{03B5F209-2214-0858-9F70-BF13EA2CD9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95885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958850</xdr:colOff>
      <xdr:row>2</xdr:row>
      <xdr:rowOff>88900</xdr:rowOff>
    </xdr:to>
    <xdr:pic>
      <xdr:nvPicPr>
        <xdr:cNvPr id="5122" name="Picture 2">
          <a:extLst>
            <a:ext uri="{FF2B5EF4-FFF2-40B4-BE49-F238E27FC236}">
              <a16:creationId xmlns:a16="http://schemas.microsoft.com/office/drawing/2014/main" id="{0E4543DF-1A95-A6F2-BAB8-A870C24956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95885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958850</xdr:colOff>
      <xdr:row>2</xdr:row>
      <xdr:rowOff>88900</xdr:rowOff>
    </xdr:to>
    <xdr:pic>
      <xdr:nvPicPr>
        <xdr:cNvPr id="7170" name="Picture 2">
          <a:extLst>
            <a:ext uri="{FF2B5EF4-FFF2-40B4-BE49-F238E27FC236}">
              <a16:creationId xmlns:a16="http://schemas.microsoft.com/office/drawing/2014/main" id="{997B79FA-C5CC-6DF4-E220-B80EC9FEE0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95885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410000" mc:Ignorable="a14" a14:legacySpreadsheetColorIndex="65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wrap="none" lIns="18288" tIns="0" rIns="0" bIns="0" upright="1">
        <a:spAutoFit/>
      </a:bodyPr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410000" mc:Ignorable="a14" a14:legacySpreadsheetColorIndex="65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wrap="none" lIns="18288" tIns="0" rIns="0" bIns="0" upright="1">
        <a:spAutoFit/>
      </a:bodyPr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5:IU119"/>
  <sheetViews>
    <sheetView topLeftCell="A30" workbookViewId="0">
      <selection activeCell="A54" sqref="A54"/>
    </sheetView>
  </sheetViews>
  <sheetFormatPr defaultRowHeight="10" x14ac:dyDescent="0.2"/>
  <cols>
    <col min="1" max="1" width="45.81640625" customWidth="1"/>
    <col min="2" max="7" width="14.81640625" customWidth="1"/>
  </cols>
  <sheetData>
    <row r="5" spans="1:255" ht="17" x14ac:dyDescent="0.35">
      <c r="A5" s="1" t="s">
        <v>0</v>
      </c>
    </row>
    <row r="7" spans="1:255" ht="10.5" x14ac:dyDescent="0.25">
      <c r="A7" s="2" t="s">
        <v>1</v>
      </c>
      <c r="B7" s="3" t="s">
        <v>2</v>
      </c>
      <c r="C7" t="s">
        <v>3</v>
      </c>
      <c r="D7" s="4" t="s">
        <v>4</v>
      </c>
      <c r="E7" s="3" t="s">
        <v>5</v>
      </c>
      <c r="F7" t="s">
        <v>6</v>
      </c>
    </row>
    <row r="8" spans="1:255" ht="10.5" x14ac:dyDescent="0.25">
      <c r="A8" s="4"/>
      <c r="B8" s="3" t="s">
        <v>7</v>
      </c>
      <c r="C8" t="s">
        <v>8</v>
      </c>
      <c r="D8" s="4" t="s">
        <v>4</v>
      </c>
      <c r="E8" s="3" t="s">
        <v>9</v>
      </c>
      <c r="F8" t="s">
        <v>10</v>
      </c>
    </row>
    <row r="9" spans="1:255" ht="10.5" x14ac:dyDescent="0.25">
      <c r="A9" s="4"/>
      <c r="B9" s="3" t="s">
        <v>11</v>
      </c>
      <c r="C9" t="s">
        <v>12</v>
      </c>
      <c r="D9" s="4" t="s">
        <v>4</v>
      </c>
      <c r="E9" s="3" t="s">
        <v>13</v>
      </c>
      <c r="F9" t="s">
        <v>14</v>
      </c>
    </row>
    <row r="10" spans="1:255" ht="10.5" x14ac:dyDescent="0.25">
      <c r="A10" s="4"/>
      <c r="B10" s="3" t="s">
        <v>15</v>
      </c>
      <c r="C10" t="s">
        <v>16</v>
      </c>
      <c r="D10" s="4" t="s">
        <v>4</v>
      </c>
      <c r="E10" s="3" t="s">
        <v>17</v>
      </c>
      <c r="F10" s="5" t="s">
        <v>18</v>
      </c>
    </row>
    <row r="11" spans="1:255" ht="10.5" x14ac:dyDescent="0.25">
      <c r="A11" s="4"/>
      <c r="B11" s="3" t="s">
        <v>19</v>
      </c>
      <c r="C11" t="s">
        <v>20</v>
      </c>
      <c r="D11" s="4" t="s">
        <v>4</v>
      </c>
      <c r="E11" s="18"/>
      <c r="F11" s="18"/>
    </row>
    <row r="14" spans="1:255" x14ac:dyDescent="0.2">
      <c r="A14" s="6" t="s">
        <v>21</v>
      </c>
      <c r="B14" s="6"/>
      <c r="C14" s="6"/>
      <c r="D14" s="6"/>
      <c r="E14" s="6"/>
      <c r="F14" s="6"/>
      <c r="G14" s="6"/>
      <c r="H14" s="29"/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  <c r="AR14" s="29"/>
      <c r="AS14" s="29"/>
      <c r="AT14" s="29"/>
      <c r="AU14" s="29"/>
      <c r="AV14" s="29"/>
      <c r="AW14" s="29"/>
      <c r="AX14" s="29"/>
      <c r="AY14" s="29"/>
      <c r="AZ14" s="29"/>
      <c r="BA14" s="29"/>
      <c r="BB14" s="29"/>
      <c r="BC14" s="29"/>
      <c r="BD14" s="29"/>
      <c r="BE14" s="29"/>
      <c r="BF14" s="29"/>
      <c r="BG14" s="29"/>
      <c r="BH14" s="29"/>
      <c r="BI14" s="29"/>
      <c r="BJ14" s="29"/>
      <c r="BK14" s="29"/>
      <c r="BL14" s="29"/>
      <c r="BM14" s="29"/>
      <c r="BN14" s="29"/>
      <c r="BO14" s="29"/>
      <c r="BP14" s="29"/>
      <c r="BQ14" s="29"/>
      <c r="BR14" s="29"/>
      <c r="BS14" s="29"/>
      <c r="BT14" s="29"/>
      <c r="BU14" s="29"/>
      <c r="BV14" s="29"/>
      <c r="BW14" s="29"/>
      <c r="BX14" s="29"/>
      <c r="BY14" s="29"/>
      <c r="BZ14" s="29"/>
      <c r="CA14" s="29"/>
      <c r="CB14" s="29"/>
      <c r="CC14" s="29"/>
      <c r="CD14" s="29"/>
      <c r="CE14" s="29"/>
      <c r="CF14" s="29"/>
      <c r="CG14" s="29"/>
      <c r="CH14" s="29"/>
      <c r="CI14" s="29"/>
      <c r="CJ14" s="29"/>
      <c r="CK14" s="29"/>
      <c r="CL14" s="29"/>
      <c r="CM14" s="29"/>
      <c r="CN14" s="29"/>
      <c r="CO14" s="29"/>
      <c r="CP14" s="29"/>
      <c r="CQ14" s="29"/>
      <c r="CR14" s="29"/>
      <c r="CS14" s="29"/>
      <c r="CT14" s="29"/>
      <c r="CU14" s="29"/>
      <c r="CV14" s="29"/>
      <c r="CW14" s="29"/>
      <c r="CX14" s="29"/>
      <c r="CY14" s="29"/>
      <c r="CZ14" s="29"/>
      <c r="DA14" s="29"/>
      <c r="DB14" s="29"/>
      <c r="DC14" s="29"/>
      <c r="DD14" s="29"/>
      <c r="DE14" s="29"/>
      <c r="DF14" s="29"/>
      <c r="DG14" s="29"/>
      <c r="DH14" s="29"/>
      <c r="DI14" s="29"/>
      <c r="DJ14" s="29"/>
      <c r="DK14" s="29"/>
      <c r="DL14" s="29"/>
      <c r="DM14" s="29"/>
      <c r="DN14" s="29"/>
      <c r="DO14" s="29"/>
      <c r="DP14" s="29"/>
      <c r="DQ14" s="29"/>
      <c r="DR14" s="29"/>
      <c r="DS14" s="29"/>
      <c r="DT14" s="29"/>
      <c r="DU14" s="29"/>
      <c r="DV14" s="29"/>
      <c r="DW14" s="29"/>
      <c r="DX14" s="29"/>
      <c r="DY14" s="29"/>
      <c r="DZ14" s="29"/>
      <c r="EA14" s="29"/>
      <c r="EB14" s="29"/>
      <c r="EC14" s="29"/>
      <c r="ED14" s="29"/>
      <c r="EE14" s="29"/>
      <c r="EF14" s="29"/>
      <c r="EG14" s="29"/>
      <c r="EH14" s="29"/>
      <c r="EI14" s="29"/>
      <c r="EJ14" s="29"/>
      <c r="EK14" s="29"/>
      <c r="EL14" s="29"/>
      <c r="EM14" s="29"/>
      <c r="EN14" s="29"/>
      <c r="EO14" s="29"/>
      <c r="EP14" s="29"/>
      <c r="EQ14" s="29"/>
      <c r="ER14" s="29"/>
      <c r="ES14" s="29"/>
      <c r="ET14" s="29"/>
      <c r="EU14" s="29"/>
      <c r="EV14" s="29"/>
      <c r="EW14" s="29"/>
      <c r="EX14" s="29"/>
      <c r="EY14" s="29"/>
      <c r="EZ14" s="29"/>
      <c r="FA14" s="29"/>
      <c r="FB14" s="29"/>
      <c r="FC14" s="29"/>
      <c r="FD14" s="29"/>
      <c r="FE14" s="29"/>
      <c r="FF14" s="29"/>
      <c r="FG14" s="29"/>
      <c r="FH14" s="29"/>
      <c r="FI14" s="29"/>
      <c r="FJ14" s="29"/>
      <c r="FK14" s="29"/>
      <c r="FL14" s="29"/>
      <c r="FM14" s="29"/>
      <c r="FN14" s="29"/>
      <c r="FO14" s="29"/>
      <c r="FP14" s="29"/>
      <c r="FQ14" s="29"/>
      <c r="FR14" s="29"/>
      <c r="FS14" s="29"/>
      <c r="FT14" s="29"/>
      <c r="FU14" s="29"/>
      <c r="FV14" s="29"/>
      <c r="FW14" s="29"/>
      <c r="FX14" s="29"/>
      <c r="FY14" s="29"/>
      <c r="FZ14" s="29"/>
      <c r="GA14" s="29"/>
      <c r="GB14" s="29"/>
      <c r="GC14" s="29"/>
      <c r="GD14" s="29"/>
      <c r="GE14" s="29"/>
      <c r="GF14" s="29"/>
      <c r="GG14" s="29"/>
      <c r="GH14" s="29"/>
      <c r="GI14" s="29"/>
      <c r="GJ14" s="29"/>
      <c r="GK14" s="29"/>
      <c r="GL14" s="29"/>
      <c r="GM14" s="29"/>
      <c r="GN14" s="29"/>
      <c r="GO14" s="29"/>
      <c r="GP14" s="29"/>
      <c r="GQ14" s="29"/>
      <c r="GR14" s="29"/>
      <c r="GS14" s="29"/>
      <c r="GT14" s="29"/>
      <c r="GU14" s="29"/>
      <c r="GV14" s="29"/>
      <c r="GW14" s="29"/>
      <c r="GX14" s="29"/>
      <c r="GY14" s="29"/>
      <c r="GZ14" s="29"/>
      <c r="HA14" s="29"/>
      <c r="HB14" s="29"/>
      <c r="HC14" s="29"/>
      <c r="HD14" s="29"/>
      <c r="HE14" s="29"/>
      <c r="HF14" s="29"/>
      <c r="HG14" s="29"/>
      <c r="HH14" s="29"/>
      <c r="HI14" s="29"/>
      <c r="HJ14" s="29"/>
      <c r="HK14" s="29"/>
      <c r="HL14" s="29"/>
      <c r="HM14" s="29"/>
      <c r="HN14" s="29"/>
      <c r="HO14" s="29"/>
      <c r="HP14" s="29"/>
      <c r="HQ14" s="29"/>
      <c r="HR14" s="29"/>
      <c r="HS14" s="29"/>
      <c r="HT14" s="29"/>
      <c r="HU14" s="29"/>
      <c r="HV14" s="29"/>
      <c r="HW14" s="29"/>
      <c r="HX14" s="29"/>
      <c r="HY14" s="29"/>
      <c r="HZ14" s="29"/>
      <c r="IA14" s="29"/>
      <c r="IB14" s="29"/>
      <c r="IC14" s="29"/>
      <c r="ID14" s="29"/>
      <c r="IE14" s="29"/>
      <c r="IF14" s="29"/>
      <c r="IG14" s="29"/>
      <c r="IH14" s="29"/>
      <c r="II14" s="29"/>
      <c r="IJ14" s="29"/>
      <c r="IK14" s="29"/>
      <c r="IL14" s="29"/>
      <c r="IM14" s="29"/>
      <c r="IN14" s="29"/>
      <c r="IO14" s="29"/>
      <c r="IP14" s="29"/>
      <c r="IQ14" s="29"/>
      <c r="IR14" s="29"/>
      <c r="IS14" s="29"/>
      <c r="IT14" s="29"/>
      <c r="IU14" s="29"/>
    </row>
    <row r="15" spans="1:255" ht="31.5" x14ac:dyDescent="0.25">
      <c r="A15" s="7" t="s">
        <v>22</v>
      </c>
      <c r="B15" s="11" t="s">
        <v>23</v>
      </c>
      <c r="C15" s="11" t="s">
        <v>24</v>
      </c>
      <c r="D15" s="11" t="s">
        <v>25</v>
      </c>
      <c r="E15" s="11" t="s">
        <v>26</v>
      </c>
      <c r="F15" s="11" t="s">
        <v>27</v>
      </c>
      <c r="G15" s="11" t="s">
        <v>28</v>
      </c>
    </row>
    <row r="16" spans="1:255" x14ac:dyDescent="0.2">
      <c r="A16" s="8" t="s">
        <v>29</v>
      </c>
      <c r="B16" s="12" t="s">
        <v>30</v>
      </c>
      <c r="C16" s="12" t="s">
        <v>30</v>
      </c>
      <c r="D16" s="12" t="s">
        <v>30</v>
      </c>
      <c r="E16" s="12" t="s">
        <v>30</v>
      </c>
      <c r="F16" s="12" t="s">
        <v>30</v>
      </c>
      <c r="G16" s="12" t="s">
        <v>30</v>
      </c>
    </row>
    <row r="17" spans="1:7" ht="10.5" x14ac:dyDescent="0.2">
      <c r="A17" s="9" t="s">
        <v>31</v>
      </c>
      <c r="B17" s="4"/>
      <c r="C17" s="4"/>
      <c r="D17" s="4"/>
      <c r="E17" s="4"/>
      <c r="F17" s="4"/>
      <c r="G17" s="4"/>
    </row>
    <row r="18" spans="1:7" x14ac:dyDescent="0.2">
      <c r="A18" s="4" t="s">
        <v>32</v>
      </c>
      <c r="B18" s="15">
        <v>56446</v>
      </c>
      <c r="C18" s="15">
        <v>62814</v>
      </c>
      <c r="D18" s="15">
        <v>57023</v>
      </c>
      <c r="E18" s="15">
        <v>57152</v>
      </c>
      <c r="F18" s="15">
        <v>60661</v>
      </c>
      <c r="G18" s="15">
        <v>62594</v>
      </c>
    </row>
    <row r="19" spans="1:7" x14ac:dyDescent="0.2">
      <c r="A19" s="4" t="s">
        <v>33</v>
      </c>
      <c r="B19" s="15">
        <v>1047</v>
      </c>
      <c r="C19" s="15">
        <v>1097</v>
      </c>
      <c r="D19" s="15">
        <v>1068</v>
      </c>
      <c r="E19" s="15">
        <v>735</v>
      </c>
      <c r="F19" s="15">
        <v>683</v>
      </c>
      <c r="G19" s="15">
        <v>790</v>
      </c>
    </row>
    <row r="20" spans="1:7" x14ac:dyDescent="0.2">
      <c r="A20" s="4" t="s">
        <v>34</v>
      </c>
      <c r="B20" s="15" t="s">
        <v>35</v>
      </c>
      <c r="C20" s="15" t="s">
        <v>35</v>
      </c>
      <c r="D20" s="15" t="s">
        <v>35</v>
      </c>
      <c r="E20" s="15" t="s">
        <v>35</v>
      </c>
      <c r="F20" s="15" t="s">
        <v>35</v>
      </c>
      <c r="G20" s="15" t="s">
        <v>35</v>
      </c>
    </row>
    <row r="21" spans="1:7" ht="10.5" x14ac:dyDescent="0.2">
      <c r="A21" s="9" t="s">
        <v>36</v>
      </c>
      <c r="B21" s="19">
        <v>57493</v>
      </c>
      <c r="C21" s="19">
        <v>63911</v>
      </c>
      <c r="D21" s="19">
        <v>58091</v>
      </c>
      <c r="E21" s="19">
        <v>57887</v>
      </c>
      <c r="F21" s="19">
        <v>61344</v>
      </c>
      <c r="G21" s="19">
        <v>63384</v>
      </c>
    </row>
    <row r="22" spans="1:7" x14ac:dyDescent="0.2">
      <c r="A22" s="4"/>
      <c r="B22" s="4"/>
      <c r="C22" s="4"/>
      <c r="D22" s="4"/>
      <c r="E22" s="4"/>
      <c r="F22" s="4"/>
      <c r="G22" s="4"/>
    </row>
    <row r="23" spans="1:7" x14ac:dyDescent="0.2">
      <c r="A23" s="4" t="s">
        <v>37</v>
      </c>
      <c r="B23" s="15">
        <v>53894</v>
      </c>
      <c r="C23" s="15">
        <v>59036</v>
      </c>
      <c r="D23" s="15">
        <v>53377</v>
      </c>
      <c r="E23" s="15">
        <v>53734</v>
      </c>
      <c r="F23" s="15">
        <v>56511</v>
      </c>
      <c r="G23" s="15">
        <v>58562</v>
      </c>
    </row>
    <row r="24" spans="1:7" x14ac:dyDescent="0.2">
      <c r="A24" s="4" t="s">
        <v>38</v>
      </c>
      <c r="B24" s="15">
        <v>702</v>
      </c>
      <c r="C24" s="15">
        <v>723</v>
      </c>
      <c r="D24" s="15">
        <v>709</v>
      </c>
      <c r="E24" s="15">
        <v>467</v>
      </c>
      <c r="F24" s="15">
        <v>556</v>
      </c>
      <c r="G24" s="15">
        <v>645</v>
      </c>
    </row>
    <row r="25" spans="1:7" x14ac:dyDescent="0.2">
      <c r="A25" s="4" t="s">
        <v>39</v>
      </c>
      <c r="B25" s="15">
        <v>176</v>
      </c>
      <c r="C25" s="15">
        <v>175</v>
      </c>
      <c r="D25" s="15">
        <v>166</v>
      </c>
      <c r="E25" s="15">
        <v>83</v>
      </c>
      <c r="F25" s="15">
        <v>42</v>
      </c>
      <c r="G25" s="15">
        <v>56</v>
      </c>
    </row>
    <row r="26" spans="1:7" ht="10.5" x14ac:dyDescent="0.2">
      <c r="A26" s="9" t="s">
        <v>40</v>
      </c>
      <c r="B26" s="19">
        <v>2721</v>
      </c>
      <c r="C26" s="19">
        <v>3977</v>
      </c>
      <c r="D26" s="19">
        <v>3839</v>
      </c>
      <c r="E26" s="19">
        <v>3603</v>
      </c>
      <c r="F26" s="19">
        <v>4235</v>
      </c>
      <c r="G26" s="19">
        <v>4121</v>
      </c>
    </row>
    <row r="27" spans="1:7" x14ac:dyDescent="0.2">
      <c r="A27" s="4"/>
      <c r="B27" s="4"/>
      <c r="C27" s="4"/>
      <c r="D27" s="4"/>
      <c r="E27" s="4"/>
      <c r="F27" s="4"/>
      <c r="G27" s="4"/>
    </row>
    <row r="28" spans="1:7" x14ac:dyDescent="0.2">
      <c r="A28" s="4" t="s">
        <v>41</v>
      </c>
      <c r="B28" s="15">
        <v>1085</v>
      </c>
      <c r="C28" s="15">
        <v>1433</v>
      </c>
      <c r="D28" s="15">
        <v>1212</v>
      </c>
      <c r="E28" s="15">
        <v>1430</v>
      </c>
      <c r="F28" s="15">
        <v>1378</v>
      </c>
      <c r="G28" s="15">
        <v>1269</v>
      </c>
    </row>
    <row r="29" spans="1:7" x14ac:dyDescent="0.2">
      <c r="A29" s="4" t="s">
        <v>42</v>
      </c>
      <c r="B29" s="15" t="s">
        <v>35</v>
      </c>
      <c r="C29" s="15" t="s">
        <v>35</v>
      </c>
      <c r="D29" s="15" t="s">
        <v>35</v>
      </c>
      <c r="E29" s="15" t="s">
        <v>35</v>
      </c>
      <c r="F29" s="15" t="s">
        <v>35</v>
      </c>
      <c r="G29" s="15" t="s">
        <v>35</v>
      </c>
    </row>
    <row r="30" spans="1:7" x14ac:dyDescent="0.2">
      <c r="A30" s="4" t="s">
        <v>43</v>
      </c>
      <c r="B30" s="15" t="s">
        <v>35</v>
      </c>
      <c r="C30" s="15" t="s">
        <v>35</v>
      </c>
      <c r="D30" s="15" t="s">
        <v>35</v>
      </c>
      <c r="E30" s="15" t="s">
        <v>35</v>
      </c>
      <c r="F30" s="15" t="s">
        <v>35</v>
      </c>
      <c r="G30" s="15" t="s">
        <v>35</v>
      </c>
    </row>
    <row r="31" spans="1:7" x14ac:dyDescent="0.2">
      <c r="A31" s="4" t="s">
        <v>44</v>
      </c>
      <c r="B31" s="15" t="s">
        <v>35</v>
      </c>
      <c r="C31" s="15" t="s">
        <v>35</v>
      </c>
      <c r="D31" s="15" t="s">
        <v>35</v>
      </c>
      <c r="E31" s="15">
        <v>384</v>
      </c>
      <c r="F31" s="15">
        <v>-39</v>
      </c>
      <c r="G31" s="15">
        <v>-17</v>
      </c>
    </row>
    <row r="32" spans="1:7" x14ac:dyDescent="0.2">
      <c r="A32" s="4"/>
      <c r="B32" s="4"/>
      <c r="C32" s="4"/>
      <c r="D32" s="4"/>
      <c r="E32" s="4"/>
      <c r="F32" s="4"/>
      <c r="G32" s="4"/>
    </row>
    <row r="33" spans="1:7" ht="10.5" x14ac:dyDescent="0.2">
      <c r="A33" s="9" t="s">
        <v>45</v>
      </c>
      <c r="B33" s="19">
        <v>1085</v>
      </c>
      <c r="C33" s="19">
        <v>1433</v>
      </c>
      <c r="D33" s="19">
        <v>1212</v>
      </c>
      <c r="E33" s="19">
        <v>1814</v>
      </c>
      <c r="F33" s="19">
        <v>1339</v>
      </c>
      <c r="G33" s="19">
        <v>1252</v>
      </c>
    </row>
    <row r="34" spans="1:7" x14ac:dyDescent="0.2">
      <c r="A34" s="4"/>
      <c r="B34" s="4"/>
      <c r="C34" s="4"/>
      <c r="D34" s="4"/>
      <c r="E34" s="4"/>
      <c r="F34" s="4"/>
      <c r="G34" s="4"/>
    </row>
    <row r="35" spans="1:7" ht="10.5" x14ac:dyDescent="0.2">
      <c r="A35" s="9" t="s">
        <v>46</v>
      </c>
      <c r="B35" s="13">
        <v>1636</v>
      </c>
      <c r="C35" s="13">
        <v>2544</v>
      </c>
      <c r="D35" s="13">
        <v>2627</v>
      </c>
      <c r="E35" s="13">
        <v>1789</v>
      </c>
      <c r="F35" s="13">
        <v>2896</v>
      </c>
      <c r="G35" s="13">
        <v>2869</v>
      </c>
    </row>
    <row r="36" spans="1:7" x14ac:dyDescent="0.2">
      <c r="A36" s="4"/>
      <c r="B36" s="4"/>
      <c r="C36" s="4"/>
      <c r="D36" s="4"/>
      <c r="E36" s="4"/>
      <c r="F36" s="4"/>
      <c r="G36" s="4"/>
    </row>
    <row r="37" spans="1:7" x14ac:dyDescent="0.2">
      <c r="A37" s="4" t="s">
        <v>47</v>
      </c>
      <c r="B37" s="15">
        <v>-400</v>
      </c>
      <c r="C37" s="15">
        <v>-847</v>
      </c>
      <c r="D37" s="15">
        <v>-722</v>
      </c>
      <c r="E37" s="15">
        <v>-701</v>
      </c>
      <c r="F37" s="15">
        <v>-685</v>
      </c>
      <c r="G37" s="15">
        <v>-661</v>
      </c>
    </row>
    <row r="38" spans="1:7" x14ac:dyDescent="0.2">
      <c r="A38" s="4" t="s">
        <v>48</v>
      </c>
      <c r="B38" s="15">
        <v>44</v>
      </c>
      <c r="C38" s="15">
        <v>22</v>
      </c>
      <c r="D38" s="15">
        <v>16</v>
      </c>
      <c r="E38" s="15">
        <v>15</v>
      </c>
      <c r="F38" s="15">
        <v>9</v>
      </c>
      <c r="G38" s="15">
        <v>22</v>
      </c>
    </row>
    <row r="39" spans="1:7" ht="10.5" x14ac:dyDescent="0.2">
      <c r="A39" s="9" t="s">
        <v>49</v>
      </c>
      <c r="B39" s="19">
        <v>-356</v>
      </c>
      <c r="C39" s="19">
        <v>-825</v>
      </c>
      <c r="D39" s="19">
        <v>-706</v>
      </c>
      <c r="E39" s="19">
        <v>-686</v>
      </c>
      <c r="F39" s="19">
        <v>-676</v>
      </c>
      <c r="G39" s="19">
        <v>-639</v>
      </c>
    </row>
    <row r="40" spans="1:7" x14ac:dyDescent="0.2">
      <c r="A40" s="4"/>
      <c r="B40" s="4"/>
      <c r="C40" s="4"/>
      <c r="D40" s="4"/>
      <c r="E40" s="4"/>
      <c r="F40" s="4"/>
      <c r="G40" s="4"/>
    </row>
    <row r="41" spans="1:7" x14ac:dyDescent="0.2">
      <c r="A41" s="4" t="s">
        <v>50</v>
      </c>
      <c r="B41" s="15">
        <v>-6</v>
      </c>
      <c r="C41" s="15">
        <v>32</v>
      </c>
      <c r="D41" s="15">
        <v>-8</v>
      </c>
      <c r="E41" s="15">
        <v>26</v>
      </c>
      <c r="F41" s="15">
        <v>15</v>
      </c>
      <c r="G41" s="15">
        <v>20</v>
      </c>
    </row>
    <row r="42" spans="1:7" x14ac:dyDescent="0.2">
      <c r="A42" s="4" t="s">
        <v>51</v>
      </c>
      <c r="B42" s="15">
        <v>53</v>
      </c>
      <c r="C42" s="15">
        <v>-29</v>
      </c>
      <c r="D42" s="15">
        <v>-177</v>
      </c>
      <c r="E42" s="15">
        <v>-48</v>
      </c>
      <c r="F42" s="15">
        <v>156</v>
      </c>
      <c r="G42" s="15">
        <v>156</v>
      </c>
    </row>
    <row r="43" spans="1:7" ht="10.5" x14ac:dyDescent="0.2">
      <c r="A43" s="9" t="s">
        <v>52</v>
      </c>
      <c r="B43" s="19">
        <v>1327</v>
      </c>
      <c r="C43" s="19">
        <v>1722</v>
      </c>
      <c r="D43" s="19">
        <v>1736</v>
      </c>
      <c r="E43" s="19">
        <v>1081</v>
      </c>
      <c r="F43" s="19">
        <v>2391</v>
      </c>
      <c r="G43" s="19">
        <v>2406</v>
      </c>
    </row>
    <row r="44" spans="1:7" x14ac:dyDescent="0.2">
      <c r="A44" s="4"/>
      <c r="B44" s="4"/>
      <c r="C44" s="4"/>
      <c r="D44" s="4"/>
      <c r="E44" s="4"/>
      <c r="F44" s="4"/>
      <c r="G44" s="4"/>
    </row>
    <row r="45" spans="1:7" x14ac:dyDescent="0.2">
      <c r="A45" s="4" t="s">
        <v>53</v>
      </c>
      <c r="B45" s="15">
        <v>-109</v>
      </c>
      <c r="C45" s="15">
        <v>-220</v>
      </c>
      <c r="D45" s="15">
        <v>-108</v>
      </c>
      <c r="E45" s="15" t="s">
        <v>35</v>
      </c>
      <c r="F45" s="15">
        <v>-44</v>
      </c>
      <c r="G45" s="15">
        <v>-51</v>
      </c>
    </row>
    <row r="46" spans="1:7" x14ac:dyDescent="0.2">
      <c r="A46" s="4" t="s">
        <v>54</v>
      </c>
      <c r="B46" s="15">
        <v>-21</v>
      </c>
      <c r="C46" s="15">
        <v>-15</v>
      </c>
      <c r="D46" s="15">
        <v>-23</v>
      </c>
      <c r="E46" s="15">
        <v>-25</v>
      </c>
      <c r="F46" s="15" t="s">
        <v>35</v>
      </c>
      <c r="G46" s="15">
        <v>-3</v>
      </c>
    </row>
    <row r="47" spans="1:7" x14ac:dyDescent="0.2">
      <c r="A47" s="4" t="s">
        <v>55</v>
      </c>
      <c r="B47" s="15" t="s">
        <v>35</v>
      </c>
      <c r="C47" s="15" t="s">
        <v>35</v>
      </c>
      <c r="D47" s="15" t="s">
        <v>35</v>
      </c>
      <c r="E47" s="15">
        <v>-295</v>
      </c>
      <c r="F47" s="15" t="s">
        <v>35</v>
      </c>
      <c r="G47" s="15" t="s">
        <v>35</v>
      </c>
    </row>
    <row r="48" spans="1:7" x14ac:dyDescent="0.2">
      <c r="A48" s="4" t="s">
        <v>56</v>
      </c>
      <c r="B48" s="15" t="s">
        <v>35</v>
      </c>
      <c r="C48" s="15" t="s">
        <v>35</v>
      </c>
      <c r="D48" s="15">
        <v>-183</v>
      </c>
      <c r="E48" s="15" t="s">
        <v>35</v>
      </c>
      <c r="F48" s="15" t="s">
        <v>35</v>
      </c>
      <c r="G48" s="15" t="s">
        <v>35</v>
      </c>
    </row>
    <row r="49" spans="1:7" x14ac:dyDescent="0.2">
      <c r="A49" s="4" t="s">
        <v>57</v>
      </c>
      <c r="B49" s="15">
        <v>82</v>
      </c>
      <c r="C49" s="15" t="s">
        <v>35</v>
      </c>
      <c r="D49" s="15" t="s">
        <v>35</v>
      </c>
      <c r="E49" s="15" t="s">
        <v>35</v>
      </c>
      <c r="F49" s="15" t="s">
        <v>35</v>
      </c>
      <c r="G49" s="15" t="s">
        <v>35</v>
      </c>
    </row>
    <row r="50" spans="1:7" x14ac:dyDescent="0.2">
      <c r="A50" s="4" t="s">
        <v>58</v>
      </c>
      <c r="B50" s="15">
        <v>155</v>
      </c>
      <c r="C50" s="15">
        <v>106</v>
      </c>
      <c r="D50" s="15">
        <v>3</v>
      </c>
      <c r="E50" s="15">
        <v>128</v>
      </c>
      <c r="F50" s="15">
        <v>-121</v>
      </c>
      <c r="G50" s="15">
        <v>-787</v>
      </c>
    </row>
    <row r="51" spans="1:7" x14ac:dyDescent="0.2">
      <c r="A51" s="4" t="s">
        <v>59</v>
      </c>
      <c r="B51" s="15" t="s">
        <v>35</v>
      </c>
      <c r="C51" s="15">
        <v>20</v>
      </c>
      <c r="D51" s="15" t="s">
        <v>35</v>
      </c>
      <c r="E51" s="15" t="s">
        <v>35</v>
      </c>
      <c r="F51" s="15" t="s">
        <v>35</v>
      </c>
      <c r="G51" s="15" t="s">
        <v>35</v>
      </c>
    </row>
    <row r="52" spans="1:7" x14ac:dyDescent="0.2">
      <c r="A52" s="4" t="s">
        <v>60</v>
      </c>
      <c r="B52" s="15" t="s">
        <v>35</v>
      </c>
      <c r="C52" s="15" t="s">
        <v>35</v>
      </c>
      <c r="D52" s="15" t="s">
        <v>35</v>
      </c>
      <c r="E52" s="15">
        <v>-93</v>
      </c>
      <c r="F52" s="15">
        <v>-193</v>
      </c>
      <c r="G52" s="15">
        <v>0</v>
      </c>
    </row>
    <row r="53" spans="1:7" x14ac:dyDescent="0.2">
      <c r="A53" s="4" t="s">
        <v>61</v>
      </c>
      <c r="B53" s="15">
        <v>-134</v>
      </c>
      <c r="C53" s="15">
        <v>4</v>
      </c>
      <c r="D53" s="15">
        <v>-397</v>
      </c>
      <c r="E53" s="15">
        <v>-160</v>
      </c>
      <c r="F53" s="15" t="s">
        <v>35</v>
      </c>
      <c r="G53" s="15">
        <v>-262</v>
      </c>
    </row>
    <row r="54" spans="1:7" ht="10.5" x14ac:dyDescent="0.2">
      <c r="A54" s="9" t="s">
        <v>62</v>
      </c>
      <c r="B54" s="19">
        <v>1300</v>
      </c>
      <c r="C54" s="19">
        <v>1617</v>
      </c>
      <c r="D54" s="19">
        <v>1028</v>
      </c>
      <c r="E54" s="19">
        <v>636</v>
      </c>
      <c r="F54" s="19">
        <v>2033</v>
      </c>
      <c r="G54" s="19">
        <v>1303</v>
      </c>
    </row>
    <row r="55" spans="1:7" x14ac:dyDescent="0.2">
      <c r="A55" s="4"/>
      <c r="B55" s="4"/>
      <c r="C55" s="4"/>
      <c r="D55" s="4"/>
      <c r="E55" s="4"/>
      <c r="F55" s="4"/>
      <c r="G55" s="4"/>
    </row>
    <row r="56" spans="1:7" x14ac:dyDescent="0.2">
      <c r="A56" s="4" t="s">
        <v>63</v>
      </c>
      <c r="B56" s="15">
        <v>306</v>
      </c>
      <c r="C56" s="15">
        <v>347</v>
      </c>
      <c r="D56" s="15">
        <v>290</v>
      </c>
      <c r="E56" s="15">
        <v>104</v>
      </c>
      <c r="F56" s="15">
        <v>510</v>
      </c>
      <c r="G56" s="15">
        <v>345</v>
      </c>
    </row>
    <row r="57" spans="1:7" ht="10.5" x14ac:dyDescent="0.2">
      <c r="A57" s="9" t="s">
        <v>64</v>
      </c>
      <c r="B57" s="19">
        <v>994</v>
      </c>
      <c r="C57" s="19">
        <v>1270</v>
      </c>
      <c r="D57" s="19">
        <v>738</v>
      </c>
      <c r="E57" s="19">
        <v>532</v>
      </c>
      <c r="F57" s="19">
        <v>1523</v>
      </c>
      <c r="G57" s="19">
        <v>958</v>
      </c>
    </row>
    <row r="58" spans="1:7" x14ac:dyDescent="0.2">
      <c r="A58" s="4"/>
      <c r="B58" s="4"/>
      <c r="C58" s="4"/>
      <c r="D58" s="4"/>
      <c r="E58" s="4"/>
      <c r="F58" s="4"/>
      <c r="G58" s="4"/>
    </row>
    <row r="59" spans="1:7" x14ac:dyDescent="0.2">
      <c r="A59" s="4" t="s">
        <v>65</v>
      </c>
      <c r="B59" s="15">
        <v>216</v>
      </c>
      <c r="C59" s="15" t="s">
        <v>35</v>
      </c>
      <c r="D59" s="15">
        <v>235</v>
      </c>
      <c r="E59" s="15">
        <v>5426</v>
      </c>
      <c r="F59" s="15">
        <v>-40</v>
      </c>
      <c r="G59" s="15">
        <v>2</v>
      </c>
    </row>
    <row r="60" spans="1:7" x14ac:dyDescent="0.2">
      <c r="A60" s="4" t="s">
        <v>66</v>
      </c>
      <c r="B60" s="15" t="s">
        <v>35</v>
      </c>
      <c r="C60" s="15" t="s">
        <v>35</v>
      </c>
      <c r="D60" s="15" t="s">
        <v>35</v>
      </c>
      <c r="E60" s="15" t="s">
        <v>35</v>
      </c>
      <c r="F60" s="15" t="s">
        <v>35</v>
      </c>
      <c r="G60" s="15" t="s">
        <v>35</v>
      </c>
    </row>
    <row r="61" spans="1:7" ht="10.5" x14ac:dyDescent="0.2">
      <c r="A61" s="9" t="s">
        <v>67</v>
      </c>
      <c r="B61" s="19">
        <v>1210</v>
      </c>
      <c r="C61" s="19">
        <v>1270</v>
      </c>
      <c r="D61" s="19">
        <v>973</v>
      </c>
      <c r="E61" s="19">
        <v>5958</v>
      </c>
      <c r="F61" s="19">
        <v>1483</v>
      </c>
      <c r="G61" s="19">
        <v>960</v>
      </c>
    </row>
    <row r="62" spans="1:7" x14ac:dyDescent="0.2">
      <c r="A62" s="4"/>
      <c r="B62" s="4"/>
      <c r="C62" s="4"/>
      <c r="D62" s="4"/>
      <c r="E62" s="4"/>
      <c r="F62" s="4"/>
      <c r="G62" s="4"/>
    </row>
    <row r="63" spans="1:7" x14ac:dyDescent="0.2">
      <c r="A63" s="4" t="s">
        <v>68</v>
      </c>
      <c r="B63" s="15">
        <v>-2</v>
      </c>
      <c r="C63" s="15">
        <v>2</v>
      </c>
      <c r="D63" s="15">
        <v>-2</v>
      </c>
      <c r="E63" s="15">
        <v>-4</v>
      </c>
      <c r="F63" s="15">
        <v>-2</v>
      </c>
      <c r="G63" s="15">
        <v>-7</v>
      </c>
    </row>
    <row r="64" spans="1:7" ht="10.5" x14ac:dyDescent="0.2">
      <c r="A64" s="9" t="s">
        <v>69</v>
      </c>
      <c r="B64" s="20">
        <v>1208</v>
      </c>
      <c r="C64" s="20">
        <v>1272</v>
      </c>
      <c r="D64" s="20">
        <v>971</v>
      </c>
      <c r="E64" s="20">
        <v>5954</v>
      </c>
      <c r="F64" s="20">
        <v>1481</v>
      </c>
      <c r="G64" s="20">
        <v>953</v>
      </c>
    </row>
    <row r="65" spans="1:7" x14ac:dyDescent="0.2">
      <c r="A65" s="4"/>
      <c r="B65" s="4"/>
      <c r="C65" s="4"/>
      <c r="D65" s="4"/>
      <c r="E65" s="4"/>
      <c r="F65" s="4"/>
      <c r="G65" s="4"/>
    </row>
    <row r="66" spans="1:7" x14ac:dyDescent="0.2">
      <c r="A66" s="4" t="s">
        <v>70</v>
      </c>
      <c r="B66" s="15" t="s">
        <v>35</v>
      </c>
      <c r="C66" s="15" t="s">
        <v>35</v>
      </c>
      <c r="D66" s="15" t="s">
        <v>35</v>
      </c>
      <c r="E66" s="15" t="s">
        <v>35</v>
      </c>
      <c r="F66" s="15" t="s">
        <v>35</v>
      </c>
      <c r="G66" s="15" t="s">
        <v>35</v>
      </c>
    </row>
    <row r="67" spans="1:7" x14ac:dyDescent="0.2">
      <c r="A67" s="4"/>
      <c r="B67" s="4"/>
      <c r="C67" s="4"/>
      <c r="D67" s="4"/>
      <c r="E67" s="4"/>
      <c r="F67" s="4"/>
      <c r="G67" s="4"/>
    </row>
    <row r="68" spans="1:7" ht="10.5" x14ac:dyDescent="0.2">
      <c r="A68" s="9" t="s">
        <v>71</v>
      </c>
      <c r="B68" s="13">
        <v>1208</v>
      </c>
      <c r="C68" s="13">
        <v>1272</v>
      </c>
      <c r="D68" s="13">
        <v>971</v>
      </c>
      <c r="E68" s="13">
        <v>5954</v>
      </c>
      <c r="F68" s="13">
        <v>1481</v>
      </c>
      <c r="G68" s="13">
        <v>953</v>
      </c>
    </row>
    <row r="69" spans="1:7" ht="10.5" x14ac:dyDescent="0.2">
      <c r="A69" s="9" t="s">
        <v>72</v>
      </c>
      <c r="B69" s="13">
        <v>992</v>
      </c>
      <c r="C69" s="13">
        <v>1272</v>
      </c>
      <c r="D69" s="13">
        <v>736</v>
      </c>
      <c r="E69" s="13">
        <v>528</v>
      </c>
      <c r="F69" s="13">
        <v>1521</v>
      </c>
      <c r="G69" s="13">
        <v>951</v>
      </c>
    </row>
    <row r="70" spans="1:7" x14ac:dyDescent="0.2">
      <c r="A70" s="4"/>
      <c r="B70" s="4"/>
      <c r="C70" s="4"/>
      <c r="D70" s="4"/>
      <c r="E70" s="4"/>
      <c r="F70" s="4"/>
      <c r="G70" s="4"/>
    </row>
    <row r="71" spans="1:7" ht="10.5" x14ac:dyDescent="0.2">
      <c r="A71" s="9" t="s">
        <v>73</v>
      </c>
      <c r="B71" s="4"/>
      <c r="C71" s="4"/>
      <c r="D71" s="4"/>
      <c r="E71" s="4"/>
      <c r="F71" s="4"/>
      <c r="G71" s="4"/>
    </row>
    <row r="72" spans="1:7" x14ac:dyDescent="0.2">
      <c r="A72" s="4" t="s">
        <v>74</v>
      </c>
      <c r="B72" s="16">
        <v>0.18740100000000001</v>
      </c>
      <c r="C72" s="16">
        <v>0.16634299999999999</v>
      </c>
      <c r="D72" s="16">
        <v>0.12658800000000001</v>
      </c>
      <c r="E72" s="16">
        <v>0.78323100000000001</v>
      </c>
      <c r="F72" s="16">
        <v>0.19339200000000001</v>
      </c>
      <c r="G72" s="16">
        <v>0.12603300000000001</v>
      </c>
    </row>
    <row r="73" spans="1:7" x14ac:dyDescent="0.2">
      <c r="A73" s="4" t="s">
        <v>75</v>
      </c>
      <c r="B73" s="16">
        <v>0.153892</v>
      </c>
      <c r="C73" s="16">
        <v>0.16634299999999999</v>
      </c>
      <c r="D73" s="16">
        <v>9.5950999999999995E-2</v>
      </c>
      <c r="E73" s="16">
        <v>6.9456000000000004E-2</v>
      </c>
      <c r="F73" s="16">
        <v>0.19861500000000001</v>
      </c>
      <c r="G73" s="16">
        <v>0.12576799999999999</v>
      </c>
    </row>
    <row r="74" spans="1:7" x14ac:dyDescent="0.2">
      <c r="A74" s="4" t="s">
        <v>76</v>
      </c>
      <c r="B74" s="15">
        <v>6446.0525969999999</v>
      </c>
      <c r="C74" s="15">
        <v>7646.8420640000004</v>
      </c>
      <c r="D74" s="15">
        <v>7670.5262750000002</v>
      </c>
      <c r="E74" s="15">
        <v>7601.8420649999998</v>
      </c>
      <c r="F74" s="15">
        <v>7658</v>
      </c>
      <c r="G74" s="15">
        <v>7561.5</v>
      </c>
    </row>
    <row r="75" spans="1:7" x14ac:dyDescent="0.2">
      <c r="A75" s="4"/>
      <c r="B75" s="4"/>
      <c r="C75" s="4"/>
      <c r="D75" s="4"/>
      <c r="E75" s="4"/>
      <c r="F75" s="4"/>
      <c r="G75" s="4"/>
    </row>
    <row r="76" spans="1:7" x14ac:dyDescent="0.2">
      <c r="A76" s="4" t="s">
        <v>77</v>
      </c>
      <c r="B76" s="16">
        <v>0.18679799999999999</v>
      </c>
      <c r="C76" s="16">
        <v>0.16520000000000001</v>
      </c>
      <c r="D76" s="16">
        <v>0.12579899999999999</v>
      </c>
      <c r="E76" s="16">
        <v>0.78100000000000003</v>
      </c>
      <c r="F76" s="16">
        <v>0.19123599999999999</v>
      </c>
      <c r="G76" s="16">
        <v>0.124664</v>
      </c>
    </row>
    <row r="77" spans="1:7" x14ac:dyDescent="0.2">
      <c r="A77" s="4" t="s">
        <v>78</v>
      </c>
      <c r="B77" s="16">
        <v>0.15340000000000001</v>
      </c>
      <c r="C77" s="16">
        <v>0.16520000000000001</v>
      </c>
      <c r="D77" s="16">
        <v>9.5372999999999999E-2</v>
      </c>
      <c r="E77" s="16">
        <v>6.9221000000000005E-2</v>
      </c>
      <c r="F77" s="16">
        <v>0.19639999999999999</v>
      </c>
      <c r="G77" s="16">
        <v>0.124403</v>
      </c>
    </row>
    <row r="78" spans="1:7" x14ac:dyDescent="0.2">
      <c r="A78" s="4" t="s">
        <v>79</v>
      </c>
      <c r="B78" s="15">
        <v>6467.3683870000004</v>
      </c>
      <c r="C78" s="15">
        <v>7703.6841690000001</v>
      </c>
      <c r="D78" s="15">
        <v>7723.4210110000004</v>
      </c>
      <c r="E78" s="15">
        <v>7623.157854</v>
      </c>
      <c r="F78" s="15">
        <v>7746</v>
      </c>
      <c r="G78" s="15">
        <v>7651.5</v>
      </c>
    </row>
    <row r="79" spans="1:7" x14ac:dyDescent="0.2">
      <c r="A79" s="4"/>
      <c r="B79" s="4"/>
      <c r="C79" s="4"/>
      <c r="D79" s="4"/>
      <c r="E79" s="4"/>
      <c r="F79" s="4"/>
      <c r="G79" s="4"/>
    </row>
    <row r="80" spans="1:7" x14ac:dyDescent="0.2">
      <c r="A80" s="4" t="s">
        <v>80</v>
      </c>
      <c r="B80" s="16">
        <v>0.12835299999999999</v>
      </c>
      <c r="C80" s="16">
        <v>0.14100499999999999</v>
      </c>
      <c r="D80" s="16">
        <v>0.14118900000000001</v>
      </c>
      <c r="E80" s="16">
        <v>8.8349999999999998E-2</v>
      </c>
      <c r="F80" s="16">
        <v>0.19487699999999999</v>
      </c>
      <c r="G80" s="16">
        <v>0.19794300000000001</v>
      </c>
    </row>
    <row r="81" spans="1:7" x14ac:dyDescent="0.2">
      <c r="A81" s="4" t="s">
        <v>81</v>
      </c>
      <c r="B81" s="16">
        <v>0.12792999999999999</v>
      </c>
      <c r="C81" s="16">
        <v>0.13996500000000001</v>
      </c>
      <c r="D81" s="16">
        <v>0.14022200000000001</v>
      </c>
      <c r="E81" s="16">
        <v>8.8103000000000001E-2</v>
      </c>
      <c r="F81" s="16">
        <v>0.192663</v>
      </c>
      <c r="G81" s="16">
        <v>0.19561500000000001</v>
      </c>
    </row>
    <row r="82" spans="1:7" x14ac:dyDescent="0.2">
      <c r="A82" s="4"/>
      <c r="B82" s="4"/>
      <c r="C82" s="4"/>
      <c r="D82" s="4"/>
      <c r="E82" s="4"/>
      <c r="F82" s="4"/>
      <c r="G82" s="4"/>
    </row>
    <row r="83" spans="1:7" x14ac:dyDescent="0.2">
      <c r="A83" s="4" t="s">
        <v>82</v>
      </c>
      <c r="B83" s="16">
        <v>3.7999999999999999E-2</v>
      </c>
      <c r="C83" s="16">
        <v>7.3099999999999998E-2</v>
      </c>
      <c r="D83" s="16">
        <v>0.1159</v>
      </c>
      <c r="E83" s="16">
        <v>0.1159</v>
      </c>
      <c r="F83" s="16">
        <v>0.109</v>
      </c>
      <c r="G83" s="16">
        <v>0.11550000000000001</v>
      </c>
    </row>
    <row r="84" spans="1:7" x14ac:dyDescent="0.2">
      <c r="A84" s="4" t="s">
        <v>83</v>
      </c>
      <c r="B84" s="21">
        <v>6.7879999999999996E-2</v>
      </c>
      <c r="C84" s="21">
        <v>0.28066000000000002</v>
      </c>
      <c r="D84" s="21">
        <v>0.67559199999999997</v>
      </c>
      <c r="E84" s="21">
        <v>0.152838</v>
      </c>
      <c r="F84" s="21">
        <v>0.493585</v>
      </c>
      <c r="G84" s="21">
        <v>0.89296900000000001</v>
      </c>
    </row>
    <row r="85" spans="1:7" x14ac:dyDescent="0.2">
      <c r="A85" s="4"/>
      <c r="B85" s="4"/>
      <c r="C85" s="4"/>
      <c r="D85" s="4"/>
      <c r="E85" s="4"/>
      <c r="F85" s="4"/>
      <c r="G85" s="4"/>
    </row>
    <row r="86" spans="1:7" x14ac:dyDescent="0.2">
      <c r="A86" s="4" t="s">
        <v>84</v>
      </c>
      <c r="B86" s="22">
        <v>3</v>
      </c>
      <c r="C86" s="22">
        <v>3</v>
      </c>
      <c r="D86" s="22">
        <v>3</v>
      </c>
      <c r="E86" s="22">
        <v>3</v>
      </c>
      <c r="F86" s="22">
        <v>3</v>
      </c>
      <c r="G86" s="22">
        <v>3</v>
      </c>
    </row>
    <row r="87" spans="1:7" x14ac:dyDescent="0.2">
      <c r="A87" s="4"/>
      <c r="B87" s="4"/>
      <c r="C87" s="4"/>
      <c r="D87" s="4"/>
      <c r="E87" s="4"/>
      <c r="F87" s="4"/>
      <c r="G87" s="4"/>
    </row>
    <row r="88" spans="1:7" ht="10.5" x14ac:dyDescent="0.2">
      <c r="A88" s="9" t="s">
        <v>85</v>
      </c>
      <c r="B88" s="4"/>
      <c r="C88" s="4"/>
      <c r="D88" s="4"/>
      <c r="E88" s="4"/>
      <c r="F88" s="4"/>
      <c r="G88" s="4"/>
    </row>
    <row r="89" spans="1:7" x14ac:dyDescent="0.2">
      <c r="A89" s="4" t="s">
        <v>86</v>
      </c>
      <c r="B89" s="15">
        <v>2723</v>
      </c>
      <c r="C89" s="15">
        <v>3769</v>
      </c>
      <c r="D89" s="15">
        <v>3865</v>
      </c>
      <c r="E89" s="15">
        <v>2774</v>
      </c>
      <c r="F89" s="15">
        <v>3868</v>
      </c>
      <c r="G89" s="15">
        <v>3833</v>
      </c>
    </row>
    <row r="90" spans="1:7" x14ac:dyDescent="0.2">
      <c r="A90" s="4" t="s">
        <v>87</v>
      </c>
      <c r="B90" s="15">
        <v>1647</v>
      </c>
      <c r="C90" s="15">
        <v>2629</v>
      </c>
      <c r="D90" s="15">
        <v>2986</v>
      </c>
      <c r="E90" s="15">
        <v>1869</v>
      </c>
      <c r="F90" s="15">
        <v>2974</v>
      </c>
      <c r="G90" s="15">
        <v>2946</v>
      </c>
    </row>
    <row r="91" spans="1:7" x14ac:dyDescent="0.2">
      <c r="A91" s="4" t="s">
        <v>88</v>
      </c>
      <c r="B91" s="15">
        <v>1636</v>
      </c>
      <c r="C91" s="15">
        <v>2544</v>
      </c>
      <c r="D91" s="15">
        <v>2627</v>
      </c>
      <c r="E91" s="15">
        <v>1789</v>
      </c>
      <c r="F91" s="15">
        <v>2896</v>
      </c>
      <c r="G91" s="15">
        <v>2869</v>
      </c>
    </row>
    <row r="92" spans="1:7" x14ac:dyDescent="0.2">
      <c r="A92" s="4" t="s">
        <v>89</v>
      </c>
      <c r="B92" s="15">
        <v>3741</v>
      </c>
      <c r="C92" s="15">
        <v>3726</v>
      </c>
      <c r="D92" s="15">
        <v>3854</v>
      </c>
      <c r="E92" s="15">
        <v>2771</v>
      </c>
      <c r="F92" s="15">
        <v>3875</v>
      </c>
      <c r="G92" s="15" t="s">
        <v>90</v>
      </c>
    </row>
    <row r="93" spans="1:7" x14ac:dyDescent="0.2">
      <c r="A93" s="4" t="s">
        <v>91</v>
      </c>
      <c r="B93" s="21">
        <v>0.23538400000000001</v>
      </c>
      <c r="C93" s="21">
        <v>0.21459400000000001</v>
      </c>
      <c r="D93" s="21">
        <v>0.28210099999999999</v>
      </c>
      <c r="E93" s="21">
        <v>0.163522</v>
      </c>
      <c r="F93" s="21">
        <v>0.25086000000000003</v>
      </c>
      <c r="G93" s="21">
        <v>0.26477299999999998</v>
      </c>
    </row>
    <row r="94" spans="1:7" x14ac:dyDescent="0.2">
      <c r="A94" s="4" t="s">
        <v>92</v>
      </c>
      <c r="B94" s="15" t="s">
        <v>90</v>
      </c>
      <c r="C94" s="15" t="s">
        <v>90</v>
      </c>
      <c r="D94" s="15" t="s">
        <v>90</v>
      </c>
      <c r="E94" s="15" t="s">
        <v>90</v>
      </c>
      <c r="F94" s="15" t="s">
        <v>90</v>
      </c>
      <c r="G94" s="15">
        <v>-63</v>
      </c>
    </row>
    <row r="95" spans="1:7" x14ac:dyDescent="0.2">
      <c r="A95" s="4" t="s">
        <v>93</v>
      </c>
      <c r="B95" s="15" t="s">
        <v>90</v>
      </c>
      <c r="C95" s="15" t="s">
        <v>90</v>
      </c>
      <c r="D95" s="15" t="s">
        <v>90</v>
      </c>
      <c r="E95" s="15" t="s">
        <v>90</v>
      </c>
      <c r="F95" s="15" t="s">
        <v>90</v>
      </c>
      <c r="G95" s="15">
        <v>-3</v>
      </c>
    </row>
    <row r="96" spans="1:7" x14ac:dyDescent="0.2">
      <c r="A96" s="4" t="s">
        <v>94</v>
      </c>
      <c r="B96" s="15">
        <v>232</v>
      </c>
      <c r="C96" s="15">
        <v>344</v>
      </c>
      <c r="D96" s="15">
        <v>278</v>
      </c>
      <c r="E96" s="15">
        <v>178</v>
      </c>
      <c r="F96" s="15">
        <v>215</v>
      </c>
      <c r="G96" s="15">
        <v>149</v>
      </c>
    </row>
    <row r="97" spans="1:7" x14ac:dyDescent="0.2">
      <c r="A97" s="4" t="s">
        <v>95</v>
      </c>
      <c r="B97" s="15">
        <v>74</v>
      </c>
      <c r="C97" s="15">
        <v>3</v>
      </c>
      <c r="D97" s="15">
        <v>12</v>
      </c>
      <c r="E97" s="15">
        <v>-74</v>
      </c>
      <c r="F97" s="15">
        <v>295</v>
      </c>
      <c r="G97" s="15">
        <v>196</v>
      </c>
    </row>
    <row r="98" spans="1:7" x14ac:dyDescent="0.2">
      <c r="A98" s="4"/>
      <c r="B98" s="4"/>
      <c r="C98" s="4"/>
      <c r="D98" s="4"/>
      <c r="E98" s="4"/>
      <c r="F98" s="4"/>
      <c r="G98" s="4"/>
    </row>
    <row r="99" spans="1:7" x14ac:dyDescent="0.2">
      <c r="A99" s="4" t="s">
        <v>96</v>
      </c>
      <c r="B99" s="15">
        <v>827.375</v>
      </c>
      <c r="C99" s="15">
        <v>1078.25</v>
      </c>
      <c r="D99" s="15">
        <v>1083</v>
      </c>
      <c r="E99" s="15">
        <v>671.625</v>
      </c>
      <c r="F99" s="15">
        <v>1492.375</v>
      </c>
      <c r="G99" s="15">
        <v>1496.75</v>
      </c>
    </row>
    <row r="100" spans="1:7" x14ac:dyDescent="0.2">
      <c r="A100" s="4" t="s">
        <v>97</v>
      </c>
      <c r="B100" s="15">
        <v>2</v>
      </c>
      <c r="C100" s="15">
        <v>1</v>
      </c>
      <c r="D100" s="15" t="s">
        <v>90</v>
      </c>
      <c r="E100" s="15" t="s">
        <v>90</v>
      </c>
      <c r="F100" s="15" t="s">
        <v>90</v>
      </c>
      <c r="G100" s="15" t="s">
        <v>90</v>
      </c>
    </row>
    <row r="101" spans="1:7" x14ac:dyDescent="0.2">
      <c r="A101" s="4" t="s">
        <v>98</v>
      </c>
      <c r="B101" s="15">
        <v>125</v>
      </c>
      <c r="C101" s="15">
        <v>655</v>
      </c>
      <c r="D101" s="15">
        <v>556</v>
      </c>
      <c r="E101" s="15">
        <v>506</v>
      </c>
      <c r="F101" s="15">
        <v>452</v>
      </c>
      <c r="G101" s="15" t="s">
        <v>90</v>
      </c>
    </row>
    <row r="102" spans="1:7" x14ac:dyDescent="0.2">
      <c r="A102" s="4" t="s">
        <v>99</v>
      </c>
      <c r="B102" s="15">
        <v>162</v>
      </c>
      <c r="C102" s="15">
        <v>132</v>
      </c>
      <c r="D102" s="15">
        <v>76</v>
      </c>
      <c r="E102" s="15">
        <v>50</v>
      </c>
      <c r="F102" s="15">
        <v>23</v>
      </c>
      <c r="G102" s="15" t="s">
        <v>35</v>
      </c>
    </row>
    <row r="103" spans="1:7" x14ac:dyDescent="0.2">
      <c r="A103" s="4" t="s">
        <v>100</v>
      </c>
      <c r="B103" s="23">
        <v>43635</v>
      </c>
      <c r="C103" s="23">
        <v>43964</v>
      </c>
      <c r="D103" s="23">
        <v>44300</v>
      </c>
      <c r="E103" s="23">
        <v>44678</v>
      </c>
      <c r="F103" s="23">
        <v>44678</v>
      </c>
      <c r="G103" s="23">
        <v>44839</v>
      </c>
    </row>
    <row r="104" spans="1:7" x14ac:dyDescent="0.2">
      <c r="A104" s="4" t="s">
        <v>101</v>
      </c>
      <c r="B104" s="14" t="s">
        <v>102</v>
      </c>
      <c r="C104" s="14" t="s">
        <v>102</v>
      </c>
      <c r="D104" s="14" t="s">
        <v>103</v>
      </c>
      <c r="E104" s="14" t="s">
        <v>102</v>
      </c>
      <c r="F104" s="14" t="s">
        <v>104</v>
      </c>
      <c r="G104" s="14" t="s">
        <v>104</v>
      </c>
    </row>
    <row r="105" spans="1:7" x14ac:dyDescent="0.2">
      <c r="A105" s="4" t="s">
        <v>105</v>
      </c>
      <c r="B105" s="14" t="s">
        <v>106</v>
      </c>
      <c r="C105" s="14" t="s">
        <v>106</v>
      </c>
      <c r="D105" s="14" t="s">
        <v>106</v>
      </c>
      <c r="E105" s="14" t="s">
        <v>106</v>
      </c>
      <c r="F105" s="14" t="s">
        <v>106</v>
      </c>
      <c r="G105" s="14" t="s">
        <v>107</v>
      </c>
    </row>
    <row r="106" spans="1:7" x14ac:dyDescent="0.2">
      <c r="A106" s="4"/>
      <c r="B106" s="4"/>
      <c r="C106" s="4"/>
      <c r="D106" s="4"/>
      <c r="E106" s="4"/>
      <c r="F106" s="4"/>
      <c r="G106" s="4"/>
    </row>
    <row r="107" spans="1:7" ht="10.5" x14ac:dyDescent="0.2">
      <c r="A107" s="9" t="s">
        <v>108</v>
      </c>
      <c r="B107" s="4"/>
      <c r="C107" s="4"/>
      <c r="D107" s="4"/>
      <c r="E107" s="4"/>
      <c r="F107" s="4"/>
      <c r="G107" s="4"/>
    </row>
    <row r="108" spans="1:7" x14ac:dyDescent="0.2">
      <c r="A108" s="4" t="s">
        <v>109</v>
      </c>
      <c r="B108" s="15">
        <v>923</v>
      </c>
      <c r="C108" s="15">
        <v>1344</v>
      </c>
      <c r="D108" s="15">
        <v>1141</v>
      </c>
      <c r="E108" s="15">
        <v>1387</v>
      </c>
      <c r="F108" s="15">
        <v>1356</v>
      </c>
      <c r="G108" s="15">
        <v>1298</v>
      </c>
    </row>
    <row r="109" spans="1:7" x14ac:dyDescent="0.2">
      <c r="A109" s="4" t="s">
        <v>110</v>
      </c>
      <c r="B109" s="15">
        <v>1018</v>
      </c>
      <c r="C109" s="15">
        <v>-43</v>
      </c>
      <c r="D109" s="15">
        <v>-11</v>
      </c>
      <c r="E109" s="15">
        <v>-3</v>
      </c>
      <c r="F109" s="15">
        <v>7</v>
      </c>
      <c r="G109" s="15" t="s">
        <v>90</v>
      </c>
    </row>
    <row r="110" spans="1:7" x14ac:dyDescent="0.2">
      <c r="A110" s="4" t="s">
        <v>111</v>
      </c>
      <c r="B110" s="15">
        <v>315.18908800000003</v>
      </c>
      <c r="C110" s="15">
        <v>-22.2</v>
      </c>
      <c r="D110" s="15">
        <v>-3.6</v>
      </c>
      <c r="E110" s="15">
        <v>-1</v>
      </c>
      <c r="F110" s="15">
        <v>2.47268</v>
      </c>
      <c r="G110" s="15" t="s">
        <v>35</v>
      </c>
    </row>
    <row r="111" spans="1:7" x14ac:dyDescent="0.2">
      <c r="A111" s="4" t="s">
        <v>112</v>
      </c>
      <c r="B111" s="15">
        <v>702.81091200000003</v>
      </c>
      <c r="C111" s="15" t="s">
        <v>113</v>
      </c>
      <c r="D111" s="15" t="s">
        <v>113</v>
      </c>
      <c r="E111" s="15" t="s">
        <v>113</v>
      </c>
      <c r="F111" s="15">
        <v>4.5273199999999996</v>
      </c>
      <c r="G111" s="15" t="s">
        <v>35</v>
      </c>
    </row>
    <row r="112" spans="1:7" x14ac:dyDescent="0.2">
      <c r="A112" s="4"/>
      <c r="B112" s="4"/>
      <c r="C112" s="4"/>
      <c r="D112" s="4"/>
      <c r="E112" s="4"/>
      <c r="F112" s="4"/>
      <c r="G112" s="4"/>
    </row>
    <row r="113" spans="1:7" x14ac:dyDescent="0.2">
      <c r="A113" s="4" t="s">
        <v>114</v>
      </c>
      <c r="B113" s="15" t="s">
        <v>35</v>
      </c>
      <c r="C113" s="15" t="s">
        <v>35</v>
      </c>
      <c r="D113" s="15" t="s">
        <v>35</v>
      </c>
      <c r="E113" s="15">
        <v>4</v>
      </c>
      <c r="F113" s="15" t="s">
        <v>35</v>
      </c>
      <c r="G113" s="15" t="s">
        <v>35</v>
      </c>
    </row>
    <row r="114" spans="1:7" x14ac:dyDescent="0.2">
      <c r="A114" s="4" t="s">
        <v>115</v>
      </c>
      <c r="B114" s="15">
        <v>113</v>
      </c>
      <c r="C114" s="15">
        <v>118</v>
      </c>
      <c r="D114" s="15">
        <v>127</v>
      </c>
      <c r="E114" s="15">
        <v>65</v>
      </c>
      <c r="F114" s="15">
        <v>122</v>
      </c>
      <c r="G114" s="15">
        <v>109</v>
      </c>
    </row>
    <row r="115" spans="1:7" ht="10.5" x14ac:dyDescent="0.2">
      <c r="A115" s="9" t="s">
        <v>116</v>
      </c>
      <c r="B115" s="13">
        <v>113</v>
      </c>
      <c r="C115" s="13">
        <v>118</v>
      </c>
      <c r="D115" s="13">
        <v>127</v>
      </c>
      <c r="E115" s="13">
        <v>69</v>
      </c>
      <c r="F115" s="13">
        <v>122</v>
      </c>
      <c r="G115" s="13">
        <v>109</v>
      </c>
    </row>
    <row r="116" spans="1:7" x14ac:dyDescent="0.2">
      <c r="A116" s="4"/>
      <c r="B116" s="4"/>
      <c r="C116" s="4"/>
      <c r="D116" s="4"/>
      <c r="E116" s="4"/>
      <c r="F116" s="4"/>
      <c r="G116" s="4"/>
    </row>
    <row r="117" spans="1:7" x14ac:dyDescent="0.2">
      <c r="A117" s="10"/>
      <c r="B117" s="10"/>
      <c r="C117" s="10"/>
      <c r="D117" s="10"/>
      <c r="E117" s="10"/>
      <c r="F117" s="10"/>
      <c r="G117" s="10"/>
    </row>
    <row r="118" spans="1:7" x14ac:dyDescent="0.2">
      <c r="A118" t="s">
        <v>117</v>
      </c>
    </row>
    <row r="119" spans="1:7" x14ac:dyDescent="0.2">
      <c r="A119" s="17" t="s">
        <v>118</v>
      </c>
    </row>
  </sheetData>
  <phoneticPr fontId="0" type="noConversion"/>
  <pageMargins left="0.2" right="0.2" top="0.5" bottom="0.5" header="0.5" footer="0.5"/>
  <pageSetup fitToWidth="0" fitToHeight="0" orientation="landscape" horizontalDpi="0" verticalDpi="0"/>
  <headerFooter alignWithMargins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  <pageSetUpPr autoPageBreaks="0"/>
  </sheetPr>
  <dimension ref="A5:IU101"/>
  <sheetViews>
    <sheetView topLeftCell="A60" workbookViewId="0"/>
  </sheetViews>
  <sheetFormatPr defaultRowHeight="10" x14ac:dyDescent="0.2"/>
  <cols>
    <col min="1" max="1" width="45.81640625" customWidth="1"/>
    <col min="2" max="7" width="14.81640625" customWidth="1"/>
  </cols>
  <sheetData>
    <row r="5" spans="1:255" ht="17" x14ac:dyDescent="0.35">
      <c r="A5" s="1" t="s">
        <v>119</v>
      </c>
    </row>
    <row r="7" spans="1:255" ht="10.5" x14ac:dyDescent="0.25">
      <c r="A7" s="2" t="s">
        <v>1</v>
      </c>
      <c r="B7" s="3" t="s">
        <v>2</v>
      </c>
      <c r="C7" t="s">
        <v>3</v>
      </c>
      <c r="D7" s="4" t="s">
        <v>4</v>
      </c>
      <c r="E7" s="3" t="s">
        <v>5</v>
      </c>
      <c r="F7" t="s">
        <v>6</v>
      </c>
    </row>
    <row r="8" spans="1:255" ht="10.5" x14ac:dyDescent="0.25">
      <c r="A8" s="4"/>
      <c r="B8" s="3" t="s">
        <v>7</v>
      </c>
      <c r="C8" t="s">
        <v>8</v>
      </c>
      <c r="D8" s="4" t="s">
        <v>4</v>
      </c>
      <c r="E8" s="3" t="s">
        <v>9</v>
      </c>
      <c r="F8" t="s">
        <v>10</v>
      </c>
    </row>
    <row r="9" spans="1:255" ht="10.5" x14ac:dyDescent="0.25">
      <c r="A9" s="4"/>
      <c r="B9" s="3" t="s">
        <v>11</v>
      </c>
      <c r="C9" t="s">
        <v>12</v>
      </c>
      <c r="D9" s="4" t="s">
        <v>4</v>
      </c>
      <c r="E9" s="3" t="s">
        <v>13</v>
      </c>
      <c r="F9" t="s">
        <v>14</v>
      </c>
    </row>
    <row r="10" spans="1:255" ht="10.5" x14ac:dyDescent="0.25">
      <c r="A10" s="4"/>
      <c r="B10" s="3" t="s">
        <v>15</v>
      </c>
      <c r="C10" t="s">
        <v>16</v>
      </c>
      <c r="D10" s="4" t="s">
        <v>4</v>
      </c>
      <c r="E10" s="3" t="s">
        <v>17</v>
      </c>
      <c r="F10" s="5" t="s">
        <v>18</v>
      </c>
    </row>
    <row r="11" spans="1:255" ht="10.5" x14ac:dyDescent="0.25">
      <c r="A11" s="4"/>
      <c r="B11" s="3" t="s">
        <v>19</v>
      </c>
      <c r="C11" t="s">
        <v>20</v>
      </c>
      <c r="D11" s="4" t="s">
        <v>4</v>
      </c>
      <c r="E11" s="18"/>
      <c r="F11" s="18"/>
    </row>
    <row r="14" spans="1:255" x14ac:dyDescent="0.2">
      <c r="A14" s="6" t="s">
        <v>120</v>
      </c>
      <c r="B14" s="6"/>
      <c r="C14" s="6"/>
      <c r="D14" s="6"/>
      <c r="E14" s="6"/>
      <c r="F14" s="6"/>
      <c r="G14" s="6"/>
      <c r="H14" s="29"/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  <c r="AR14" s="29"/>
      <c r="AS14" s="29"/>
      <c r="AT14" s="29"/>
      <c r="AU14" s="29"/>
      <c r="AV14" s="29"/>
      <c r="AW14" s="29"/>
      <c r="AX14" s="29"/>
      <c r="AY14" s="29"/>
      <c r="AZ14" s="29"/>
      <c r="BA14" s="29"/>
      <c r="BB14" s="29"/>
      <c r="BC14" s="29"/>
      <c r="BD14" s="29"/>
      <c r="BE14" s="29"/>
      <c r="BF14" s="29"/>
      <c r="BG14" s="29"/>
      <c r="BH14" s="29"/>
      <c r="BI14" s="29"/>
      <c r="BJ14" s="29"/>
      <c r="BK14" s="29"/>
      <c r="BL14" s="29"/>
      <c r="BM14" s="29"/>
      <c r="BN14" s="29"/>
      <c r="BO14" s="29"/>
      <c r="BP14" s="29"/>
      <c r="BQ14" s="29"/>
      <c r="BR14" s="29"/>
      <c r="BS14" s="29"/>
      <c r="BT14" s="29"/>
      <c r="BU14" s="29"/>
      <c r="BV14" s="29"/>
      <c r="BW14" s="29"/>
      <c r="BX14" s="29"/>
      <c r="BY14" s="29"/>
      <c r="BZ14" s="29"/>
      <c r="CA14" s="29"/>
      <c r="CB14" s="29"/>
      <c r="CC14" s="29"/>
      <c r="CD14" s="29"/>
      <c r="CE14" s="29"/>
      <c r="CF14" s="29"/>
      <c r="CG14" s="29"/>
      <c r="CH14" s="29"/>
      <c r="CI14" s="29"/>
      <c r="CJ14" s="29"/>
      <c r="CK14" s="29"/>
      <c r="CL14" s="29"/>
      <c r="CM14" s="29"/>
      <c r="CN14" s="29"/>
      <c r="CO14" s="29"/>
      <c r="CP14" s="29"/>
      <c r="CQ14" s="29"/>
      <c r="CR14" s="29"/>
      <c r="CS14" s="29"/>
      <c r="CT14" s="29"/>
      <c r="CU14" s="29"/>
      <c r="CV14" s="29"/>
      <c r="CW14" s="29"/>
      <c r="CX14" s="29"/>
      <c r="CY14" s="29"/>
      <c r="CZ14" s="29"/>
      <c r="DA14" s="29"/>
      <c r="DB14" s="29"/>
      <c r="DC14" s="29"/>
      <c r="DD14" s="29"/>
      <c r="DE14" s="29"/>
      <c r="DF14" s="29"/>
      <c r="DG14" s="29"/>
      <c r="DH14" s="29"/>
      <c r="DI14" s="29"/>
      <c r="DJ14" s="29"/>
      <c r="DK14" s="29"/>
      <c r="DL14" s="29"/>
      <c r="DM14" s="29"/>
      <c r="DN14" s="29"/>
      <c r="DO14" s="29"/>
      <c r="DP14" s="29"/>
      <c r="DQ14" s="29"/>
      <c r="DR14" s="29"/>
      <c r="DS14" s="29"/>
      <c r="DT14" s="29"/>
      <c r="DU14" s="29"/>
      <c r="DV14" s="29"/>
      <c r="DW14" s="29"/>
      <c r="DX14" s="29"/>
      <c r="DY14" s="29"/>
      <c r="DZ14" s="29"/>
      <c r="EA14" s="29"/>
      <c r="EB14" s="29"/>
      <c r="EC14" s="29"/>
      <c r="ED14" s="29"/>
      <c r="EE14" s="29"/>
      <c r="EF14" s="29"/>
      <c r="EG14" s="29"/>
      <c r="EH14" s="29"/>
      <c r="EI14" s="29"/>
      <c r="EJ14" s="29"/>
      <c r="EK14" s="29"/>
      <c r="EL14" s="29"/>
      <c r="EM14" s="29"/>
      <c r="EN14" s="29"/>
      <c r="EO14" s="29"/>
      <c r="EP14" s="29"/>
      <c r="EQ14" s="29"/>
      <c r="ER14" s="29"/>
      <c r="ES14" s="29"/>
      <c r="ET14" s="29"/>
      <c r="EU14" s="29"/>
      <c r="EV14" s="29"/>
      <c r="EW14" s="29"/>
      <c r="EX14" s="29"/>
      <c r="EY14" s="29"/>
      <c r="EZ14" s="29"/>
      <c r="FA14" s="29"/>
      <c r="FB14" s="29"/>
      <c r="FC14" s="29"/>
      <c r="FD14" s="29"/>
      <c r="FE14" s="29"/>
      <c r="FF14" s="29"/>
      <c r="FG14" s="29"/>
      <c r="FH14" s="29"/>
      <c r="FI14" s="29"/>
      <c r="FJ14" s="29"/>
      <c r="FK14" s="29"/>
      <c r="FL14" s="29"/>
      <c r="FM14" s="29"/>
      <c r="FN14" s="29"/>
      <c r="FO14" s="29"/>
      <c r="FP14" s="29"/>
      <c r="FQ14" s="29"/>
      <c r="FR14" s="29"/>
      <c r="FS14" s="29"/>
      <c r="FT14" s="29"/>
      <c r="FU14" s="29"/>
      <c r="FV14" s="29"/>
      <c r="FW14" s="29"/>
      <c r="FX14" s="29"/>
      <c r="FY14" s="29"/>
      <c r="FZ14" s="29"/>
      <c r="GA14" s="29"/>
      <c r="GB14" s="29"/>
      <c r="GC14" s="29"/>
      <c r="GD14" s="29"/>
      <c r="GE14" s="29"/>
      <c r="GF14" s="29"/>
      <c r="GG14" s="29"/>
      <c r="GH14" s="29"/>
      <c r="GI14" s="29"/>
      <c r="GJ14" s="29"/>
      <c r="GK14" s="29"/>
      <c r="GL14" s="29"/>
      <c r="GM14" s="29"/>
      <c r="GN14" s="29"/>
      <c r="GO14" s="29"/>
      <c r="GP14" s="29"/>
      <c r="GQ14" s="29"/>
      <c r="GR14" s="29"/>
      <c r="GS14" s="29"/>
      <c r="GT14" s="29"/>
      <c r="GU14" s="29"/>
      <c r="GV14" s="29"/>
      <c r="GW14" s="29"/>
      <c r="GX14" s="29"/>
      <c r="GY14" s="29"/>
      <c r="GZ14" s="29"/>
      <c r="HA14" s="29"/>
      <c r="HB14" s="29"/>
      <c r="HC14" s="29"/>
      <c r="HD14" s="29"/>
      <c r="HE14" s="29"/>
      <c r="HF14" s="29"/>
      <c r="HG14" s="29"/>
      <c r="HH14" s="29"/>
      <c r="HI14" s="29"/>
      <c r="HJ14" s="29"/>
      <c r="HK14" s="29"/>
      <c r="HL14" s="29"/>
      <c r="HM14" s="29"/>
      <c r="HN14" s="29"/>
      <c r="HO14" s="29"/>
      <c r="HP14" s="29"/>
      <c r="HQ14" s="29"/>
      <c r="HR14" s="29"/>
      <c r="HS14" s="29"/>
      <c r="HT14" s="29"/>
      <c r="HU14" s="29"/>
      <c r="HV14" s="29"/>
      <c r="HW14" s="29"/>
      <c r="HX14" s="29"/>
      <c r="HY14" s="29"/>
      <c r="HZ14" s="29"/>
      <c r="IA14" s="29"/>
      <c r="IB14" s="29"/>
      <c r="IC14" s="29"/>
      <c r="ID14" s="29"/>
      <c r="IE14" s="29"/>
      <c r="IF14" s="29"/>
      <c r="IG14" s="29"/>
      <c r="IH14" s="29"/>
      <c r="II14" s="29"/>
      <c r="IJ14" s="29"/>
      <c r="IK14" s="29"/>
      <c r="IL14" s="29"/>
      <c r="IM14" s="29"/>
      <c r="IN14" s="29"/>
      <c r="IO14" s="29"/>
      <c r="IP14" s="29"/>
      <c r="IQ14" s="29"/>
      <c r="IR14" s="29"/>
      <c r="IS14" s="29"/>
      <c r="IT14" s="29"/>
      <c r="IU14" s="29"/>
    </row>
    <row r="15" spans="1:255" ht="21" x14ac:dyDescent="0.25">
      <c r="A15" s="7" t="s">
        <v>121</v>
      </c>
      <c r="B15" s="11" t="s">
        <v>122</v>
      </c>
      <c r="C15" s="11" t="s">
        <v>123</v>
      </c>
      <c r="D15" s="11" t="s">
        <v>124</v>
      </c>
      <c r="E15" s="11" t="s">
        <v>125</v>
      </c>
      <c r="F15" s="27">
        <v>44618</v>
      </c>
      <c r="G15" s="27">
        <v>44800</v>
      </c>
    </row>
    <row r="16" spans="1:255" x14ac:dyDescent="0.2">
      <c r="A16" s="8" t="s">
        <v>29</v>
      </c>
      <c r="B16" s="12" t="s">
        <v>30</v>
      </c>
      <c r="C16" s="12" t="s">
        <v>30</v>
      </c>
      <c r="D16" s="12" t="s">
        <v>30</v>
      </c>
      <c r="E16" s="12" t="s">
        <v>30</v>
      </c>
      <c r="F16" s="12" t="s">
        <v>30</v>
      </c>
      <c r="G16" s="12" t="s">
        <v>30</v>
      </c>
    </row>
    <row r="17" spans="1:7" ht="10.5" x14ac:dyDescent="0.2">
      <c r="A17" s="9" t="s">
        <v>126</v>
      </c>
      <c r="B17" s="4"/>
      <c r="C17" s="4"/>
      <c r="D17" s="4"/>
      <c r="E17" s="4"/>
      <c r="F17" s="4"/>
      <c r="G17" s="4"/>
    </row>
    <row r="18" spans="1:7" x14ac:dyDescent="0.2">
      <c r="A18" s="4" t="s">
        <v>127</v>
      </c>
      <c r="B18" s="15">
        <v>2755</v>
      </c>
      <c r="C18" s="15">
        <v>1873</v>
      </c>
      <c r="D18" s="15">
        <v>4137</v>
      </c>
      <c r="E18" s="15">
        <v>2510</v>
      </c>
      <c r="F18" s="15">
        <v>2345</v>
      </c>
      <c r="G18" s="15">
        <v>1915</v>
      </c>
    </row>
    <row r="19" spans="1:7" x14ac:dyDescent="0.2">
      <c r="A19" s="4" t="s">
        <v>128</v>
      </c>
      <c r="B19" s="15">
        <v>1029</v>
      </c>
      <c r="C19" s="15">
        <v>390</v>
      </c>
      <c r="D19" s="15">
        <v>1076</v>
      </c>
      <c r="E19" s="15">
        <v>1011</v>
      </c>
      <c r="F19" s="15">
        <v>2076</v>
      </c>
      <c r="G19" s="15">
        <v>2256</v>
      </c>
    </row>
    <row r="20" spans="1:7" ht="10.5" x14ac:dyDescent="0.2">
      <c r="A20" s="9" t="s">
        <v>129</v>
      </c>
      <c r="B20" s="19">
        <v>3784</v>
      </c>
      <c r="C20" s="19">
        <v>2263</v>
      </c>
      <c r="D20" s="19">
        <v>5213</v>
      </c>
      <c r="E20" s="19">
        <v>3521</v>
      </c>
      <c r="F20" s="19">
        <v>4421</v>
      </c>
      <c r="G20" s="19">
        <v>4171</v>
      </c>
    </row>
    <row r="21" spans="1:7" x14ac:dyDescent="0.2">
      <c r="A21" s="4"/>
      <c r="B21" s="4"/>
      <c r="C21" s="4"/>
      <c r="D21" s="4"/>
      <c r="E21" s="4"/>
      <c r="F21" s="4"/>
      <c r="G21" s="4"/>
    </row>
    <row r="22" spans="1:7" x14ac:dyDescent="0.2">
      <c r="A22" s="4" t="s">
        <v>130</v>
      </c>
      <c r="B22" s="15">
        <v>1504</v>
      </c>
      <c r="C22" s="15">
        <v>1550</v>
      </c>
      <c r="D22" s="15">
        <v>1396</v>
      </c>
      <c r="E22" s="15">
        <v>1263</v>
      </c>
      <c r="F22" s="15">
        <v>1263</v>
      </c>
      <c r="G22" s="15">
        <v>1366</v>
      </c>
    </row>
    <row r="23" spans="1:7" x14ac:dyDescent="0.2">
      <c r="A23" s="4" t="s">
        <v>131</v>
      </c>
      <c r="B23" s="15">
        <v>12</v>
      </c>
      <c r="C23" s="15">
        <v>6</v>
      </c>
      <c r="D23" s="15">
        <v>21</v>
      </c>
      <c r="E23" s="15">
        <v>41</v>
      </c>
      <c r="F23" s="15">
        <v>93</v>
      </c>
      <c r="G23" s="15">
        <v>111</v>
      </c>
    </row>
    <row r="24" spans="1:7" ht="10.5" x14ac:dyDescent="0.2">
      <c r="A24" s="9" t="s">
        <v>132</v>
      </c>
      <c r="B24" s="19">
        <v>1516</v>
      </c>
      <c r="C24" s="19">
        <v>1556</v>
      </c>
      <c r="D24" s="19">
        <v>1417</v>
      </c>
      <c r="E24" s="19">
        <v>1304</v>
      </c>
      <c r="F24" s="19">
        <v>1356</v>
      </c>
      <c r="G24" s="19">
        <v>1477</v>
      </c>
    </row>
    <row r="25" spans="1:7" x14ac:dyDescent="0.2">
      <c r="A25" s="4"/>
      <c r="B25" s="4"/>
      <c r="C25" s="4"/>
      <c r="D25" s="4"/>
      <c r="E25" s="4"/>
      <c r="F25" s="4"/>
      <c r="G25" s="4"/>
    </row>
    <row r="26" spans="1:7" x14ac:dyDescent="0.2">
      <c r="A26" s="4" t="s">
        <v>133</v>
      </c>
      <c r="B26" s="15">
        <v>2264</v>
      </c>
      <c r="C26" s="15">
        <v>2617</v>
      </c>
      <c r="D26" s="15">
        <v>2433</v>
      </c>
      <c r="E26" s="15">
        <v>2069</v>
      </c>
      <c r="F26" s="15">
        <v>2339</v>
      </c>
      <c r="G26" s="15">
        <v>2584</v>
      </c>
    </row>
    <row r="27" spans="1:7" x14ac:dyDescent="0.2">
      <c r="A27" s="4" t="s">
        <v>134</v>
      </c>
      <c r="B27" s="15">
        <v>4637</v>
      </c>
      <c r="C27" s="15">
        <v>4882</v>
      </c>
      <c r="D27" s="15">
        <v>4280</v>
      </c>
      <c r="E27" s="15">
        <v>3093</v>
      </c>
      <c r="F27" s="15">
        <v>3349</v>
      </c>
      <c r="G27" s="15">
        <v>3848</v>
      </c>
    </row>
    <row r="28" spans="1:7" x14ac:dyDescent="0.2">
      <c r="A28" s="4" t="s">
        <v>135</v>
      </c>
      <c r="B28" s="15">
        <v>1372</v>
      </c>
      <c r="C28" s="15">
        <v>1110</v>
      </c>
      <c r="D28" s="15">
        <v>247</v>
      </c>
      <c r="E28" s="15">
        <v>178</v>
      </c>
      <c r="F28" s="15">
        <v>287</v>
      </c>
      <c r="G28" s="15">
        <v>747</v>
      </c>
    </row>
    <row r="29" spans="1:7" x14ac:dyDescent="0.2">
      <c r="A29" s="4" t="s">
        <v>136</v>
      </c>
      <c r="B29" s="15">
        <v>176</v>
      </c>
      <c r="C29" s="15">
        <v>150</v>
      </c>
      <c r="D29" s="15">
        <v>303</v>
      </c>
      <c r="E29" s="15">
        <v>642</v>
      </c>
      <c r="F29" s="15">
        <v>437</v>
      </c>
      <c r="G29" s="15">
        <v>436</v>
      </c>
    </row>
    <row r="30" spans="1:7" ht="10.5" x14ac:dyDescent="0.2">
      <c r="A30" s="9" t="s">
        <v>137</v>
      </c>
      <c r="B30" s="19">
        <v>13749</v>
      </c>
      <c r="C30" s="19">
        <v>12578</v>
      </c>
      <c r="D30" s="19">
        <v>13893</v>
      </c>
      <c r="E30" s="19">
        <v>10807</v>
      </c>
      <c r="F30" s="19">
        <v>12189</v>
      </c>
      <c r="G30" s="19">
        <v>13263</v>
      </c>
    </row>
    <row r="31" spans="1:7" x14ac:dyDescent="0.2">
      <c r="A31" s="4"/>
      <c r="B31" s="4"/>
      <c r="C31" s="4"/>
      <c r="D31" s="4"/>
      <c r="E31" s="4"/>
      <c r="F31" s="4"/>
      <c r="G31" s="4"/>
    </row>
    <row r="32" spans="1:7" x14ac:dyDescent="0.2">
      <c r="A32" s="4" t="s">
        <v>138</v>
      </c>
      <c r="B32" s="15">
        <v>34362</v>
      </c>
      <c r="C32" s="15">
        <v>39175</v>
      </c>
      <c r="D32" s="15">
        <v>37904</v>
      </c>
      <c r="E32" s="15">
        <v>33335</v>
      </c>
      <c r="F32" s="15">
        <v>33335</v>
      </c>
      <c r="G32" s="15" t="s">
        <v>35</v>
      </c>
    </row>
    <row r="33" spans="1:7" x14ac:dyDescent="0.2">
      <c r="A33" s="4" t="s">
        <v>139</v>
      </c>
      <c r="B33" s="15">
        <v>-15841</v>
      </c>
      <c r="C33" s="15">
        <v>-12291</v>
      </c>
      <c r="D33" s="15">
        <v>-12559</v>
      </c>
      <c r="E33" s="15">
        <v>-10451</v>
      </c>
      <c r="F33" s="15">
        <v>-10566</v>
      </c>
      <c r="G33" s="15" t="s">
        <v>35</v>
      </c>
    </row>
    <row r="34" spans="1:7" ht="10.5" x14ac:dyDescent="0.2">
      <c r="A34" s="9" t="s">
        <v>140</v>
      </c>
      <c r="B34" s="19">
        <v>18521</v>
      </c>
      <c r="C34" s="19">
        <v>26884</v>
      </c>
      <c r="D34" s="19">
        <v>25345</v>
      </c>
      <c r="E34" s="19">
        <v>22884</v>
      </c>
      <c r="F34" s="19">
        <v>22769</v>
      </c>
      <c r="G34" s="19">
        <v>21997</v>
      </c>
    </row>
    <row r="35" spans="1:7" x14ac:dyDescent="0.2">
      <c r="A35" s="4"/>
      <c r="B35" s="4"/>
      <c r="C35" s="4"/>
      <c r="D35" s="4"/>
      <c r="E35" s="4"/>
      <c r="F35" s="4"/>
      <c r="G35" s="4"/>
    </row>
    <row r="36" spans="1:7" x14ac:dyDescent="0.2">
      <c r="A36" s="4" t="s">
        <v>141</v>
      </c>
      <c r="B36" s="15">
        <v>602</v>
      </c>
      <c r="C36" s="15">
        <v>519</v>
      </c>
      <c r="D36" s="15">
        <v>78</v>
      </c>
      <c r="E36" s="15">
        <v>94</v>
      </c>
      <c r="F36" s="15">
        <v>98</v>
      </c>
      <c r="G36" s="15">
        <v>113</v>
      </c>
    </row>
    <row r="37" spans="1:7" x14ac:dyDescent="0.2">
      <c r="A37" s="4" t="s">
        <v>142</v>
      </c>
      <c r="B37" s="15">
        <v>1588</v>
      </c>
      <c r="C37" s="15">
        <v>5238</v>
      </c>
      <c r="D37" s="15">
        <v>4876</v>
      </c>
      <c r="E37" s="15">
        <v>4782</v>
      </c>
      <c r="F37" s="15">
        <v>4731</v>
      </c>
      <c r="G37" s="15">
        <v>4739</v>
      </c>
    </row>
    <row r="38" spans="1:7" x14ac:dyDescent="0.2">
      <c r="A38" s="4" t="s">
        <v>143</v>
      </c>
      <c r="B38" s="15">
        <v>6885</v>
      </c>
      <c r="C38" s="15">
        <v>7868</v>
      </c>
      <c r="D38" s="15">
        <v>4171</v>
      </c>
      <c r="E38" s="15">
        <v>3309</v>
      </c>
      <c r="F38" s="15">
        <v>3141</v>
      </c>
      <c r="G38" s="15">
        <v>2994</v>
      </c>
    </row>
    <row r="39" spans="1:7" x14ac:dyDescent="0.2">
      <c r="A39" s="4" t="s">
        <v>144</v>
      </c>
      <c r="B39" s="15">
        <v>2020</v>
      </c>
      <c r="C39" s="15">
        <v>2163</v>
      </c>
      <c r="D39" s="15">
        <v>1943</v>
      </c>
      <c r="E39" s="15">
        <v>1537</v>
      </c>
      <c r="F39" s="15">
        <v>2129</v>
      </c>
      <c r="G39" s="15">
        <v>2124</v>
      </c>
    </row>
    <row r="40" spans="1:7" x14ac:dyDescent="0.2">
      <c r="A40" s="4" t="s">
        <v>145</v>
      </c>
      <c r="B40" s="15">
        <v>186</v>
      </c>
      <c r="C40" s="15">
        <v>243</v>
      </c>
      <c r="D40" s="15">
        <v>166</v>
      </c>
      <c r="E40" s="15">
        <v>170</v>
      </c>
      <c r="F40" s="15">
        <v>159</v>
      </c>
      <c r="G40" s="15">
        <v>202</v>
      </c>
    </row>
    <row r="41" spans="1:7" x14ac:dyDescent="0.2">
      <c r="A41" s="4" t="s">
        <v>146</v>
      </c>
      <c r="B41" s="15">
        <v>116</v>
      </c>
      <c r="C41" s="15">
        <v>191</v>
      </c>
      <c r="D41" s="15">
        <v>319</v>
      </c>
      <c r="E41" s="15">
        <v>485</v>
      </c>
      <c r="F41" s="15">
        <v>21</v>
      </c>
      <c r="G41" s="15">
        <v>19</v>
      </c>
    </row>
    <row r="42" spans="1:7" x14ac:dyDescent="0.2">
      <c r="A42" s="4" t="s">
        <v>147</v>
      </c>
      <c r="B42" s="15">
        <v>1217</v>
      </c>
      <c r="C42" s="15">
        <v>1214</v>
      </c>
      <c r="D42" s="15">
        <v>2356</v>
      </c>
      <c r="E42" s="15">
        <v>1444</v>
      </c>
      <c r="F42" s="15">
        <v>4114</v>
      </c>
      <c r="G42" s="15">
        <v>2092</v>
      </c>
    </row>
    <row r="43" spans="1:7" ht="10.5" x14ac:dyDescent="0.2">
      <c r="A43" s="9" t="s">
        <v>148</v>
      </c>
      <c r="B43" s="20">
        <v>44884</v>
      </c>
      <c r="C43" s="20">
        <v>56898</v>
      </c>
      <c r="D43" s="20">
        <v>53147</v>
      </c>
      <c r="E43" s="20">
        <v>45512</v>
      </c>
      <c r="F43" s="20">
        <v>49351</v>
      </c>
      <c r="G43" s="20">
        <v>47543</v>
      </c>
    </row>
    <row r="44" spans="1:7" x14ac:dyDescent="0.2">
      <c r="A44" s="4"/>
      <c r="B44" s="4"/>
      <c r="C44" s="4"/>
      <c r="D44" s="4"/>
      <c r="E44" s="4"/>
      <c r="F44" s="4"/>
      <c r="G44" s="4"/>
    </row>
    <row r="45" spans="1:7" ht="10.5" x14ac:dyDescent="0.2">
      <c r="A45" s="9" t="s">
        <v>149</v>
      </c>
      <c r="B45" s="4"/>
      <c r="C45" s="4"/>
      <c r="D45" s="4"/>
      <c r="E45" s="4"/>
      <c r="F45" s="4"/>
      <c r="G45" s="4"/>
    </row>
    <row r="46" spans="1:7" x14ac:dyDescent="0.2">
      <c r="A46" s="4" t="s">
        <v>150</v>
      </c>
      <c r="B46" s="15">
        <v>8994</v>
      </c>
      <c r="C46" s="15">
        <v>9131</v>
      </c>
      <c r="D46" s="15">
        <v>8922</v>
      </c>
      <c r="E46" s="15">
        <v>8399</v>
      </c>
      <c r="F46" s="15">
        <v>9181</v>
      </c>
      <c r="G46" s="15">
        <v>9799</v>
      </c>
    </row>
    <row r="47" spans="1:7" x14ac:dyDescent="0.2">
      <c r="A47" s="4" t="s">
        <v>151</v>
      </c>
      <c r="B47" s="15">
        <v>357</v>
      </c>
      <c r="C47" s="15">
        <v>387</v>
      </c>
      <c r="D47" s="15">
        <v>1142</v>
      </c>
      <c r="E47" s="15">
        <v>559</v>
      </c>
      <c r="F47" s="15">
        <v>605</v>
      </c>
      <c r="G47" s="15">
        <v>882</v>
      </c>
    </row>
    <row r="48" spans="1:7" x14ac:dyDescent="0.2">
      <c r="A48" s="4" t="s">
        <v>152</v>
      </c>
      <c r="B48" s="15">
        <v>1110</v>
      </c>
      <c r="C48" s="15">
        <v>1176</v>
      </c>
      <c r="D48" s="15">
        <v>1077</v>
      </c>
      <c r="E48" s="15">
        <v>521</v>
      </c>
      <c r="F48" s="15">
        <v>120</v>
      </c>
      <c r="G48" s="15">
        <v>173</v>
      </c>
    </row>
    <row r="49" spans="1:7" x14ac:dyDescent="0.2">
      <c r="A49" s="4" t="s">
        <v>153</v>
      </c>
      <c r="B49" s="15">
        <v>12</v>
      </c>
      <c r="C49" s="15">
        <v>646</v>
      </c>
      <c r="D49" s="15">
        <v>598</v>
      </c>
      <c r="E49" s="15">
        <v>575</v>
      </c>
      <c r="F49" s="15">
        <v>547</v>
      </c>
      <c r="G49" s="15">
        <v>591</v>
      </c>
    </row>
    <row r="50" spans="1:7" x14ac:dyDescent="0.2">
      <c r="A50" s="4" t="s">
        <v>154</v>
      </c>
      <c r="B50" s="15">
        <v>7812</v>
      </c>
      <c r="C50" s="15">
        <v>8832</v>
      </c>
      <c r="D50" s="15">
        <v>6377</v>
      </c>
      <c r="E50" s="15">
        <v>5321</v>
      </c>
      <c r="F50" s="15">
        <v>4729</v>
      </c>
      <c r="G50" s="15">
        <v>4576</v>
      </c>
    </row>
    <row r="51" spans="1:7" x14ac:dyDescent="0.2">
      <c r="A51" s="4" t="s">
        <v>155</v>
      </c>
      <c r="B51" s="15">
        <v>335</v>
      </c>
      <c r="C51" s="15">
        <v>325</v>
      </c>
      <c r="D51" s="15">
        <v>324</v>
      </c>
      <c r="E51" s="15">
        <v>79</v>
      </c>
      <c r="F51" s="15">
        <v>11</v>
      </c>
      <c r="G51" s="15">
        <v>27</v>
      </c>
    </row>
    <row r="52" spans="1:7" x14ac:dyDescent="0.2">
      <c r="A52" s="4" t="s">
        <v>156</v>
      </c>
      <c r="B52" s="15">
        <v>613</v>
      </c>
      <c r="C52" s="15">
        <v>476</v>
      </c>
      <c r="D52" s="15">
        <v>216</v>
      </c>
      <c r="E52" s="15">
        <v>543</v>
      </c>
      <c r="F52" s="15">
        <v>946</v>
      </c>
      <c r="G52" s="15">
        <v>851</v>
      </c>
    </row>
    <row r="53" spans="1:7" ht="10.5" x14ac:dyDescent="0.2">
      <c r="A53" s="9" t="s">
        <v>157</v>
      </c>
      <c r="B53" s="19">
        <v>19233</v>
      </c>
      <c r="C53" s="19">
        <v>20973</v>
      </c>
      <c r="D53" s="19">
        <v>18656</v>
      </c>
      <c r="E53" s="19">
        <v>15997</v>
      </c>
      <c r="F53" s="19">
        <v>16139</v>
      </c>
      <c r="G53" s="19">
        <v>16899</v>
      </c>
    </row>
    <row r="54" spans="1:7" x14ac:dyDescent="0.2">
      <c r="A54" s="4"/>
      <c r="B54" s="4"/>
      <c r="C54" s="4"/>
      <c r="D54" s="4"/>
      <c r="E54" s="4"/>
      <c r="F54" s="4"/>
      <c r="G54" s="4"/>
    </row>
    <row r="55" spans="1:7" x14ac:dyDescent="0.2">
      <c r="A55" s="4" t="s">
        <v>158</v>
      </c>
      <c r="B55" s="15">
        <v>7032</v>
      </c>
      <c r="C55" s="15">
        <v>5580</v>
      </c>
      <c r="D55" s="15">
        <v>6005</v>
      </c>
      <c r="E55" s="15">
        <v>6188</v>
      </c>
      <c r="F55" s="15">
        <v>6674</v>
      </c>
      <c r="G55" s="15">
        <v>6523</v>
      </c>
    </row>
    <row r="56" spans="1:7" x14ac:dyDescent="0.2">
      <c r="A56" s="4" t="s">
        <v>159</v>
      </c>
      <c r="B56" s="15">
        <v>110</v>
      </c>
      <c r="C56" s="15">
        <v>9859</v>
      </c>
      <c r="D56" s="15">
        <v>8968</v>
      </c>
      <c r="E56" s="15">
        <v>7827</v>
      </c>
      <c r="F56" s="15">
        <v>7411</v>
      </c>
      <c r="G56" s="15">
        <v>7408</v>
      </c>
    </row>
    <row r="57" spans="1:7" x14ac:dyDescent="0.2">
      <c r="A57" s="4" t="s">
        <v>160</v>
      </c>
      <c r="B57" s="15">
        <v>2980</v>
      </c>
      <c r="C57" s="15">
        <v>3296</v>
      </c>
      <c r="D57" s="15">
        <v>1830</v>
      </c>
      <c r="E57" s="15">
        <v>1017</v>
      </c>
      <c r="F57" s="15">
        <v>1650</v>
      </c>
      <c r="G57" s="15">
        <v>1893</v>
      </c>
    </row>
    <row r="58" spans="1:7" x14ac:dyDescent="0.2">
      <c r="A58" s="4" t="s">
        <v>161</v>
      </c>
      <c r="B58" s="15">
        <v>3282</v>
      </c>
      <c r="C58" s="15">
        <v>2808</v>
      </c>
      <c r="D58" s="15">
        <v>3085</v>
      </c>
      <c r="E58" s="15">
        <v>1222</v>
      </c>
      <c r="F58" s="15">
        <v>303</v>
      </c>
      <c r="G58" s="15">
        <v>242</v>
      </c>
    </row>
    <row r="59" spans="1:7" x14ac:dyDescent="0.2">
      <c r="A59" s="4" t="s">
        <v>162</v>
      </c>
      <c r="B59" s="15">
        <v>88</v>
      </c>
      <c r="C59" s="15">
        <v>49</v>
      </c>
      <c r="D59" s="15">
        <v>40</v>
      </c>
      <c r="E59" s="15">
        <v>48</v>
      </c>
      <c r="F59" s="15">
        <v>910</v>
      </c>
      <c r="G59" s="15">
        <v>229</v>
      </c>
    </row>
    <row r="60" spans="1:7" x14ac:dyDescent="0.2">
      <c r="A60" s="4" t="s">
        <v>163</v>
      </c>
      <c r="B60" s="15">
        <v>1679</v>
      </c>
      <c r="C60" s="15">
        <v>901</v>
      </c>
      <c r="D60" s="15">
        <v>1194</v>
      </c>
      <c r="E60" s="15">
        <v>1154</v>
      </c>
      <c r="F60" s="15">
        <v>620</v>
      </c>
      <c r="G60" s="15">
        <v>672</v>
      </c>
    </row>
    <row r="61" spans="1:7" ht="10.5" x14ac:dyDescent="0.2">
      <c r="A61" s="9" t="s">
        <v>164</v>
      </c>
      <c r="B61" s="19">
        <v>34404</v>
      </c>
      <c r="C61" s="19">
        <v>43466</v>
      </c>
      <c r="D61" s="19">
        <v>39778</v>
      </c>
      <c r="E61" s="19">
        <v>33453</v>
      </c>
      <c r="F61" s="19">
        <v>33707</v>
      </c>
      <c r="G61" s="19">
        <v>33866</v>
      </c>
    </row>
    <row r="62" spans="1:7" x14ac:dyDescent="0.2">
      <c r="A62" s="4"/>
      <c r="B62" s="4"/>
      <c r="C62" s="4"/>
      <c r="D62" s="4"/>
      <c r="E62" s="4"/>
      <c r="F62" s="4"/>
      <c r="G62" s="4"/>
    </row>
    <row r="63" spans="1:7" x14ac:dyDescent="0.2">
      <c r="A63" s="4" t="s">
        <v>165</v>
      </c>
      <c r="B63" s="15">
        <v>410</v>
      </c>
      <c r="C63" s="15">
        <v>490</v>
      </c>
      <c r="D63" s="15">
        <v>490</v>
      </c>
      <c r="E63" s="15">
        <v>490</v>
      </c>
      <c r="F63" s="15">
        <v>484</v>
      </c>
      <c r="G63" s="15">
        <v>474</v>
      </c>
    </row>
    <row r="64" spans="1:7" x14ac:dyDescent="0.2">
      <c r="A64" s="4" t="s">
        <v>166</v>
      </c>
      <c r="B64" s="15">
        <v>5107</v>
      </c>
      <c r="C64" s="15">
        <v>5165</v>
      </c>
      <c r="D64" s="15">
        <v>5165</v>
      </c>
      <c r="E64" s="15">
        <v>5165</v>
      </c>
      <c r="F64" s="15">
        <v>5165</v>
      </c>
      <c r="G64" s="15">
        <v>5165</v>
      </c>
    </row>
    <row r="65" spans="1:7" x14ac:dyDescent="0.2">
      <c r="A65" s="4" t="s">
        <v>167</v>
      </c>
      <c r="B65" s="15">
        <v>4250</v>
      </c>
      <c r="C65" s="15">
        <v>4031</v>
      </c>
      <c r="D65" s="15">
        <v>4078</v>
      </c>
      <c r="E65" s="15">
        <v>3239</v>
      </c>
      <c r="F65" s="15">
        <v>6932</v>
      </c>
      <c r="G65" s="15">
        <v>4844</v>
      </c>
    </row>
    <row r="66" spans="1:7" x14ac:dyDescent="0.2">
      <c r="A66" s="4" t="s">
        <v>168</v>
      </c>
      <c r="B66" s="15">
        <v>-16</v>
      </c>
      <c r="C66" s="15">
        <v>-179</v>
      </c>
      <c r="D66" s="15">
        <v>-250</v>
      </c>
      <c r="E66" s="15">
        <v>-188</v>
      </c>
      <c r="F66" s="15">
        <v>-365</v>
      </c>
      <c r="G66" s="15">
        <v>-302</v>
      </c>
    </row>
    <row r="67" spans="1:7" x14ac:dyDescent="0.2">
      <c r="A67" s="4" t="s">
        <v>169</v>
      </c>
      <c r="B67" s="15">
        <v>751</v>
      </c>
      <c r="C67" s="15">
        <v>3949</v>
      </c>
      <c r="D67" s="15">
        <v>3908</v>
      </c>
      <c r="E67" s="15">
        <v>3371</v>
      </c>
      <c r="F67" s="15">
        <v>3444</v>
      </c>
      <c r="G67" s="15">
        <v>3507</v>
      </c>
    </row>
    <row r="68" spans="1:7" ht="10.5" x14ac:dyDescent="0.2">
      <c r="A68" s="9" t="s">
        <v>170</v>
      </c>
      <c r="B68" s="19">
        <v>10502</v>
      </c>
      <c r="C68" s="19">
        <v>13456</v>
      </c>
      <c r="D68" s="19">
        <v>13391</v>
      </c>
      <c r="E68" s="19">
        <v>12077</v>
      </c>
      <c r="F68" s="19">
        <v>15660</v>
      </c>
      <c r="G68" s="19">
        <v>13688</v>
      </c>
    </row>
    <row r="69" spans="1:7" x14ac:dyDescent="0.2">
      <c r="A69" s="4"/>
      <c r="B69" s="4"/>
      <c r="C69" s="4"/>
      <c r="D69" s="4"/>
      <c r="E69" s="4"/>
      <c r="F69" s="4"/>
      <c r="G69" s="4"/>
    </row>
    <row r="70" spans="1:7" x14ac:dyDescent="0.2">
      <c r="A70" s="4" t="s">
        <v>171</v>
      </c>
      <c r="B70" s="15">
        <v>-22</v>
      </c>
      <c r="C70" s="15">
        <v>-24</v>
      </c>
      <c r="D70" s="15">
        <v>-22</v>
      </c>
      <c r="E70" s="15">
        <v>-18</v>
      </c>
      <c r="F70" s="15">
        <v>-16</v>
      </c>
      <c r="G70" s="15">
        <v>-11</v>
      </c>
    </row>
    <row r="71" spans="1:7" x14ac:dyDescent="0.2">
      <c r="A71" s="4"/>
      <c r="B71" s="4"/>
      <c r="C71" s="4"/>
      <c r="D71" s="4"/>
      <c r="E71" s="4"/>
      <c r="F71" s="4"/>
      <c r="G71" s="4"/>
    </row>
    <row r="72" spans="1:7" ht="10.5" x14ac:dyDescent="0.2">
      <c r="A72" s="9" t="s">
        <v>172</v>
      </c>
      <c r="B72" s="24">
        <v>10480</v>
      </c>
      <c r="C72" s="24">
        <v>13432</v>
      </c>
      <c r="D72" s="24">
        <v>13369</v>
      </c>
      <c r="E72" s="24">
        <v>12059</v>
      </c>
      <c r="F72" s="24">
        <v>15644</v>
      </c>
      <c r="G72" s="24">
        <v>13677</v>
      </c>
    </row>
    <row r="73" spans="1:7" x14ac:dyDescent="0.2">
      <c r="A73" s="4"/>
      <c r="B73" s="4"/>
      <c r="C73" s="4"/>
      <c r="D73" s="4"/>
      <c r="E73" s="4"/>
      <c r="F73" s="4"/>
      <c r="G73" s="4"/>
    </row>
    <row r="74" spans="1:7" ht="10.5" x14ac:dyDescent="0.2">
      <c r="A74" s="9" t="s">
        <v>173</v>
      </c>
      <c r="B74" s="25">
        <v>44884</v>
      </c>
      <c r="C74" s="25">
        <v>56898</v>
      </c>
      <c r="D74" s="25">
        <v>53147</v>
      </c>
      <c r="E74" s="25">
        <v>45512</v>
      </c>
      <c r="F74" s="25">
        <v>49351</v>
      </c>
      <c r="G74" s="25">
        <v>47543</v>
      </c>
    </row>
    <row r="75" spans="1:7" x14ac:dyDescent="0.2">
      <c r="A75" s="4"/>
      <c r="B75" s="4"/>
      <c r="C75" s="4"/>
      <c r="D75" s="4"/>
      <c r="E75" s="4"/>
      <c r="F75" s="4"/>
      <c r="G75" s="4"/>
    </row>
    <row r="76" spans="1:7" ht="10.5" x14ac:dyDescent="0.2">
      <c r="A76" s="9" t="s">
        <v>85</v>
      </c>
      <c r="B76" s="4"/>
      <c r="C76" s="4"/>
      <c r="D76" s="4"/>
      <c r="E76" s="4"/>
      <c r="F76" s="4"/>
      <c r="G76" s="4"/>
    </row>
    <row r="77" spans="1:7" x14ac:dyDescent="0.2">
      <c r="A77" s="4" t="s">
        <v>174</v>
      </c>
      <c r="B77" s="15">
        <v>6449.999965</v>
      </c>
      <c r="C77" s="15">
        <v>7655.5262739999998</v>
      </c>
      <c r="D77" s="15">
        <v>7671.3157490000003</v>
      </c>
      <c r="E77" s="15">
        <v>7673.30782</v>
      </c>
      <c r="F77" s="15">
        <v>7588.0865309999999</v>
      </c>
      <c r="G77" s="15">
        <v>7492</v>
      </c>
    </row>
    <row r="78" spans="1:7" x14ac:dyDescent="0.2">
      <c r="A78" s="4" t="s">
        <v>175</v>
      </c>
      <c r="B78" s="15">
        <v>6449.999965</v>
      </c>
      <c r="C78" s="15">
        <v>7655.5262739999998</v>
      </c>
      <c r="D78" s="15">
        <v>7671.3157490000003</v>
      </c>
      <c r="E78" s="15">
        <v>7673.30782</v>
      </c>
      <c r="F78" s="15">
        <v>7588.0865309999999</v>
      </c>
      <c r="G78" s="15">
        <v>7492</v>
      </c>
    </row>
    <row r="79" spans="1:7" x14ac:dyDescent="0.2">
      <c r="A79" s="4" t="s">
        <v>176</v>
      </c>
      <c r="B79" s="16">
        <v>1.628217</v>
      </c>
      <c r="C79" s="16">
        <v>1.757684</v>
      </c>
      <c r="D79" s="16">
        <v>1.745593</v>
      </c>
      <c r="E79" s="16">
        <v>1.5738970000000001</v>
      </c>
      <c r="F79" s="16">
        <v>2.063761</v>
      </c>
      <c r="G79" s="16">
        <v>1.8270150000000001</v>
      </c>
    </row>
    <row r="80" spans="1:7" x14ac:dyDescent="0.2">
      <c r="A80" s="4" t="s">
        <v>177</v>
      </c>
      <c r="B80" s="15">
        <v>7841</v>
      </c>
      <c r="C80" s="15">
        <v>7192</v>
      </c>
      <c r="D80" s="15">
        <v>7601</v>
      </c>
      <c r="E80" s="15">
        <v>6684</v>
      </c>
      <c r="F80" s="15">
        <v>10300</v>
      </c>
      <c r="G80" s="15">
        <v>8324</v>
      </c>
    </row>
    <row r="81" spans="1:7" x14ac:dyDescent="0.2">
      <c r="A81" s="4" t="s">
        <v>178</v>
      </c>
      <c r="B81" s="16">
        <v>1.2156579999999999</v>
      </c>
      <c r="C81" s="16">
        <v>0.93945199999999995</v>
      </c>
      <c r="D81" s="16">
        <v>0.99083299999999996</v>
      </c>
      <c r="E81" s="16">
        <v>0.87107100000000004</v>
      </c>
      <c r="F81" s="16">
        <v>1.3573900000000001</v>
      </c>
      <c r="G81" s="16">
        <v>1.111051</v>
      </c>
    </row>
    <row r="82" spans="1:7" x14ac:dyDescent="0.2">
      <c r="A82" s="4" t="s">
        <v>179</v>
      </c>
      <c r="B82" s="15">
        <v>8621</v>
      </c>
      <c r="C82" s="15">
        <v>17648</v>
      </c>
      <c r="D82" s="15">
        <v>17790</v>
      </c>
      <c r="E82" s="15">
        <v>15670</v>
      </c>
      <c r="F82" s="15">
        <v>15357</v>
      </c>
      <c r="G82" s="15">
        <v>15577</v>
      </c>
    </row>
    <row r="83" spans="1:7" x14ac:dyDescent="0.2">
      <c r="A83" s="4" t="s">
        <v>180</v>
      </c>
      <c r="B83" s="15">
        <v>4837</v>
      </c>
      <c r="C83" s="15">
        <v>15385</v>
      </c>
      <c r="D83" s="15">
        <v>12577</v>
      </c>
      <c r="E83" s="15">
        <v>12149</v>
      </c>
      <c r="F83" s="15">
        <v>10936</v>
      </c>
      <c r="G83" s="15">
        <v>11406</v>
      </c>
    </row>
    <row r="84" spans="1:7" x14ac:dyDescent="0.2">
      <c r="A84" s="4" t="s">
        <v>181</v>
      </c>
      <c r="B84" s="15">
        <v>3282</v>
      </c>
      <c r="C84" s="15">
        <v>2808</v>
      </c>
      <c r="D84" s="15">
        <v>3085</v>
      </c>
      <c r="E84" s="15">
        <v>1222</v>
      </c>
      <c r="F84" s="15">
        <v>-2847</v>
      </c>
      <c r="G84" s="15" t="s">
        <v>90</v>
      </c>
    </row>
    <row r="85" spans="1:7" x14ac:dyDescent="0.2">
      <c r="A85" s="4" t="s">
        <v>182</v>
      </c>
      <c r="B85" s="15">
        <v>8144</v>
      </c>
      <c r="C85" s="15">
        <v>-344</v>
      </c>
      <c r="D85" s="15">
        <v>-88</v>
      </c>
      <c r="E85" s="15">
        <v>-24</v>
      </c>
      <c r="F85" s="15">
        <v>56</v>
      </c>
      <c r="G85" s="15" t="s">
        <v>90</v>
      </c>
    </row>
    <row r="86" spans="1:7" x14ac:dyDescent="0.2">
      <c r="A86" s="4" t="s">
        <v>183</v>
      </c>
      <c r="B86" s="15">
        <v>-22</v>
      </c>
      <c r="C86" s="15">
        <v>-24</v>
      </c>
      <c r="D86" s="15">
        <v>-22</v>
      </c>
      <c r="E86" s="15">
        <v>-18</v>
      </c>
      <c r="F86" s="15">
        <v>-16</v>
      </c>
      <c r="G86" s="15">
        <v>-11</v>
      </c>
    </row>
    <row r="87" spans="1:7" x14ac:dyDescent="0.2">
      <c r="A87" s="4" t="s">
        <v>184</v>
      </c>
      <c r="B87" s="15">
        <v>599</v>
      </c>
      <c r="C87" s="15">
        <v>516</v>
      </c>
      <c r="D87" s="15">
        <v>71</v>
      </c>
      <c r="E87" s="15">
        <v>85</v>
      </c>
      <c r="F87" s="15">
        <v>86</v>
      </c>
      <c r="G87" s="15">
        <v>90</v>
      </c>
    </row>
    <row r="88" spans="1:7" x14ac:dyDescent="0.2">
      <c r="A88" s="4" t="s">
        <v>185</v>
      </c>
      <c r="B88" s="14" t="s">
        <v>186</v>
      </c>
      <c r="C88" s="14" t="s">
        <v>186</v>
      </c>
      <c r="D88" s="14" t="s">
        <v>186</v>
      </c>
      <c r="E88" s="14" t="s">
        <v>186</v>
      </c>
      <c r="F88" s="14" t="s">
        <v>186</v>
      </c>
      <c r="G88" s="14" t="s">
        <v>90</v>
      </c>
    </row>
    <row r="89" spans="1:7" x14ac:dyDescent="0.2">
      <c r="A89" s="4" t="s">
        <v>187</v>
      </c>
      <c r="B89" s="15">
        <v>4</v>
      </c>
      <c r="C89" s="15">
        <v>6</v>
      </c>
      <c r="D89" s="15">
        <v>4</v>
      </c>
      <c r="E89" s="15">
        <v>3</v>
      </c>
      <c r="F89" s="15">
        <v>3</v>
      </c>
      <c r="G89" s="15" t="s">
        <v>90</v>
      </c>
    </row>
    <row r="90" spans="1:7" x14ac:dyDescent="0.2">
      <c r="A90" s="4" t="s">
        <v>188</v>
      </c>
      <c r="B90" s="15">
        <v>2260</v>
      </c>
      <c r="C90" s="15">
        <v>2611</v>
      </c>
      <c r="D90" s="15">
        <v>2429</v>
      </c>
      <c r="E90" s="15">
        <v>2066</v>
      </c>
      <c r="F90" s="15">
        <v>2336</v>
      </c>
      <c r="G90" s="15" t="s">
        <v>90</v>
      </c>
    </row>
    <row r="91" spans="1:7" x14ac:dyDescent="0.2">
      <c r="A91" s="4" t="s">
        <v>189</v>
      </c>
      <c r="B91" s="15">
        <v>23385</v>
      </c>
      <c r="C91" s="15">
        <v>24447</v>
      </c>
      <c r="D91" s="15">
        <v>24780</v>
      </c>
      <c r="E91" s="15">
        <v>21576</v>
      </c>
      <c r="F91" s="15">
        <v>21880</v>
      </c>
      <c r="G91" s="15" t="s">
        <v>90</v>
      </c>
    </row>
    <row r="92" spans="1:7" x14ac:dyDescent="0.2">
      <c r="A92" s="4" t="s">
        <v>190</v>
      </c>
      <c r="B92" s="15">
        <v>10852</v>
      </c>
      <c r="C92" s="15">
        <v>6884</v>
      </c>
      <c r="D92" s="15">
        <v>6811</v>
      </c>
      <c r="E92" s="15">
        <v>5533</v>
      </c>
      <c r="F92" s="15">
        <v>5437</v>
      </c>
      <c r="G92" s="15" t="s">
        <v>90</v>
      </c>
    </row>
    <row r="93" spans="1:7" x14ac:dyDescent="0.2">
      <c r="A93" s="4" t="s">
        <v>191</v>
      </c>
      <c r="B93" s="15">
        <v>125</v>
      </c>
      <c r="C93" s="15">
        <v>146</v>
      </c>
      <c r="D93" s="15">
        <v>202</v>
      </c>
      <c r="E93" s="15">
        <v>287</v>
      </c>
      <c r="F93" s="15">
        <v>309</v>
      </c>
      <c r="G93" s="15" t="s">
        <v>35</v>
      </c>
    </row>
    <row r="94" spans="1:7" x14ac:dyDescent="0.2">
      <c r="A94" s="4" t="s">
        <v>192</v>
      </c>
      <c r="B94" s="26">
        <v>440658</v>
      </c>
      <c r="C94" s="26">
        <v>454419</v>
      </c>
      <c r="D94" s="26">
        <v>405506</v>
      </c>
      <c r="E94" s="26">
        <v>300000</v>
      </c>
      <c r="F94" s="26">
        <v>345000</v>
      </c>
      <c r="G94" s="26" t="s">
        <v>90</v>
      </c>
    </row>
    <row r="95" spans="1:7" x14ac:dyDescent="0.2">
      <c r="A95" s="4" t="s">
        <v>100</v>
      </c>
      <c r="B95" s="23">
        <v>43635</v>
      </c>
      <c r="C95" s="23">
        <v>43964</v>
      </c>
      <c r="D95" s="23">
        <v>44300</v>
      </c>
      <c r="E95" s="23">
        <v>44678</v>
      </c>
      <c r="F95" s="23">
        <v>44678</v>
      </c>
      <c r="G95" s="23">
        <v>44839</v>
      </c>
    </row>
    <row r="96" spans="1:7" x14ac:dyDescent="0.2">
      <c r="A96" s="4" t="s">
        <v>101</v>
      </c>
      <c r="B96" s="14" t="s">
        <v>102</v>
      </c>
      <c r="C96" s="14" t="s">
        <v>102</v>
      </c>
      <c r="D96" s="14" t="s">
        <v>102</v>
      </c>
      <c r="E96" s="14" t="s">
        <v>102</v>
      </c>
      <c r="F96" s="14" t="s">
        <v>104</v>
      </c>
      <c r="G96" s="14" t="s">
        <v>104</v>
      </c>
    </row>
    <row r="97" spans="1:7" x14ac:dyDescent="0.2">
      <c r="A97" s="4" t="s">
        <v>105</v>
      </c>
      <c r="B97" s="14" t="s">
        <v>106</v>
      </c>
      <c r="C97" s="14" t="s">
        <v>106</v>
      </c>
      <c r="D97" s="14" t="s">
        <v>106</v>
      </c>
      <c r="E97" s="14" t="s">
        <v>106</v>
      </c>
      <c r="F97" s="14" t="s">
        <v>106</v>
      </c>
      <c r="G97" s="14" t="s">
        <v>106</v>
      </c>
    </row>
    <row r="98" spans="1:7" x14ac:dyDescent="0.2">
      <c r="A98" s="4"/>
      <c r="B98" s="4"/>
      <c r="C98" s="4"/>
      <c r="D98" s="4"/>
      <c r="E98" s="4"/>
      <c r="F98" s="4"/>
      <c r="G98" s="4"/>
    </row>
    <row r="99" spans="1:7" x14ac:dyDescent="0.2">
      <c r="A99" s="10"/>
      <c r="B99" s="10"/>
      <c r="C99" s="10"/>
      <c r="D99" s="10"/>
      <c r="E99" s="10"/>
      <c r="F99" s="10"/>
      <c r="G99" s="10"/>
    </row>
    <row r="100" spans="1:7" x14ac:dyDescent="0.2">
      <c r="A100" t="s">
        <v>193</v>
      </c>
    </row>
    <row r="101" spans="1:7" x14ac:dyDescent="0.2">
      <c r="A101" s="17" t="s">
        <v>118</v>
      </c>
    </row>
  </sheetData>
  <phoneticPr fontId="0" type="noConversion"/>
  <pageMargins left="0.2" right="0.2" top="0.5" bottom="0.5" header="0.5" footer="0.5"/>
  <pageSetup fitToWidth="0" fitToHeight="0" orientation="landscape" horizontalDpi="0" verticalDpi="0"/>
  <headerFooter alignWithMargins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  <pageSetUpPr autoPageBreaks="0"/>
  </sheetPr>
  <dimension ref="A5:IU79"/>
  <sheetViews>
    <sheetView topLeftCell="A19" workbookViewId="0"/>
  </sheetViews>
  <sheetFormatPr defaultRowHeight="10" x14ac:dyDescent="0.2"/>
  <cols>
    <col min="1" max="1" width="45.81640625" customWidth="1"/>
    <col min="2" max="7" width="14.81640625" customWidth="1"/>
  </cols>
  <sheetData>
    <row r="5" spans="1:255" ht="17" x14ac:dyDescent="0.35">
      <c r="A5" s="1" t="s">
        <v>194</v>
      </c>
    </row>
    <row r="7" spans="1:255" ht="10.5" x14ac:dyDescent="0.25">
      <c r="A7" s="2" t="s">
        <v>1</v>
      </c>
      <c r="B7" s="3" t="s">
        <v>2</v>
      </c>
      <c r="C7" t="s">
        <v>3</v>
      </c>
      <c r="D7" s="4" t="s">
        <v>4</v>
      </c>
      <c r="E7" s="3" t="s">
        <v>5</v>
      </c>
      <c r="F7" t="s">
        <v>6</v>
      </c>
    </row>
    <row r="8" spans="1:255" ht="10.5" x14ac:dyDescent="0.25">
      <c r="A8" s="4"/>
      <c r="B8" s="3" t="s">
        <v>7</v>
      </c>
      <c r="C8" t="s">
        <v>8</v>
      </c>
      <c r="D8" s="4" t="s">
        <v>4</v>
      </c>
      <c r="E8" s="3" t="s">
        <v>9</v>
      </c>
      <c r="F8" t="s">
        <v>10</v>
      </c>
    </row>
    <row r="9" spans="1:255" ht="10.5" x14ac:dyDescent="0.25">
      <c r="A9" s="4"/>
      <c r="B9" s="3" t="s">
        <v>11</v>
      </c>
      <c r="C9" t="s">
        <v>12</v>
      </c>
      <c r="D9" s="4" t="s">
        <v>4</v>
      </c>
      <c r="E9" s="3" t="s">
        <v>13</v>
      </c>
      <c r="F9" t="s">
        <v>14</v>
      </c>
    </row>
    <row r="10" spans="1:255" ht="10.5" x14ac:dyDescent="0.25">
      <c r="A10" s="4"/>
      <c r="B10" s="3" t="s">
        <v>15</v>
      </c>
      <c r="C10" t="s">
        <v>16</v>
      </c>
      <c r="D10" s="4" t="s">
        <v>4</v>
      </c>
      <c r="E10" s="3" t="s">
        <v>17</v>
      </c>
      <c r="F10" s="5" t="s">
        <v>18</v>
      </c>
    </row>
    <row r="11" spans="1:255" ht="10.5" x14ac:dyDescent="0.25">
      <c r="A11" s="4"/>
      <c r="B11" s="3" t="s">
        <v>19</v>
      </c>
      <c r="C11" t="s">
        <v>20</v>
      </c>
      <c r="D11" s="4" t="s">
        <v>4</v>
      </c>
      <c r="E11" s="18"/>
      <c r="F11" s="18"/>
    </row>
    <row r="14" spans="1:255" x14ac:dyDescent="0.2">
      <c r="A14" s="6" t="s">
        <v>195</v>
      </c>
      <c r="B14" s="6"/>
      <c r="C14" s="6"/>
      <c r="D14" s="6"/>
      <c r="E14" s="6"/>
      <c r="F14" s="6"/>
      <c r="G14" s="6"/>
      <c r="H14" s="29"/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  <c r="AR14" s="29"/>
      <c r="AS14" s="29"/>
      <c r="AT14" s="29"/>
      <c r="AU14" s="29"/>
      <c r="AV14" s="29"/>
      <c r="AW14" s="29"/>
      <c r="AX14" s="29"/>
      <c r="AY14" s="29"/>
      <c r="AZ14" s="29"/>
      <c r="BA14" s="29"/>
      <c r="BB14" s="29"/>
      <c r="BC14" s="29"/>
      <c r="BD14" s="29"/>
      <c r="BE14" s="29"/>
      <c r="BF14" s="29"/>
      <c r="BG14" s="29"/>
      <c r="BH14" s="29"/>
      <c r="BI14" s="29"/>
      <c r="BJ14" s="29"/>
      <c r="BK14" s="29"/>
      <c r="BL14" s="29"/>
      <c r="BM14" s="29"/>
      <c r="BN14" s="29"/>
      <c r="BO14" s="29"/>
      <c r="BP14" s="29"/>
      <c r="BQ14" s="29"/>
      <c r="BR14" s="29"/>
      <c r="BS14" s="29"/>
      <c r="BT14" s="29"/>
      <c r="BU14" s="29"/>
      <c r="BV14" s="29"/>
      <c r="BW14" s="29"/>
      <c r="BX14" s="29"/>
      <c r="BY14" s="29"/>
      <c r="BZ14" s="29"/>
      <c r="CA14" s="29"/>
      <c r="CB14" s="29"/>
      <c r="CC14" s="29"/>
      <c r="CD14" s="29"/>
      <c r="CE14" s="29"/>
      <c r="CF14" s="29"/>
      <c r="CG14" s="29"/>
      <c r="CH14" s="29"/>
      <c r="CI14" s="29"/>
      <c r="CJ14" s="29"/>
      <c r="CK14" s="29"/>
      <c r="CL14" s="29"/>
      <c r="CM14" s="29"/>
      <c r="CN14" s="29"/>
      <c r="CO14" s="29"/>
      <c r="CP14" s="29"/>
      <c r="CQ14" s="29"/>
      <c r="CR14" s="29"/>
      <c r="CS14" s="29"/>
      <c r="CT14" s="29"/>
      <c r="CU14" s="29"/>
      <c r="CV14" s="29"/>
      <c r="CW14" s="29"/>
      <c r="CX14" s="29"/>
      <c r="CY14" s="29"/>
      <c r="CZ14" s="29"/>
      <c r="DA14" s="29"/>
      <c r="DB14" s="29"/>
      <c r="DC14" s="29"/>
      <c r="DD14" s="29"/>
      <c r="DE14" s="29"/>
      <c r="DF14" s="29"/>
      <c r="DG14" s="29"/>
      <c r="DH14" s="29"/>
      <c r="DI14" s="29"/>
      <c r="DJ14" s="29"/>
      <c r="DK14" s="29"/>
      <c r="DL14" s="29"/>
      <c r="DM14" s="29"/>
      <c r="DN14" s="29"/>
      <c r="DO14" s="29"/>
      <c r="DP14" s="29"/>
      <c r="DQ14" s="29"/>
      <c r="DR14" s="29"/>
      <c r="DS14" s="29"/>
      <c r="DT14" s="29"/>
      <c r="DU14" s="29"/>
      <c r="DV14" s="29"/>
      <c r="DW14" s="29"/>
      <c r="DX14" s="29"/>
      <c r="DY14" s="29"/>
      <c r="DZ14" s="29"/>
      <c r="EA14" s="29"/>
      <c r="EB14" s="29"/>
      <c r="EC14" s="29"/>
      <c r="ED14" s="29"/>
      <c r="EE14" s="29"/>
      <c r="EF14" s="29"/>
      <c r="EG14" s="29"/>
      <c r="EH14" s="29"/>
      <c r="EI14" s="29"/>
      <c r="EJ14" s="29"/>
      <c r="EK14" s="29"/>
      <c r="EL14" s="29"/>
      <c r="EM14" s="29"/>
      <c r="EN14" s="29"/>
      <c r="EO14" s="29"/>
      <c r="EP14" s="29"/>
      <c r="EQ14" s="29"/>
      <c r="ER14" s="29"/>
      <c r="ES14" s="29"/>
      <c r="ET14" s="29"/>
      <c r="EU14" s="29"/>
      <c r="EV14" s="29"/>
      <c r="EW14" s="29"/>
      <c r="EX14" s="29"/>
      <c r="EY14" s="29"/>
      <c r="EZ14" s="29"/>
      <c r="FA14" s="29"/>
      <c r="FB14" s="29"/>
      <c r="FC14" s="29"/>
      <c r="FD14" s="29"/>
      <c r="FE14" s="29"/>
      <c r="FF14" s="29"/>
      <c r="FG14" s="29"/>
      <c r="FH14" s="29"/>
      <c r="FI14" s="29"/>
      <c r="FJ14" s="29"/>
      <c r="FK14" s="29"/>
      <c r="FL14" s="29"/>
      <c r="FM14" s="29"/>
      <c r="FN14" s="29"/>
      <c r="FO14" s="29"/>
      <c r="FP14" s="29"/>
      <c r="FQ14" s="29"/>
      <c r="FR14" s="29"/>
      <c r="FS14" s="29"/>
      <c r="FT14" s="29"/>
      <c r="FU14" s="29"/>
      <c r="FV14" s="29"/>
      <c r="FW14" s="29"/>
      <c r="FX14" s="29"/>
      <c r="FY14" s="29"/>
      <c r="FZ14" s="29"/>
      <c r="GA14" s="29"/>
      <c r="GB14" s="29"/>
      <c r="GC14" s="29"/>
      <c r="GD14" s="29"/>
      <c r="GE14" s="29"/>
      <c r="GF14" s="29"/>
      <c r="GG14" s="29"/>
      <c r="GH14" s="29"/>
      <c r="GI14" s="29"/>
      <c r="GJ14" s="29"/>
      <c r="GK14" s="29"/>
      <c r="GL14" s="29"/>
      <c r="GM14" s="29"/>
      <c r="GN14" s="29"/>
      <c r="GO14" s="29"/>
      <c r="GP14" s="29"/>
      <c r="GQ14" s="29"/>
      <c r="GR14" s="29"/>
      <c r="GS14" s="29"/>
      <c r="GT14" s="29"/>
      <c r="GU14" s="29"/>
      <c r="GV14" s="29"/>
      <c r="GW14" s="29"/>
      <c r="GX14" s="29"/>
      <c r="GY14" s="29"/>
      <c r="GZ14" s="29"/>
      <c r="HA14" s="29"/>
      <c r="HB14" s="29"/>
      <c r="HC14" s="29"/>
      <c r="HD14" s="29"/>
      <c r="HE14" s="29"/>
      <c r="HF14" s="29"/>
      <c r="HG14" s="29"/>
      <c r="HH14" s="29"/>
      <c r="HI14" s="29"/>
      <c r="HJ14" s="29"/>
      <c r="HK14" s="29"/>
      <c r="HL14" s="29"/>
      <c r="HM14" s="29"/>
      <c r="HN14" s="29"/>
      <c r="HO14" s="29"/>
      <c r="HP14" s="29"/>
      <c r="HQ14" s="29"/>
      <c r="HR14" s="29"/>
      <c r="HS14" s="29"/>
      <c r="HT14" s="29"/>
      <c r="HU14" s="29"/>
      <c r="HV14" s="29"/>
      <c r="HW14" s="29"/>
      <c r="HX14" s="29"/>
      <c r="HY14" s="29"/>
      <c r="HZ14" s="29"/>
      <c r="IA14" s="29"/>
      <c r="IB14" s="29"/>
      <c r="IC14" s="29"/>
      <c r="ID14" s="29"/>
      <c r="IE14" s="29"/>
      <c r="IF14" s="29"/>
      <c r="IG14" s="29"/>
      <c r="IH14" s="29"/>
      <c r="II14" s="29"/>
      <c r="IJ14" s="29"/>
      <c r="IK14" s="29"/>
      <c r="IL14" s="29"/>
      <c r="IM14" s="29"/>
      <c r="IN14" s="29"/>
      <c r="IO14" s="29"/>
      <c r="IP14" s="29"/>
      <c r="IQ14" s="29"/>
      <c r="IR14" s="29"/>
      <c r="IS14" s="29"/>
      <c r="IT14" s="29"/>
      <c r="IU14" s="29"/>
    </row>
    <row r="15" spans="1:255" ht="31.5" x14ac:dyDescent="0.25">
      <c r="A15" s="7" t="s">
        <v>22</v>
      </c>
      <c r="B15" s="11" t="s">
        <v>23</v>
      </c>
      <c r="C15" s="11" t="s">
        <v>24</v>
      </c>
      <c r="D15" s="11" t="s">
        <v>196</v>
      </c>
      <c r="E15" s="11" t="s">
        <v>26</v>
      </c>
      <c r="F15" s="11" t="s">
        <v>27</v>
      </c>
      <c r="G15" s="11" t="s">
        <v>28</v>
      </c>
    </row>
    <row r="16" spans="1:255" x14ac:dyDescent="0.2">
      <c r="A16" s="8" t="s">
        <v>29</v>
      </c>
      <c r="B16" s="12" t="s">
        <v>30</v>
      </c>
      <c r="C16" s="12" t="s">
        <v>30</v>
      </c>
      <c r="D16" s="12" t="s">
        <v>30</v>
      </c>
      <c r="E16" s="12" t="s">
        <v>30</v>
      </c>
      <c r="F16" s="12" t="s">
        <v>30</v>
      </c>
      <c r="G16" s="12" t="s">
        <v>30</v>
      </c>
    </row>
    <row r="17" spans="1:7" ht="10.5" x14ac:dyDescent="0.2">
      <c r="A17" s="9" t="s">
        <v>31</v>
      </c>
      <c r="B17" s="4"/>
      <c r="C17" s="4"/>
      <c r="D17" s="4"/>
      <c r="E17" s="4"/>
      <c r="F17" s="4"/>
      <c r="G17" s="4"/>
    </row>
    <row r="18" spans="1:7" ht="10.5" x14ac:dyDescent="0.2">
      <c r="A18" s="9" t="s">
        <v>197</v>
      </c>
      <c r="B18" s="13">
        <v>1208</v>
      </c>
      <c r="C18" s="13">
        <v>1272</v>
      </c>
      <c r="D18" s="13">
        <v>971</v>
      </c>
      <c r="E18" s="13">
        <v>5954</v>
      </c>
      <c r="F18" s="13">
        <v>1481</v>
      </c>
      <c r="G18" s="13">
        <v>953</v>
      </c>
    </row>
    <row r="19" spans="1:7" x14ac:dyDescent="0.2">
      <c r="A19" s="4" t="s">
        <v>43</v>
      </c>
      <c r="B19" s="15">
        <v>1076</v>
      </c>
      <c r="C19" s="15">
        <v>1755</v>
      </c>
      <c r="D19" s="15">
        <v>1450</v>
      </c>
      <c r="E19" s="15">
        <v>1466</v>
      </c>
      <c r="F19" s="15">
        <v>1431</v>
      </c>
      <c r="G19" s="15">
        <v>1426</v>
      </c>
    </row>
    <row r="20" spans="1:7" x14ac:dyDescent="0.2">
      <c r="A20" s="4" t="s">
        <v>198</v>
      </c>
      <c r="B20" s="15">
        <v>11</v>
      </c>
      <c r="C20" s="15">
        <v>85</v>
      </c>
      <c r="D20" s="15">
        <v>359</v>
      </c>
      <c r="E20" s="15">
        <v>80</v>
      </c>
      <c r="F20" s="15">
        <v>78</v>
      </c>
      <c r="G20" s="15">
        <v>77</v>
      </c>
    </row>
    <row r="21" spans="1:7" ht="10.5" x14ac:dyDescent="0.2">
      <c r="A21" s="9" t="s">
        <v>199</v>
      </c>
      <c r="B21" s="19">
        <v>1087</v>
      </c>
      <c r="C21" s="19">
        <v>1840</v>
      </c>
      <c r="D21" s="19">
        <v>1809</v>
      </c>
      <c r="E21" s="19">
        <v>1546</v>
      </c>
      <c r="F21" s="19">
        <v>1509</v>
      </c>
      <c r="G21" s="19">
        <v>1503</v>
      </c>
    </row>
    <row r="22" spans="1:7" x14ac:dyDescent="0.2">
      <c r="A22" s="4"/>
      <c r="B22" s="4"/>
      <c r="C22" s="4"/>
      <c r="D22" s="4"/>
      <c r="E22" s="4"/>
      <c r="F22" s="4"/>
      <c r="G22" s="4"/>
    </row>
    <row r="23" spans="1:7" x14ac:dyDescent="0.2">
      <c r="A23" s="4" t="s">
        <v>200</v>
      </c>
      <c r="B23" s="15">
        <v>208</v>
      </c>
      <c r="C23" s="15">
        <v>210</v>
      </c>
      <c r="D23" s="15" t="s">
        <v>35</v>
      </c>
      <c r="E23" s="15">
        <v>198</v>
      </c>
      <c r="F23" s="15">
        <v>209</v>
      </c>
      <c r="G23" s="15">
        <v>209</v>
      </c>
    </row>
    <row r="24" spans="1:7" x14ac:dyDescent="0.2">
      <c r="A24" s="4" t="s">
        <v>201</v>
      </c>
      <c r="B24" s="15">
        <v>-231</v>
      </c>
      <c r="C24" s="15">
        <v>-131</v>
      </c>
      <c r="D24" s="15">
        <v>-170</v>
      </c>
      <c r="E24" s="15">
        <v>-28</v>
      </c>
      <c r="F24" s="15">
        <v>-120</v>
      </c>
      <c r="G24" s="15">
        <v>-161</v>
      </c>
    </row>
    <row r="25" spans="1:7" x14ac:dyDescent="0.2">
      <c r="A25" s="4" t="s">
        <v>202</v>
      </c>
      <c r="B25" s="15">
        <v>-45</v>
      </c>
      <c r="C25" s="15">
        <v>-8</v>
      </c>
      <c r="D25" s="15">
        <v>-24</v>
      </c>
      <c r="E25" s="15" t="s">
        <v>35</v>
      </c>
      <c r="F25" s="15">
        <v>-25</v>
      </c>
      <c r="G25" s="15">
        <v>-15</v>
      </c>
    </row>
    <row r="26" spans="1:7" x14ac:dyDescent="0.2">
      <c r="A26" s="4" t="s">
        <v>203</v>
      </c>
      <c r="B26" s="15">
        <v>-167</v>
      </c>
      <c r="C26" s="15">
        <v>-114</v>
      </c>
      <c r="D26" s="15">
        <v>302</v>
      </c>
      <c r="E26" s="15">
        <v>206</v>
      </c>
      <c r="F26" s="15">
        <v>115</v>
      </c>
      <c r="G26" s="15">
        <v>777</v>
      </c>
    </row>
    <row r="27" spans="1:7" x14ac:dyDescent="0.2">
      <c r="A27" s="4" t="s">
        <v>204</v>
      </c>
      <c r="B27" s="15">
        <v>113</v>
      </c>
      <c r="C27" s="15">
        <v>77</v>
      </c>
      <c r="D27" s="15">
        <v>87</v>
      </c>
      <c r="E27" s="15">
        <v>30</v>
      </c>
      <c r="F27" s="15">
        <v>66</v>
      </c>
      <c r="G27" s="15">
        <v>53</v>
      </c>
    </row>
    <row r="28" spans="1:7" x14ac:dyDescent="0.2">
      <c r="A28" s="4" t="s">
        <v>205</v>
      </c>
      <c r="B28" s="15" t="s">
        <v>35</v>
      </c>
      <c r="C28" s="15" t="s">
        <v>35</v>
      </c>
      <c r="D28" s="15">
        <v>660</v>
      </c>
      <c r="E28" s="15">
        <v>305</v>
      </c>
      <c r="F28" s="15">
        <v>-28</v>
      </c>
      <c r="G28" s="15">
        <v>-7</v>
      </c>
    </row>
    <row r="29" spans="1:7" x14ac:dyDescent="0.2">
      <c r="A29" s="4" t="s">
        <v>206</v>
      </c>
      <c r="B29" s="15">
        <v>42</v>
      </c>
      <c r="C29" s="15">
        <v>54</v>
      </c>
      <c r="D29" s="15">
        <v>-44</v>
      </c>
      <c r="E29" s="15">
        <v>-7855</v>
      </c>
      <c r="F29" s="15">
        <v>188</v>
      </c>
      <c r="G29" s="15">
        <v>165</v>
      </c>
    </row>
    <row r="30" spans="1:7" x14ac:dyDescent="0.2">
      <c r="A30" s="4" t="s">
        <v>207</v>
      </c>
      <c r="B30" s="15">
        <v>26</v>
      </c>
      <c r="C30" s="15">
        <v>112</v>
      </c>
      <c r="D30" s="15">
        <v>485</v>
      </c>
      <c r="E30" s="15">
        <v>125</v>
      </c>
      <c r="F30" s="15">
        <v>35</v>
      </c>
      <c r="G30" s="15">
        <v>-106</v>
      </c>
    </row>
    <row r="31" spans="1:7" x14ac:dyDescent="0.2">
      <c r="A31" s="4" t="s">
        <v>208</v>
      </c>
      <c r="B31" s="15">
        <v>76</v>
      </c>
      <c r="C31" s="15">
        <v>9</v>
      </c>
      <c r="D31" s="15">
        <v>179</v>
      </c>
      <c r="E31" s="15">
        <v>-50</v>
      </c>
      <c r="F31" s="15">
        <v>-281</v>
      </c>
      <c r="G31" s="15">
        <v>-370</v>
      </c>
    </row>
    <row r="32" spans="1:7" x14ac:dyDescent="0.2">
      <c r="A32" s="4" t="s">
        <v>209</v>
      </c>
      <c r="B32" s="15">
        <v>2100</v>
      </c>
      <c r="C32" s="15">
        <v>1038</v>
      </c>
      <c r="D32" s="15">
        <v>-4252</v>
      </c>
      <c r="E32" s="15">
        <v>-1573</v>
      </c>
      <c r="F32" s="15">
        <v>790</v>
      </c>
      <c r="G32" s="15">
        <v>1240</v>
      </c>
    </row>
    <row r="33" spans="1:7" x14ac:dyDescent="0.2">
      <c r="A33" s="4" t="s">
        <v>210</v>
      </c>
      <c r="B33" s="15">
        <v>-1612</v>
      </c>
      <c r="C33" s="15">
        <v>-1807</v>
      </c>
      <c r="D33" s="15">
        <v>45</v>
      </c>
      <c r="E33" s="15">
        <v>1744</v>
      </c>
      <c r="F33" s="15">
        <v>-182</v>
      </c>
      <c r="G33" s="15">
        <v>-757</v>
      </c>
    </row>
    <row r="34" spans="1:7" ht="10.5" x14ac:dyDescent="0.2">
      <c r="A34" s="9" t="s">
        <v>211</v>
      </c>
      <c r="B34" s="19">
        <v>2805</v>
      </c>
      <c r="C34" s="19">
        <v>2552</v>
      </c>
      <c r="D34" s="19">
        <v>48</v>
      </c>
      <c r="E34" s="19">
        <v>602</v>
      </c>
      <c r="F34" s="19">
        <v>3757</v>
      </c>
      <c r="G34" s="19">
        <v>3484</v>
      </c>
    </row>
    <row r="35" spans="1:7" x14ac:dyDescent="0.2">
      <c r="A35" s="4"/>
      <c r="B35" s="4"/>
      <c r="C35" s="4"/>
      <c r="D35" s="4"/>
      <c r="E35" s="4"/>
      <c r="F35" s="4"/>
      <c r="G35" s="4"/>
    </row>
    <row r="36" spans="1:7" x14ac:dyDescent="0.2">
      <c r="A36" s="4" t="s">
        <v>212</v>
      </c>
      <c r="B36" s="15">
        <v>-1440</v>
      </c>
      <c r="C36" s="15">
        <v>-1101</v>
      </c>
      <c r="D36" s="15">
        <v>-1003</v>
      </c>
      <c r="E36" s="15">
        <v>-1171</v>
      </c>
      <c r="F36" s="15">
        <v>-949</v>
      </c>
      <c r="G36" s="15">
        <v>-895</v>
      </c>
    </row>
    <row r="37" spans="1:7" x14ac:dyDescent="0.2">
      <c r="A37" s="4" t="s">
        <v>213</v>
      </c>
      <c r="B37" s="15">
        <v>253</v>
      </c>
      <c r="C37" s="15">
        <v>286</v>
      </c>
      <c r="D37" s="15">
        <v>3965</v>
      </c>
      <c r="E37" s="15">
        <v>237</v>
      </c>
      <c r="F37" s="15">
        <v>309</v>
      </c>
      <c r="G37" s="15">
        <v>501</v>
      </c>
    </row>
    <row r="38" spans="1:7" x14ac:dyDescent="0.2">
      <c r="A38" s="4" t="s">
        <v>214</v>
      </c>
      <c r="B38" s="15">
        <v>-27</v>
      </c>
      <c r="C38" s="15">
        <v>-715</v>
      </c>
      <c r="D38" s="15" t="s">
        <v>35</v>
      </c>
      <c r="E38" s="15">
        <v>15</v>
      </c>
      <c r="F38" s="15">
        <v>-48</v>
      </c>
      <c r="G38" s="15">
        <v>-38</v>
      </c>
    </row>
    <row r="39" spans="1:7" x14ac:dyDescent="0.2">
      <c r="A39" s="4" t="s">
        <v>215</v>
      </c>
      <c r="B39" s="15">
        <v>66</v>
      </c>
      <c r="C39" s="15">
        <v>8</v>
      </c>
      <c r="D39" s="15">
        <v>-6</v>
      </c>
      <c r="E39" s="15">
        <v>7806</v>
      </c>
      <c r="F39" s="15">
        <v>161</v>
      </c>
      <c r="G39" s="15">
        <v>36</v>
      </c>
    </row>
    <row r="40" spans="1:7" x14ac:dyDescent="0.2">
      <c r="A40" s="4" t="s">
        <v>216</v>
      </c>
      <c r="B40" s="15">
        <v>-197</v>
      </c>
      <c r="C40" s="15">
        <v>-191</v>
      </c>
      <c r="D40" s="15">
        <v>-201</v>
      </c>
      <c r="E40" s="15">
        <v>-206</v>
      </c>
      <c r="F40" s="15">
        <v>-229</v>
      </c>
      <c r="G40" s="15">
        <v>-263</v>
      </c>
    </row>
    <row r="41" spans="1:7" x14ac:dyDescent="0.2">
      <c r="A41" s="4" t="s">
        <v>217</v>
      </c>
      <c r="B41" s="15">
        <v>1935</v>
      </c>
      <c r="C41" s="15">
        <v>506</v>
      </c>
      <c r="D41" s="15">
        <v>-425</v>
      </c>
      <c r="E41" s="15">
        <v>167</v>
      </c>
      <c r="F41" s="15">
        <v>-1010</v>
      </c>
      <c r="G41" s="15">
        <v>91</v>
      </c>
    </row>
    <row r="42" spans="1:7" x14ac:dyDescent="0.2">
      <c r="A42" s="4" t="s">
        <v>218</v>
      </c>
      <c r="B42" s="15" t="s">
        <v>35</v>
      </c>
      <c r="C42" s="15" t="s">
        <v>35</v>
      </c>
      <c r="D42" s="15" t="s">
        <v>35</v>
      </c>
      <c r="E42" s="15" t="s">
        <v>35</v>
      </c>
      <c r="F42" s="15" t="s">
        <v>35</v>
      </c>
      <c r="G42" s="15" t="s">
        <v>35</v>
      </c>
    </row>
    <row r="43" spans="1:7" x14ac:dyDescent="0.2">
      <c r="A43" s="4" t="s">
        <v>219</v>
      </c>
      <c r="B43" s="15">
        <v>53</v>
      </c>
      <c r="C43" s="15">
        <v>67</v>
      </c>
      <c r="D43" s="15">
        <v>68</v>
      </c>
      <c r="E43" s="15">
        <v>-677</v>
      </c>
      <c r="F43" s="15">
        <v>31</v>
      </c>
      <c r="G43" s="15">
        <v>-12</v>
      </c>
    </row>
    <row r="44" spans="1:7" ht="10.5" x14ac:dyDescent="0.2">
      <c r="A44" s="9" t="s">
        <v>220</v>
      </c>
      <c r="B44" s="19">
        <v>643</v>
      </c>
      <c r="C44" s="19">
        <v>-1140</v>
      </c>
      <c r="D44" s="19">
        <v>2398</v>
      </c>
      <c r="E44" s="19">
        <v>6171</v>
      </c>
      <c r="F44" s="19">
        <v>-1735</v>
      </c>
      <c r="G44" s="19">
        <v>-580</v>
      </c>
    </row>
    <row r="45" spans="1:7" x14ac:dyDescent="0.2">
      <c r="A45" s="4"/>
      <c r="B45" s="4"/>
      <c r="C45" s="4"/>
      <c r="D45" s="4"/>
      <c r="E45" s="4"/>
      <c r="F45" s="4"/>
      <c r="G45" s="4"/>
    </row>
    <row r="46" spans="1:7" x14ac:dyDescent="0.2">
      <c r="A46" s="4" t="s">
        <v>221</v>
      </c>
      <c r="B46" s="15" t="s">
        <v>35</v>
      </c>
      <c r="C46" s="15" t="s">
        <v>35</v>
      </c>
      <c r="D46" s="15" t="s">
        <v>35</v>
      </c>
      <c r="E46" s="15" t="s">
        <v>35</v>
      </c>
      <c r="F46" s="15" t="s">
        <v>35</v>
      </c>
      <c r="G46" s="15" t="s">
        <v>35</v>
      </c>
    </row>
    <row r="47" spans="1:7" x14ac:dyDescent="0.2">
      <c r="A47" s="4" t="s">
        <v>222</v>
      </c>
      <c r="B47" s="15">
        <v>313</v>
      </c>
      <c r="C47" s="15">
        <v>975</v>
      </c>
      <c r="D47" s="15">
        <v>1272</v>
      </c>
      <c r="E47" s="15">
        <v>1098</v>
      </c>
      <c r="F47" s="15">
        <v>394</v>
      </c>
      <c r="G47" s="15" t="s">
        <v>35</v>
      </c>
    </row>
    <row r="48" spans="1:7" ht="10.5" x14ac:dyDescent="0.2">
      <c r="A48" s="9" t="s">
        <v>223</v>
      </c>
      <c r="B48" s="19">
        <v>313</v>
      </c>
      <c r="C48" s="19">
        <v>975</v>
      </c>
      <c r="D48" s="19">
        <v>1272</v>
      </c>
      <c r="E48" s="19">
        <v>1098</v>
      </c>
      <c r="F48" s="19">
        <v>394</v>
      </c>
      <c r="G48" s="19">
        <v>394</v>
      </c>
    </row>
    <row r="49" spans="1:7" x14ac:dyDescent="0.2">
      <c r="A49" s="4" t="s">
        <v>224</v>
      </c>
      <c r="B49" s="15" t="s">
        <v>35</v>
      </c>
      <c r="C49" s="15" t="s">
        <v>35</v>
      </c>
      <c r="D49" s="15" t="s">
        <v>35</v>
      </c>
      <c r="E49" s="15" t="s">
        <v>35</v>
      </c>
      <c r="F49" s="15" t="s">
        <v>35</v>
      </c>
      <c r="G49" s="15" t="s">
        <v>35</v>
      </c>
    </row>
    <row r="50" spans="1:7" x14ac:dyDescent="0.2">
      <c r="A50" s="4" t="s">
        <v>225</v>
      </c>
      <c r="B50" s="15">
        <v>-3731</v>
      </c>
      <c r="C50" s="15">
        <v>-3077</v>
      </c>
      <c r="D50" s="15">
        <v>-2390</v>
      </c>
      <c r="E50" s="15">
        <v>-2435</v>
      </c>
      <c r="F50" s="15">
        <v>-1352</v>
      </c>
      <c r="G50" s="15" t="s">
        <v>35</v>
      </c>
    </row>
    <row r="51" spans="1:7" ht="10.5" x14ac:dyDescent="0.2">
      <c r="A51" s="9" t="s">
        <v>226</v>
      </c>
      <c r="B51" s="19">
        <v>-3731</v>
      </c>
      <c r="C51" s="19">
        <v>-3077</v>
      </c>
      <c r="D51" s="19">
        <v>-2390</v>
      </c>
      <c r="E51" s="19">
        <v>-2435</v>
      </c>
      <c r="F51" s="19">
        <v>-1352</v>
      </c>
      <c r="G51" s="19">
        <v>-1340</v>
      </c>
    </row>
    <row r="52" spans="1:7" x14ac:dyDescent="0.2">
      <c r="A52" s="4"/>
      <c r="B52" s="4"/>
      <c r="C52" s="4"/>
      <c r="D52" s="4"/>
      <c r="E52" s="4"/>
      <c r="F52" s="4"/>
      <c r="G52" s="4"/>
    </row>
    <row r="53" spans="1:7" x14ac:dyDescent="0.2">
      <c r="A53" s="4" t="s">
        <v>227</v>
      </c>
      <c r="B53" s="15">
        <v>11</v>
      </c>
      <c r="C53" s="15">
        <v>60</v>
      </c>
      <c r="D53" s="15" t="s">
        <v>35</v>
      </c>
      <c r="E53" s="15" t="s">
        <v>35</v>
      </c>
      <c r="F53" s="15" t="s">
        <v>35</v>
      </c>
      <c r="G53" s="15" t="s">
        <v>35</v>
      </c>
    </row>
    <row r="54" spans="1:7" x14ac:dyDescent="0.2">
      <c r="A54" s="4" t="s">
        <v>228</v>
      </c>
      <c r="B54" s="15" t="s">
        <v>35</v>
      </c>
      <c r="C54" s="15">
        <v>-206</v>
      </c>
      <c r="D54" s="15">
        <v>-149</v>
      </c>
      <c r="E54" s="15">
        <v>-66</v>
      </c>
      <c r="F54" s="15">
        <v>-422</v>
      </c>
      <c r="G54" s="15">
        <v>-780</v>
      </c>
    </row>
    <row r="55" spans="1:7" x14ac:dyDescent="0.2">
      <c r="A55" s="4"/>
      <c r="B55" s="4"/>
      <c r="C55" s="4"/>
      <c r="D55" s="4"/>
      <c r="E55" s="4"/>
      <c r="F55" s="4"/>
      <c r="G55" s="4"/>
    </row>
    <row r="56" spans="1:7" x14ac:dyDescent="0.2">
      <c r="A56" s="4" t="s">
        <v>229</v>
      </c>
      <c r="B56" s="15">
        <v>-82</v>
      </c>
      <c r="C56" s="15">
        <v>-357</v>
      </c>
      <c r="D56" s="15">
        <v>-656</v>
      </c>
      <c r="E56" s="15">
        <v>-910</v>
      </c>
      <c r="F56" s="15">
        <v>-731</v>
      </c>
      <c r="G56" s="15">
        <v>-851</v>
      </c>
    </row>
    <row r="57" spans="1:7" ht="10.5" x14ac:dyDescent="0.2">
      <c r="A57" s="9" t="s">
        <v>230</v>
      </c>
      <c r="B57" s="19">
        <v>-82</v>
      </c>
      <c r="C57" s="19">
        <v>-357</v>
      </c>
      <c r="D57" s="19">
        <v>-656</v>
      </c>
      <c r="E57" s="19">
        <v>-910</v>
      </c>
      <c r="F57" s="19">
        <v>-731</v>
      </c>
      <c r="G57" s="19">
        <v>-851</v>
      </c>
    </row>
    <row r="58" spans="1:7" x14ac:dyDescent="0.2">
      <c r="A58" s="4"/>
      <c r="B58" s="4"/>
      <c r="C58" s="4"/>
      <c r="D58" s="4"/>
      <c r="E58" s="4"/>
      <c r="F58" s="4"/>
      <c r="G58" s="4"/>
    </row>
    <row r="59" spans="1:7" x14ac:dyDescent="0.2">
      <c r="A59" s="4" t="s">
        <v>231</v>
      </c>
      <c r="B59" s="15" t="s">
        <v>35</v>
      </c>
      <c r="C59" s="15" t="s">
        <v>35</v>
      </c>
      <c r="D59" s="15" t="s">
        <v>35</v>
      </c>
      <c r="E59" s="15">
        <v>-4948</v>
      </c>
      <c r="F59" s="15" t="s">
        <v>35</v>
      </c>
      <c r="G59" s="15">
        <v>25</v>
      </c>
    </row>
    <row r="60" spans="1:7" x14ac:dyDescent="0.2">
      <c r="A60" s="4" t="s">
        <v>232</v>
      </c>
      <c r="B60" s="15">
        <v>253</v>
      </c>
      <c r="C60" s="15">
        <v>35</v>
      </c>
      <c r="D60" s="15">
        <v>-17</v>
      </c>
      <c r="E60" s="15">
        <v>-580</v>
      </c>
      <c r="F60" s="15">
        <v>-123</v>
      </c>
      <c r="G60" s="15">
        <v>-279</v>
      </c>
    </row>
    <row r="61" spans="1:7" ht="10.5" x14ac:dyDescent="0.2">
      <c r="A61" s="9" t="s">
        <v>233</v>
      </c>
      <c r="B61" s="19">
        <v>-3236</v>
      </c>
      <c r="C61" s="19">
        <v>-2570</v>
      </c>
      <c r="D61" s="19">
        <v>-1940</v>
      </c>
      <c r="E61" s="19">
        <v>-7841</v>
      </c>
      <c r="F61" s="19">
        <v>-2234</v>
      </c>
      <c r="G61" s="19">
        <v>-2831</v>
      </c>
    </row>
    <row r="62" spans="1:7" x14ac:dyDescent="0.2">
      <c r="A62" s="4"/>
      <c r="B62" s="4"/>
      <c r="C62" s="4"/>
      <c r="D62" s="4"/>
      <c r="E62" s="4"/>
      <c r="F62" s="4"/>
      <c r="G62" s="4"/>
    </row>
    <row r="63" spans="1:7" x14ac:dyDescent="0.2">
      <c r="A63" s="4" t="s">
        <v>234</v>
      </c>
      <c r="B63" s="15">
        <v>15</v>
      </c>
      <c r="C63" s="15">
        <v>15</v>
      </c>
      <c r="D63" s="15">
        <v>-42</v>
      </c>
      <c r="E63" s="15">
        <v>8</v>
      </c>
      <c r="F63" s="15">
        <v>12</v>
      </c>
      <c r="G63" s="15">
        <v>-43</v>
      </c>
    </row>
    <row r="64" spans="1:7" x14ac:dyDescent="0.2">
      <c r="A64" s="4" t="s">
        <v>235</v>
      </c>
      <c r="B64" s="15" t="s">
        <v>35</v>
      </c>
      <c r="C64" s="15" t="s">
        <v>35</v>
      </c>
      <c r="D64" s="15" t="s">
        <v>35</v>
      </c>
      <c r="E64" s="15">
        <v>7</v>
      </c>
      <c r="F64" s="15" t="s">
        <v>35</v>
      </c>
      <c r="G64" s="15" t="s">
        <v>35</v>
      </c>
    </row>
    <row r="65" spans="1:7" ht="10.5" x14ac:dyDescent="0.2">
      <c r="A65" s="9" t="s">
        <v>236</v>
      </c>
      <c r="B65" s="20">
        <v>227</v>
      </c>
      <c r="C65" s="20">
        <v>-1143</v>
      </c>
      <c r="D65" s="20">
        <v>464</v>
      </c>
      <c r="E65" s="20">
        <v>-1053</v>
      </c>
      <c r="F65" s="20">
        <v>-200</v>
      </c>
      <c r="G65" s="20">
        <v>30</v>
      </c>
    </row>
    <row r="66" spans="1:7" x14ac:dyDescent="0.2">
      <c r="A66" s="4"/>
      <c r="B66" s="4"/>
      <c r="C66" s="4"/>
      <c r="D66" s="4"/>
      <c r="E66" s="4"/>
      <c r="F66" s="4"/>
      <c r="G66" s="4"/>
    </row>
    <row r="67" spans="1:7" ht="10.5" x14ac:dyDescent="0.2">
      <c r="A67" s="9" t="s">
        <v>85</v>
      </c>
      <c r="B67" s="4"/>
      <c r="C67" s="4"/>
      <c r="D67" s="4"/>
      <c r="E67" s="4"/>
      <c r="F67" s="4"/>
      <c r="G67" s="4"/>
    </row>
    <row r="68" spans="1:7" x14ac:dyDescent="0.2">
      <c r="A68" s="4" t="s">
        <v>237</v>
      </c>
      <c r="B68" s="15">
        <v>328</v>
      </c>
      <c r="C68" s="15">
        <v>859</v>
      </c>
      <c r="D68" s="15">
        <v>803</v>
      </c>
      <c r="E68" s="15">
        <v>729</v>
      </c>
      <c r="F68" s="15">
        <v>650</v>
      </c>
      <c r="G68" s="15">
        <v>641</v>
      </c>
    </row>
    <row r="69" spans="1:7" x14ac:dyDescent="0.2">
      <c r="A69" s="4" t="s">
        <v>238</v>
      </c>
      <c r="B69" s="15">
        <v>176</v>
      </c>
      <c r="C69" s="15">
        <v>370</v>
      </c>
      <c r="D69" s="15">
        <v>340</v>
      </c>
      <c r="E69" s="15">
        <v>255</v>
      </c>
      <c r="F69" s="15">
        <v>201</v>
      </c>
      <c r="G69" s="15">
        <v>204</v>
      </c>
    </row>
    <row r="70" spans="1:7" x14ac:dyDescent="0.2">
      <c r="A70" s="4" t="s">
        <v>239</v>
      </c>
      <c r="B70" s="15">
        <v>1017.5</v>
      </c>
      <c r="C70" s="15">
        <v>2596.625</v>
      </c>
      <c r="D70" s="15">
        <v>632.625</v>
      </c>
      <c r="E70" s="15">
        <v>1013</v>
      </c>
      <c r="F70" s="15">
        <v>2086.875</v>
      </c>
      <c r="G70" s="15">
        <v>1601</v>
      </c>
    </row>
    <row r="71" spans="1:7" x14ac:dyDescent="0.2">
      <c r="A71" s="4" t="s">
        <v>240</v>
      </c>
      <c r="B71" s="15">
        <v>1267.5</v>
      </c>
      <c r="C71" s="15">
        <v>3126</v>
      </c>
      <c r="D71" s="15">
        <v>1083.875</v>
      </c>
      <c r="E71" s="15">
        <v>1451.125</v>
      </c>
      <c r="F71" s="15">
        <v>2515</v>
      </c>
      <c r="G71" s="15">
        <v>2014.125</v>
      </c>
    </row>
    <row r="72" spans="1:7" x14ac:dyDescent="0.2">
      <c r="A72" s="4" t="s">
        <v>241</v>
      </c>
      <c r="B72" s="15">
        <v>-474</v>
      </c>
      <c r="C72" s="15">
        <v>-660</v>
      </c>
      <c r="D72" s="15">
        <v>1290</v>
      </c>
      <c r="E72" s="15">
        <v>103</v>
      </c>
      <c r="F72" s="15">
        <v>-43</v>
      </c>
      <c r="G72" s="15">
        <v>442</v>
      </c>
    </row>
    <row r="73" spans="1:7" x14ac:dyDescent="0.2">
      <c r="A73" s="4" t="s">
        <v>242</v>
      </c>
      <c r="B73" s="15">
        <v>-3418</v>
      </c>
      <c r="C73" s="15">
        <v>-2102</v>
      </c>
      <c r="D73" s="15">
        <v>-1118</v>
      </c>
      <c r="E73" s="15">
        <v>-1337</v>
      </c>
      <c r="F73" s="15">
        <v>-958</v>
      </c>
      <c r="G73" s="15">
        <v>-946</v>
      </c>
    </row>
    <row r="74" spans="1:7" x14ac:dyDescent="0.2">
      <c r="A74" s="4" t="s">
        <v>243</v>
      </c>
      <c r="B74" s="15" t="s">
        <v>35</v>
      </c>
      <c r="C74" s="15" t="s">
        <v>35</v>
      </c>
      <c r="D74" s="15" t="s">
        <v>35</v>
      </c>
      <c r="E74" s="15">
        <v>-713</v>
      </c>
      <c r="F74" s="15" t="s">
        <v>35</v>
      </c>
      <c r="G74" s="15">
        <v>-44</v>
      </c>
    </row>
    <row r="75" spans="1:7" x14ac:dyDescent="0.2">
      <c r="A75" s="4" t="s">
        <v>100</v>
      </c>
      <c r="B75" s="23">
        <v>43635</v>
      </c>
      <c r="C75" s="23">
        <v>43964</v>
      </c>
      <c r="D75" s="23">
        <v>44300</v>
      </c>
      <c r="E75" s="23">
        <v>44678</v>
      </c>
      <c r="F75" s="23">
        <v>44678</v>
      </c>
      <c r="G75" s="23">
        <v>44839</v>
      </c>
    </row>
    <row r="76" spans="1:7" x14ac:dyDescent="0.2">
      <c r="A76" s="4" t="s">
        <v>101</v>
      </c>
      <c r="B76" s="14" t="s">
        <v>102</v>
      </c>
      <c r="C76" s="14" t="s">
        <v>102</v>
      </c>
      <c r="D76" s="14" t="s">
        <v>102</v>
      </c>
      <c r="E76" s="14" t="s">
        <v>102</v>
      </c>
      <c r="F76" s="14" t="s">
        <v>104</v>
      </c>
      <c r="G76" s="14" t="s">
        <v>104</v>
      </c>
    </row>
    <row r="77" spans="1:7" x14ac:dyDescent="0.2">
      <c r="A77" s="4" t="s">
        <v>105</v>
      </c>
      <c r="B77" s="14" t="s">
        <v>106</v>
      </c>
      <c r="C77" s="14" t="s">
        <v>106</v>
      </c>
      <c r="D77" s="14" t="s">
        <v>106</v>
      </c>
      <c r="E77" s="14" t="s">
        <v>106</v>
      </c>
      <c r="F77" s="14" t="s">
        <v>106</v>
      </c>
      <c r="G77" s="14" t="s">
        <v>107</v>
      </c>
    </row>
    <row r="78" spans="1:7" x14ac:dyDescent="0.2">
      <c r="A78" s="4"/>
      <c r="B78" s="4"/>
      <c r="C78" s="4"/>
      <c r="D78" s="4"/>
      <c r="E78" s="4"/>
      <c r="F78" s="4"/>
      <c r="G78" s="4"/>
    </row>
    <row r="79" spans="1:7" ht="60" x14ac:dyDescent="0.2">
      <c r="A79" s="28" t="s">
        <v>118</v>
      </c>
      <c r="B79" s="10"/>
      <c r="C79" s="10"/>
      <c r="D79" s="10"/>
      <c r="E79" s="10"/>
      <c r="F79" s="10"/>
      <c r="G79" s="10"/>
    </row>
  </sheetData>
  <phoneticPr fontId="0" type="noConversion"/>
  <pageMargins left="0.2" right="0.2" top="0.5" bottom="0.5" header="0.5" footer="0.5"/>
  <pageSetup fitToWidth="0" fitToHeight="0" orientation="landscape" horizontalDpi="0" verticalDpi="0"/>
  <headerFooter alignWithMargins="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94"/>
  <sheetViews>
    <sheetView tabSelected="1" topLeftCell="A3" zoomScale="130" zoomScaleNormal="130" workbookViewId="0">
      <selection activeCell="D85" sqref="D85"/>
    </sheetView>
  </sheetViews>
  <sheetFormatPr defaultRowHeight="10" x14ac:dyDescent="0.2"/>
  <cols>
    <col min="1" max="1" width="19.453125" bestFit="1" customWidth="1"/>
    <col min="2" max="2" width="16.81640625" bestFit="1" customWidth="1"/>
    <col min="3" max="6" width="9.81640625" bestFit="1" customWidth="1"/>
  </cols>
  <sheetData>
    <row r="1" spans="1:12" ht="10.5" x14ac:dyDescent="0.25">
      <c r="A1" s="32" t="s">
        <v>244</v>
      </c>
      <c r="B1" s="34" t="s">
        <v>245</v>
      </c>
      <c r="C1" s="34" t="s">
        <v>246</v>
      </c>
      <c r="D1" s="34" t="s">
        <v>247</v>
      </c>
      <c r="E1" s="34" t="s">
        <v>248</v>
      </c>
      <c r="F1" s="34" t="s">
        <v>249</v>
      </c>
      <c r="G1" s="35" t="s">
        <v>250</v>
      </c>
      <c r="H1" s="35" t="s">
        <v>251</v>
      </c>
      <c r="I1" s="35" t="s">
        <v>252</v>
      </c>
      <c r="J1" s="35" t="s">
        <v>253</v>
      </c>
      <c r="K1" s="35" t="s">
        <v>254</v>
      </c>
      <c r="L1" s="35" t="s">
        <v>255</v>
      </c>
    </row>
    <row r="2" spans="1:12" x14ac:dyDescent="0.2">
      <c r="A2" t="s">
        <v>256</v>
      </c>
      <c r="L2" s="51"/>
    </row>
    <row r="3" spans="1:12" x14ac:dyDescent="0.2">
      <c r="A3" t="s">
        <v>257</v>
      </c>
      <c r="G3" s="53"/>
      <c r="H3" s="53"/>
      <c r="I3" s="53"/>
      <c r="J3" s="53"/>
      <c r="K3" s="53"/>
      <c r="L3" s="53"/>
    </row>
    <row r="4" spans="1:12" x14ac:dyDescent="0.2">
      <c r="A4" t="s">
        <v>258</v>
      </c>
    </row>
    <row r="6" spans="1:12" x14ac:dyDescent="0.2">
      <c r="A6" t="s">
        <v>259</v>
      </c>
      <c r="B6" s="49"/>
    </row>
    <row r="7" spans="1:12" x14ac:dyDescent="0.2">
      <c r="A7" t="s">
        <v>260</v>
      </c>
    </row>
    <row r="8" spans="1:12" x14ac:dyDescent="0.2">
      <c r="A8" t="s">
        <v>261</v>
      </c>
      <c r="B8" s="50"/>
    </row>
    <row r="9" spans="1:12" x14ac:dyDescent="0.2">
      <c r="A9" t="s">
        <v>262</v>
      </c>
    </row>
    <row r="10" spans="1:12" x14ac:dyDescent="0.2">
      <c r="A10" t="s">
        <v>307</v>
      </c>
    </row>
    <row r="11" spans="1:12" x14ac:dyDescent="0.2">
      <c r="A11" t="s">
        <v>308</v>
      </c>
      <c r="B11" s="30"/>
    </row>
    <row r="13" spans="1:12" ht="10.5" x14ac:dyDescent="0.25">
      <c r="A13" s="32" t="s">
        <v>263</v>
      </c>
      <c r="B13" s="34" t="s">
        <v>245</v>
      </c>
      <c r="C13" s="34" t="s">
        <v>246</v>
      </c>
      <c r="D13" s="34" t="s">
        <v>247</v>
      </c>
      <c r="E13" s="34" t="s">
        <v>248</v>
      </c>
      <c r="F13" s="34" t="s">
        <v>249</v>
      </c>
    </row>
    <row r="14" spans="1:12" x14ac:dyDescent="0.2">
      <c r="A14" t="s">
        <v>264</v>
      </c>
    </row>
    <row r="16" spans="1:12" x14ac:dyDescent="0.2">
      <c r="A16" t="s">
        <v>265</v>
      </c>
    </row>
    <row r="17" spans="1:13" x14ac:dyDescent="0.2">
      <c r="A17" t="s">
        <v>266</v>
      </c>
    </row>
    <row r="18" spans="1:13" x14ac:dyDescent="0.2">
      <c r="A18" t="s">
        <v>267</v>
      </c>
    </row>
    <row r="19" spans="1:13" x14ac:dyDescent="0.2">
      <c r="A19" s="36" t="s">
        <v>268</v>
      </c>
      <c r="B19" s="37"/>
      <c r="C19" s="37"/>
      <c r="D19" s="37"/>
      <c r="E19" s="37"/>
      <c r="F19" s="37"/>
    </row>
    <row r="21" spans="1:13" x14ac:dyDescent="0.2">
      <c r="A21" t="s">
        <v>269</v>
      </c>
    </row>
    <row r="23" spans="1:13" x14ac:dyDescent="0.2">
      <c r="A23" t="s">
        <v>212</v>
      </c>
    </row>
    <row r="25" spans="1:13" x14ac:dyDescent="0.2">
      <c r="A25" t="s">
        <v>270</v>
      </c>
    </row>
    <row r="27" spans="1:13" ht="10.5" x14ac:dyDescent="0.25">
      <c r="A27" s="33" t="s">
        <v>271</v>
      </c>
      <c r="B27" s="33"/>
      <c r="C27" s="33"/>
      <c r="D27" s="33"/>
      <c r="E27" s="33"/>
      <c r="F27" s="33"/>
    </row>
    <row r="29" spans="1:13" ht="10.5" x14ac:dyDescent="0.25">
      <c r="A29" s="32" t="s">
        <v>272</v>
      </c>
      <c r="B29" s="34" t="s">
        <v>245</v>
      </c>
      <c r="C29" s="34" t="s">
        <v>246</v>
      </c>
      <c r="D29" s="34" t="s">
        <v>247</v>
      </c>
      <c r="E29" s="34" t="s">
        <v>248</v>
      </c>
      <c r="F29" s="34" t="s">
        <v>249</v>
      </c>
      <c r="G29" s="58" t="s">
        <v>250</v>
      </c>
      <c r="H29" s="35" t="s">
        <v>251</v>
      </c>
      <c r="I29" s="35" t="s">
        <v>252</v>
      </c>
      <c r="J29" s="35" t="s">
        <v>253</v>
      </c>
      <c r="K29" s="35" t="s">
        <v>254</v>
      </c>
    </row>
    <row r="30" spans="1:13" x14ac:dyDescent="0.2">
      <c r="G30" s="59"/>
    </row>
    <row r="31" spans="1:13" x14ac:dyDescent="0.2">
      <c r="A31" t="s">
        <v>271</v>
      </c>
      <c r="G31" s="59"/>
    </row>
    <row r="32" spans="1:13" x14ac:dyDescent="0.2">
      <c r="A32" t="s">
        <v>197</v>
      </c>
      <c r="G32" s="59"/>
      <c r="M32" t="e">
        <f>AVERAGE(B33:F33)</f>
        <v>#DIV/0!</v>
      </c>
    </row>
    <row r="33" spans="1:11" x14ac:dyDescent="0.2">
      <c r="A33" s="36" t="s">
        <v>273</v>
      </c>
      <c r="B33" s="37"/>
      <c r="C33" s="37"/>
      <c r="D33" s="37"/>
      <c r="E33" s="37"/>
      <c r="F33" s="37"/>
      <c r="G33" s="59"/>
    </row>
    <row r="34" spans="1:11" x14ac:dyDescent="0.2">
      <c r="G34" s="59"/>
    </row>
    <row r="35" spans="1:11" x14ac:dyDescent="0.2">
      <c r="A35" t="s">
        <v>32</v>
      </c>
      <c r="G35" s="59"/>
    </row>
    <row r="36" spans="1:11" x14ac:dyDescent="0.2">
      <c r="A36" s="36" t="s">
        <v>274</v>
      </c>
      <c r="B36" s="36"/>
      <c r="C36" s="40"/>
      <c r="D36" s="40"/>
      <c r="E36" s="40"/>
      <c r="F36" s="40"/>
      <c r="G36" s="60"/>
      <c r="H36" s="40"/>
      <c r="I36" s="40"/>
      <c r="J36" s="40"/>
      <c r="K36" s="40"/>
    </row>
    <row r="37" spans="1:11" x14ac:dyDescent="0.2">
      <c r="G37" s="59"/>
    </row>
    <row r="38" spans="1:11" x14ac:dyDescent="0.2">
      <c r="A38" t="s">
        <v>275</v>
      </c>
      <c r="B38" s="40"/>
      <c r="C38" s="40"/>
      <c r="D38" s="40"/>
      <c r="E38" s="40"/>
      <c r="F38" s="40"/>
      <c r="G38" s="60"/>
      <c r="H38" s="40"/>
      <c r="I38" s="40"/>
      <c r="J38" s="40"/>
      <c r="K38" s="40"/>
    </row>
    <row r="39" spans="1:11" x14ac:dyDescent="0.2">
      <c r="A39" t="s">
        <v>197</v>
      </c>
      <c r="G39" s="59"/>
    </row>
    <row r="40" spans="1:11" x14ac:dyDescent="0.2">
      <c r="C40" s="54"/>
      <c r="D40" s="54"/>
      <c r="E40" s="54"/>
      <c r="F40" s="54"/>
      <c r="G40" s="59"/>
    </row>
    <row r="41" spans="1:11" ht="12.5" x14ac:dyDescent="0.2">
      <c r="A41" s="36" t="s">
        <v>276</v>
      </c>
      <c r="C41" s="55"/>
      <c r="D41" s="55"/>
      <c r="E41" s="55"/>
      <c r="F41" s="55"/>
      <c r="G41" s="61"/>
      <c r="H41" s="37"/>
      <c r="I41" s="37"/>
      <c r="J41" s="37"/>
      <c r="K41" s="37"/>
    </row>
    <row r="42" spans="1:11" x14ac:dyDescent="0.2">
      <c r="A42" t="s">
        <v>277</v>
      </c>
      <c r="C42" s="56"/>
      <c r="D42" s="56"/>
      <c r="E42" s="56"/>
      <c r="F42" s="56"/>
      <c r="G42" s="59"/>
    </row>
    <row r="43" spans="1:11" ht="12.5" x14ac:dyDescent="0.2">
      <c r="A43" t="s">
        <v>278</v>
      </c>
      <c r="C43" s="56"/>
      <c r="D43" s="56"/>
      <c r="E43" s="56"/>
      <c r="F43" s="57"/>
      <c r="G43" s="59"/>
    </row>
    <row r="44" spans="1:11" ht="12" customHeight="1" x14ac:dyDescent="0.2">
      <c r="C44" s="54"/>
      <c r="D44" s="54"/>
      <c r="E44" s="54"/>
      <c r="F44" s="54"/>
    </row>
    <row r="45" spans="1:11" x14ac:dyDescent="0.2">
      <c r="C45" s="54"/>
      <c r="D45" s="54"/>
      <c r="E45" s="54"/>
      <c r="F45" s="54"/>
    </row>
    <row r="47" spans="1:11" ht="12.5" x14ac:dyDescent="0.25">
      <c r="A47" s="32" t="s">
        <v>279</v>
      </c>
      <c r="B47" s="34" t="s">
        <v>249</v>
      </c>
      <c r="C47" s="43"/>
      <c r="D47" s="43"/>
      <c r="E47" s="43"/>
      <c r="G47" s="44"/>
      <c r="H47" s="44"/>
      <c r="I47" s="44"/>
      <c r="J47" s="44"/>
      <c r="K47" s="44"/>
    </row>
    <row r="48" spans="1:11" ht="10.5" x14ac:dyDescent="0.25">
      <c r="A48" s="33" t="s">
        <v>280</v>
      </c>
      <c r="B48" s="31"/>
    </row>
    <row r="49" spans="1:5" x14ac:dyDescent="0.2">
      <c r="A49" t="s">
        <v>179</v>
      </c>
    </row>
    <row r="50" spans="1:5" x14ac:dyDescent="0.2">
      <c r="A50" t="s">
        <v>281</v>
      </c>
    </row>
    <row r="51" spans="1:5" x14ac:dyDescent="0.2">
      <c r="A51" t="s">
        <v>282</v>
      </c>
    </row>
    <row r="52" spans="1:5" ht="10.5" x14ac:dyDescent="0.25">
      <c r="A52" s="3" t="s">
        <v>283</v>
      </c>
      <c r="B52" s="47"/>
    </row>
    <row r="53" spans="1:5" ht="10.5" x14ac:dyDescent="0.25">
      <c r="A53" s="3" t="s">
        <v>284</v>
      </c>
      <c r="B53" s="48"/>
    </row>
    <row r="55" spans="1:5" ht="10.5" x14ac:dyDescent="0.25">
      <c r="A55" s="33" t="s">
        <v>285</v>
      </c>
      <c r="B55" s="31"/>
    </row>
    <row r="56" spans="1:5" x14ac:dyDescent="0.2">
      <c r="A56" t="s">
        <v>286</v>
      </c>
    </row>
    <row r="57" spans="1:5" x14ac:dyDescent="0.2">
      <c r="A57" t="s">
        <v>47</v>
      </c>
    </row>
    <row r="58" spans="1:5" x14ac:dyDescent="0.2">
      <c r="A58" t="s">
        <v>287</v>
      </c>
    </row>
    <row r="59" spans="1:5" x14ac:dyDescent="0.2">
      <c r="A59" s="36" t="s">
        <v>288</v>
      </c>
      <c r="B59" s="41"/>
      <c r="C59" s="41"/>
      <c r="D59" s="41"/>
      <c r="E59" s="41"/>
    </row>
    <row r="61" spans="1:5" x14ac:dyDescent="0.2">
      <c r="A61" t="s">
        <v>289</v>
      </c>
    </row>
    <row r="62" spans="1:5" x14ac:dyDescent="0.2">
      <c r="A62" t="s">
        <v>290</v>
      </c>
    </row>
    <row r="63" spans="1:5" x14ac:dyDescent="0.2">
      <c r="A63" s="36" t="s">
        <v>291</v>
      </c>
      <c r="B63" s="37"/>
      <c r="D63" s="37"/>
      <c r="E63" s="37"/>
    </row>
    <row r="65" spans="1:5" ht="10.5" x14ac:dyDescent="0.25">
      <c r="A65" s="3" t="s">
        <v>292</v>
      </c>
      <c r="B65" s="45"/>
      <c r="D65" s="39"/>
      <c r="E65" s="39"/>
    </row>
    <row r="68" spans="1:5" ht="10.5" x14ac:dyDescent="0.25">
      <c r="A68" s="33" t="s">
        <v>293</v>
      </c>
      <c r="B68" s="31"/>
    </row>
    <row r="69" spans="1:5" x14ac:dyDescent="0.2">
      <c r="A69" t="s">
        <v>294</v>
      </c>
      <c r="B69" s="38"/>
      <c r="D69" s="38"/>
      <c r="E69" s="38"/>
    </row>
    <row r="70" spans="1:5" x14ac:dyDescent="0.2">
      <c r="A70" t="s">
        <v>295</v>
      </c>
    </row>
    <row r="71" spans="1:5" x14ac:dyDescent="0.2">
      <c r="A71" t="s">
        <v>296</v>
      </c>
      <c r="B71" s="30"/>
      <c r="C71" s="30"/>
      <c r="D71" s="30"/>
      <c r="E71" s="30"/>
    </row>
    <row r="72" spans="1:5" x14ac:dyDescent="0.2">
      <c r="B72" s="30"/>
      <c r="C72" s="30"/>
      <c r="D72" s="30"/>
      <c r="E72" s="30"/>
    </row>
    <row r="73" spans="1:5" ht="13.5" customHeight="1" x14ac:dyDescent="0.25">
      <c r="A73" s="3" t="s">
        <v>297</v>
      </c>
      <c r="B73" s="46"/>
      <c r="C73" s="42"/>
      <c r="D73" s="42"/>
      <c r="E73" s="42"/>
    </row>
    <row r="75" spans="1:5" ht="11" thickBot="1" x14ac:dyDescent="0.3">
      <c r="A75" s="3" t="s">
        <v>279</v>
      </c>
      <c r="B75" s="62"/>
    </row>
    <row r="76" spans="1:5" ht="10.5" thickTop="1" x14ac:dyDescent="0.2"/>
    <row r="78" spans="1:5" ht="12" customHeight="1" x14ac:dyDescent="0.25">
      <c r="A78" s="32" t="s">
        <v>298</v>
      </c>
    </row>
    <row r="79" spans="1:5" ht="12" customHeight="1" x14ac:dyDescent="0.25">
      <c r="A79" s="3" t="s">
        <v>299</v>
      </c>
    </row>
    <row r="80" spans="1:5" ht="12" customHeight="1" x14ac:dyDescent="0.2">
      <c r="A80" t="s">
        <v>300</v>
      </c>
    </row>
    <row r="81" spans="1:2" ht="12" customHeight="1" x14ac:dyDescent="0.2">
      <c r="A81" t="s">
        <v>301</v>
      </c>
      <c r="B81" s="38"/>
    </row>
    <row r="82" spans="1:2" ht="12" customHeight="1" x14ac:dyDescent="0.2">
      <c r="A82" t="s">
        <v>279</v>
      </c>
      <c r="B82" s="38"/>
    </row>
    <row r="83" spans="1:2" ht="12" customHeight="1" x14ac:dyDescent="0.2">
      <c r="A83" t="s">
        <v>302</v>
      </c>
      <c r="B83" s="51"/>
    </row>
    <row r="84" spans="1:2" ht="12" customHeight="1" x14ac:dyDescent="0.2"/>
    <row r="85" spans="1:2" ht="12" customHeight="1" x14ac:dyDescent="0.25">
      <c r="A85" s="3" t="s">
        <v>303</v>
      </c>
    </row>
    <row r="86" spans="1:2" ht="12" customHeight="1" x14ac:dyDescent="0.2">
      <c r="A86" t="s">
        <v>86</v>
      </c>
      <c r="B86" s="50"/>
    </row>
    <row r="87" spans="1:2" ht="12" customHeight="1" x14ac:dyDescent="0.2">
      <c r="A87" t="s">
        <v>304</v>
      </c>
      <c r="B87" s="52"/>
    </row>
    <row r="88" spans="1:2" ht="12" customHeight="1" x14ac:dyDescent="0.2">
      <c r="A88" t="s">
        <v>305</v>
      </c>
    </row>
    <row r="89" spans="1:2" ht="12" customHeight="1" x14ac:dyDescent="0.2"/>
    <row r="90" spans="1:2" ht="12" customHeight="1" thickBot="1" x14ac:dyDescent="0.25">
      <c r="A90" t="s">
        <v>306</v>
      </c>
      <c r="B90" s="63"/>
    </row>
    <row r="91" spans="1:2" ht="12" customHeight="1" thickTop="1" x14ac:dyDescent="0.2"/>
    <row r="92" spans="1:2" ht="12" customHeight="1" x14ac:dyDescent="0.2"/>
    <row r="93" spans="1:2" ht="12" customHeight="1" x14ac:dyDescent="0.2"/>
    <row r="94" spans="1:2" ht="12" customHeight="1" x14ac:dyDescent="0.2"/>
  </sheetData>
  <pageMargins left="0.7" right="0.7" top="0.75" bottom="0.75" header="0.3" footer="0.3"/>
  <pageSetup paperSize="9" orientation="portrait" horizontalDpi="300" verticalDpi="3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B87C8EDA02A054EBDA00798A46656F5" ma:contentTypeVersion="2" ma:contentTypeDescription="Create a new document." ma:contentTypeScope="" ma:versionID="053ed8359ba6887a874c3157bfa9c400">
  <xsd:schema xmlns:xsd="http://www.w3.org/2001/XMLSchema" xmlns:xs="http://www.w3.org/2001/XMLSchema" xmlns:p="http://schemas.microsoft.com/office/2006/metadata/properties" xmlns:ns2="b32f9f4c-13da-4d8d-8bda-6563966f7e52" targetNamespace="http://schemas.microsoft.com/office/2006/metadata/properties" ma:root="true" ma:fieldsID="cdf2a9b569e385d026eab15ef635e0ac" ns2:_="">
    <xsd:import namespace="b32f9f4c-13da-4d8d-8bda-6563966f7e5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32f9f4c-13da-4d8d-8bda-6563966f7e5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D2A3F5B7-7225-4D75-9932-52FAB5CB529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32f9f4c-13da-4d8d-8bda-6563966f7e5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2078C8A-48F9-4097-ACDD-E0B38932EFA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8A275AC-28D0-4293-9DEC-3056994FFBF0}">
  <ds:schemaRefs>
    <ds:schemaRef ds:uri="http://purl.org/dc/elements/1.1/"/>
    <ds:schemaRef ds:uri="http://schemas.microsoft.com/office/infopath/2007/PartnerControls"/>
    <ds:schemaRef ds:uri="http://purl.org/dc/dcmitype/"/>
    <ds:schemaRef ds:uri="http://schemas.microsoft.com/office/2006/metadata/properties"/>
    <ds:schemaRef ds:uri="http://schemas.microsoft.com/office/2006/documentManagement/types"/>
    <ds:schemaRef ds:uri="http://purl.org/dc/terms/"/>
    <ds:schemaRef ds:uri="http://www.w3.org/XML/1998/namespace"/>
    <ds:schemaRef ds:uri="http://schemas.openxmlformats.org/package/2006/metadata/core-properties"/>
    <ds:schemaRef ds:uri="b32f9f4c-13da-4d8d-8bda-6563966f7e52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3</vt:i4>
      </vt:variant>
    </vt:vector>
  </HeadingPairs>
  <TitlesOfParts>
    <vt:vector size="7" baseType="lpstr">
      <vt:lpstr>Income Statement</vt:lpstr>
      <vt:lpstr>Balance Sheet</vt:lpstr>
      <vt:lpstr>Cash Flow</vt:lpstr>
      <vt:lpstr>DCF</vt:lpstr>
      <vt:lpstr>'Balance Sheet'!Print_Titles</vt:lpstr>
      <vt:lpstr>'Cash Flow'!Print_Titles</vt:lpstr>
      <vt:lpstr>'Income Statement'!Print_Titles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2004-07-20T21:40:42Z</dcterms:created>
  <dcterms:modified xsi:type="dcterms:W3CDTF">2023-02-14T17:11:38Z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 By">
    <vt:lpwstr>SoftArtisans OfficeWriter for Excel 8.6.2.281 (http://officewriter.softartisans.com)</vt:lpwstr>
  </property>
  <property fmtid="{D5CDD505-2E9C-101B-9397-08002B2CF9AE}" pid="3" name="ContentTypeId">
    <vt:lpwstr>0x010100DB87C8EDA02A054EBDA00798A46656F5</vt:lpwstr>
  </property>
</Properties>
</file>