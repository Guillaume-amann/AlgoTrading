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aume/Downloads/Imperial/QT Capital/"/>
    </mc:Choice>
  </mc:AlternateContent>
  <xr:revisionPtr revIDLastSave="0" documentId="13_ncr:1_{90037610-E8C5-7442-A8B4-3E340C6FAC14}" xr6:coauthVersionLast="47" xr6:coauthVersionMax="47" xr10:uidLastSave="{00000000-0000-0000-0000-000000000000}"/>
  <bookViews>
    <workbookView xWindow="0" yWindow="500" windowWidth="28800" windowHeight="15720" activeTab="1" xr2:uid="{00000000-000D-0000-FFFF-FFFF00000000}"/>
  </bookViews>
  <sheets>
    <sheet name="DCF" sheetId="1" r:id="rId1"/>
    <sheet name="CCA" sheetId="2" r:id="rId2"/>
    <sheet name="Sheet1" sheetId="3" r:id="rId3"/>
    <sheet name="BBG Adj Highlights" sheetId="4" r:id="rId4"/>
  </sheets>
  <definedNames>
    <definedName name="BS" localSheetId="0">DCF!$AD$3:$AI$104</definedName>
    <definedName name="CF" localSheetId="0">DCF!$W$3:$AB$99</definedName>
    <definedName name="CF_1" localSheetId="0">DCF!#REF!</definedName>
    <definedName name="IS" localSheetId="0">DCF!#REF!</definedName>
    <definedName name="IS_1" localSheetId="0">DCF!#REF!</definedName>
    <definedName name="IS_2" localSheetId="0">DCF!$N$3:$U$74</definedName>
    <definedName name="_xlnm.Print_Area" localSheetId="1">CCA!$A$1:$O$35</definedName>
    <definedName name="_xlnm.Print_Area" localSheetId="0">DCF!$A$1:$L$44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L9" i="2"/>
  <c r="K9" i="2"/>
  <c r="J9" i="2"/>
  <c r="I9" i="2"/>
  <c r="H9" i="2"/>
  <c r="G9" i="2"/>
  <c r="I34" i="1"/>
  <c r="H34" i="1" s="1"/>
  <c r="J34" i="1"/>
  <c r="C40" i="1"/>
  <c r="C32" i="1"/>
  <c r="G20" i="1"/>
  <c r="G22" i="1" s="1"/>
  <c r="F20" i="1"/>
  <c r="F22" i="1" s="1"/>
  <c r="E20" i="1"/>
  <c r="G19" i="1"/>
  <c r="F19" i="1"/>
  <c r="E19" i="1"/>
  <c r="D19" i="1"/>
  <c r="C19" i="1"/>
  <c r="G17" i="1"/>
  <c r="F17" i="1"/>
  <c r="E17" i="1"/>
  <c r="D17" i="1"/>
  <c r="C17" i="1"/>
  <c r="H16" i="1"/>
  <c r="H14" i="1"/>
  <c r="I14" i="1" s="1"/>
  <c r="G15" i="1"/>
  <c r="F15" i="1"/>
  <c r="E15" i="1"/>
  <c r="H15" i="1" s="1"/>
  <c r="I15" i="1" s="1"/>
  <c r="D15" i="1"/>
  <c r="C15" i="1"/>
  <c r="G13" i="1"/>
  <c r="F13" i="1"/>
  <c r="E13" i="1"/>
  <c r="D13" i="1"/>
  <c r="D20" i="1" s="1"/>
  <c r="C13" i="1"/>
  <c r="C20" i="1" s="1"/>
  <c r="G12" i="1"/>
  <c r="F12" i="1"/>
  <c r="E12" i="1"/>
  <c r="D12" i="1"/>
  <c r="C12" i="1"/>
  <c r="G10" i="1"/>
  <c r="F10" i="1"/>
  <c r="E10" i="1"/>
  <c r="D10" i="1"/>
  <c r="C10" i="1"/>
  <c r="G8" i="1"/>
  <c r="F8" i="1"/>
  <c r="E8" i="1"/>
  <c r="H8" i="1" s="1"/>
  <c r="D8" i="1"/>
  <c r="P27" i="4"/>
  <c r="Q27" i="4"/>
  <c r="N25" i="4"/>
  <c r="F25" i="4"/>
  <c r="J24" i="4"/>
  <c r="N23" i="4"/>
  <c r="F23" i="4"/>
  <c r="J20" i="4"/>
  <c r="N18" i="4"/>
  <c r="F18" i="4"/>
  <c r="J16" i="4"/>
  <c r="F14" i="4"/>
  <c r="F9" i="4"/>
  <c r="E9" i="4"/>
  <c r="M25" i="4"/>
  <c r="E25" i="4"/>
  <c r="I24" i="4"/>
  <c r="M23" i="4"/>
  <c r="E23" i="4"/>
  <c r="I20" i="4"/>
  <c r="M18" i="4"/>
  <c r="E18" i="4"/>
  <c r="I16" i="4"/>
  <c r="M14" i="4"/>
  <c r="E14" i="4"/>
  <c r="I13" i="4"/>
  <c r="M12" i="4"/>
  <c r="E12" i="4"/>
  <c r="I8" i="4"/>
  <c r="L25" i="4"/>
  <c r="D25" i="4"/>
  <c r="H24" i="4"/>
  <c r="L23" i="4"/>
  <c r="D23" i="4"/>
  <c r="H20" i="4"/>
  <c r="L18" i="4"/>
  <c r="D18" i="4"/>
  <c r="H16" i="4"/>
  <c r="L14" i="4"/>
  <c r="D14" i="4"/>
  <c r="H13" i="4"/>
  <c r="L12" i="4"/>
  <c r="D12" i="4"/>
  <c r="H10" i="4"/>
  <c r="L9" i="4"/>
  <c r="D9" i="4"/>
  <c r="H8" i="4"/>
  <c r="L7" i="4"/>
  <c r="D7" i="4"/>
  <c r="H6" i="4"/>
  <c r="K9" i="4"/>
  <c r="G8" i="4"/>
  <c r="C7" i="4"/>
  <c r="J25" i="4"/>
  <c r="F24" i="4"/>
  <c r="F20" i="4"/>
  <c r="N16" i="4"/>
  <c r="F16" i="4"/>
  <c r="N13" i="4"/>
  <c r="J12" i="4"/>
  <c r="J9" i="4"/>
  <c r="J7" i="4"/>
  <c r="E20" i="4"/>
  <c r="M13" i="4"/>
  <c r="E10" i="4"/>
  <c r="I7" i="4"/>
  <c r="G7" i="4"/>
  <c r="J13" i="4"/>
  <c r="J8" i="4"/>
  <c r="M9" i="4"/>
  <c r="K25" i="4"/>
  <c r="C25" i="4"/>
  <c r="G24" i="4"/>
  <c r="K23" i="4"/>
  <c r="C23" i="4"/>
  <c r="G20" i="4"/>
  <c r="K18" i="4"/>
  <c r="C18" i="4"/>
  <c r="G16" i="4"/>
  <c r="K14" i="4"/>
  <c r="C14" i="4"/>
  <c r="G13" i="4"/>
  <c r="K12" i="4"/>
  <c r="C12" i="4"/>
  <c r="G10" i="4"/>
  <c r="C9" i="4"/>
  <c r="K7" i="4"/>
  <c r="G6" i="4"/>
  <c r="N24" i="4"/>
  <c r="N20" i="4"/>
  <c r="J18" i="4"/>
  <c r="J14" i="4"/>
  <c r="F13" i="4"/>
  <c r="F10" i="4"/>
  <c r="N8" i="4"/>
  <c r="N6" i="4"/>
  <c r="M16" i="4"/>
  <c r="E13" i="4"/>
  <c r="I9" i="4"/>
  <c r="M6" i="4"/>
  <c r="C6" i="4"/>
  <c r="F12" i="4"/>
  <c r="J6" i="4"/>
  <c r="I6" i="4"/>
  <c r="J23" i="4"/>
  <c r="N10" i="4"/>
  <c r="F8" i="4"/>
  <c r="F6" i="4"/>
  <c r="E16" i="4"/>
  <c r="I12" i="4"/>
  <c r="M8" i="4"/>
  <c r="E6" i="4"/>
  <c r="N12" i="4"/>
  <c r="N7" i="4"/>
  <c r="M7" i="4"/>
  <c r="I25" i="4"/>
  <c r="M24" i="4"/>
  <c r="E24" i="4"/>
  <c r="I23" i="4"/>
  <c r="M20" i="4"/>
  <c r="I18" i="4"/>
  <c r="I14" i="4"/>
  <c r="M10" i="4"/>
  <c r="E8" i="4"/>
  <c r="N14" i="4"/>
  <c r="N9" i="4"/>
  <c r="I10" i="4"/>
  <c r="H25" i="4"/>
  <c r="L24" i="4"/>
  <c r="D24" i="4"/>
  <c r="H23" i="4"/>
  <c r="L20" i="4"/>
  <c r="D20" i="4"/>
  <c r="H18" i="4"/>
  <c r="L16" i="4"/>
  <c r="D16" i="4"/>
  <c r="H14" i="4"/>
  <c r="L13" i="4"/>
  <c r="D13" i="4"/>
  <c r="H12" i="4"/>
  <c r="L10" i="4"/>
  <c r="D10" i="4"/>
  <c r="H9" i="4"/>
  <c r="L8" i="4"/>
  <c r="D8" i="4"/>
  <c r="H7" i="4"/>
  <c r="L6" i="4"/>
  <c r="D6" i="4"/>
  <c r="G25" i="4"/>
  <c r="K24" i="4"/>
  <c r="C24" i="4"/>
  <c r="G23" i="4"/>
  <c r="K20" i="4"/>
  <c r="C20" i="4"/>
  <c r="G18" i="4"/>
  <c r="K16" i="4"/>
  <c r="C16" i="4"/>
  <c r="G14" i="4"/>
  <c r="K13" i="4"/>
  <c r="C13" i="4"/>
  <c r="G12" i="4"/>
  <c r="K10" i="4"/>
  <c r="C10" i="4"/>
  <c r="G9" i="4"/>
  <c r="K8" i="4"/>
  <c r="C8" i="4"/>
  <c r="K6" i="4"/>
  <c r="J10" i="4"/>
  <c r="F7" i="4"/>
  <c r="E7" i="4"/>
  <c r="G34" i="1" l="1"/>
  <c r="K34" i="1"/>
  <c r="I8" i="1"/>
  <c r="H7" i="1"/>
  <c r="I7" i="1" s="1"/>
  <c r="J19" i="1"/>
  <c r="K19" i="1" s="1"/>
  <c r="E22" i="1"/>
  <c r="I16" i="1"/>
  <c r="H17" i="1"/>
  <c r="H19" i="1"/>
  <c r="I19" i="1" s="1"/>
  <c r="J14" i="1"/>
  <c r="K14" i="1" s="1"/>
  <c r="J8" i="1"/>
  <c r="K8" i="1" s="1"/>
  <c r="G27" i="4"/>
  <c r="F27" i="4"/>
  <c r="H27" i="4"/>
  <c r="E27" i="4"/>
  <c r="D27" i="4"/>
  <c r="M27" i="4"/>
  <c r="J27" i="4"/>
  <c r="L27" i="4"/>
  <c r="I27" i="4"/>
  <c r="N27" i="4"/>
  <c r="O27" i="4"/>
  <c r="K27" i="4"/>
  <c r="E14" i="3" a="1"/>
  <c r="E14" i="3" s="1"/>
  <c r="C37" i="1"/>
  <c r="C42" i="1" s="1"/>
  <c r="K20" i="2"/>
  <c r="I20" i="2"/>
  <c r="C20" i="2"/>
  <c r="D20" i="2"/>
  <c r="E20" i="2"/>
  <c r="F20" i="2"/>
  <c r="G20" i="2"/>
  <c r="H20" i="2"/>
  <c r="J20" i="2"/>
  <c r="L20" i="2"/>
  <c r="M20" i="2"/>
  <c r="N20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N25" i="2"/>
  <c r="F6" i="2"/>
  <c r="B25" i="2"/>
  <c r="B22" i="2"/>
  <c r="B23" i="2"/>
  <c r="B21" i="2"/>
  <c r="B20" i="2"/>
  <c r="B19" i="2"/>
  <c r="M9" i="2"/>
  <c r="M19" i="2" s="1"/>
  <c r="E9" i="2"/>
  <c r="D9" i="2"/>
  <c r="D6" i="2"/>
  <c r="F37" i="1" l="1"/>
  <c r="K37" i="1" s="1"/>
  <c r="C24" i="1"/>
  <c r="I17" i="1"/>
  <c r="J16" i="1"/>
  <c r="J7" i="1"/>
  <c r="G6" i="2"/>
  <c r="C41" i="1"/>
  <c r="C25" i="1" l="1"/>
  <c r="G37" i="1"/>
  <c r="F36" i="1"/>
  <c r="F38" i="1"/>
  <c r="J37" i="1"/>
  <c r="H37" i="1"/>
  <c r="J17" i="1"/>
  <c r="K16" i="1"/>
  <c r="E19" i="2"/>
  <c r="C36" i="1"/>
  <c r="N19" i="2"/>
  <c r="C26" i="1" l="1"/>
  <c r="F9" i="2" s="1"/>
  <c r="I38" i="1"/>
  <c r="F39" i="1"/>
  <c r="H38" i="1"/>
  <c r="J38" i="1"/>
  <c r="G38" i="1"/>
  <c r="K38" i="1"/>
  <c r="F35" i="1"/>
  <c r="I36" i="1"/>
  <c r="H36" i="1"/>
  <c r="J36" i="1"/>
  <c r="G36" i="1"/>
  <c r="K36" i="1"/>
  <c r="G19" i="2"/>
  <c r="I25" i="2"/>
  <c r="I23" i="2"/>
  <c r="I5" i="1"/>
  <c r="I19" i="2" l="1"/>
  <c r="L19" i="2"/>
  <c r="K19" i="2"/>
  <c r="I39" i="1"/>
  <c r="J39" i="1"/>
  <c r="H39" i="1"/>
  <c r="K39" i="1"/>
  <c r="G39" i="1"/>
  <c r="I35" i="1"/>
  <c r="J35" i="1"/>
  <c r="H35" i="1"/>
  <c r="G35" i="1"/>
  <c r="K35" i="1"/>
  <c r="J5" i="1"/>
  <c r="K5" i="1" s="1"/>
  <c r="C22" i="2"/>
  <c r="I22" i="2"/>
  <c r="J25" i="2"/>
  <c r="J23" i="2"/>
  <c r="C19" i="2"/>
  <c r="C21" i="2"/>
  <c r="I21" i="2"/>
  <c r="C25" i="2"/>
  <c r="C23" i="2"/>
  <c r="H10" i="1" l="1"/>
  <c r="I10" i="1" s="1"/>
  <c r="J19" i="2"/>
  <c r="H12" i="1"/>
  <c r="D22" i="2"/>
  <c r="J22" i="2"/>
  <c r="D21" i="2"/>
  <c r="J21" i="2"/>
  <c r="K23" i="2"/>
  <c r="K25" i="2"/>
  <c r="D23" i="2"/>
  <c r="D25" i="2"/>
  <c r="I12" i="1" l="1"/>
  <c r="D19" i="2"/>
  <c r="F19" i="2"/>
  <c r="H19" i="2"/>
  <c r="C29" i="2"/>
  <c r="C31" i="2"/>
  <c r="C30" i="2"/>
  <c r="F30" i="2" s="1"/>
  <c r="I30" i="2" s="1"/>
  <c r="L30" i="2" s="1"/>
  <c r="C34" i="2"/>
  <c r="C32" i="2"/>
  <c r="F32" i="2" s="1"/>
  <c r="C33" i="2"/>
  <c r="F33" i="2" s="1"/>
  <c r="I33" i="2" s="1"/>
  <c r="L33" i="2" s="1"/>
  <c r="E22" i="2"/>
  <c r="K22" i="2"/>
  <c r="E25" i="2"/>
  <c r="L25" i="2"/>
  <c r="L23" i="2"/>
  <c r="E23" i="2"/>
  <c r="E21" i="2"/>
  <c r="K21" i="2"/>
  <c r="J15" i="1"/>
  <c r="J12" i="1"/>
  <c r="K12" i="1" s="1"/>
  <c r="J10" i="1"/>
  <c r="K10" i="1" s="1"/>
  <c r="K15" i="1" l="1"/>
  <c r="F29" i="2"/>
  <c r="F34" i="2"/>
  <c r="F31" i="2"/>
  <c r="F22" i="2"/>
  <c r="L22" i="2"/>
  <c r="H9" i="1"/>
  <c r="H11" i="1" s="1"/>
  <c r="F25" i="2"/>
  <c r="F21" i="2"/>
  <c r="L21" i="2"/>
  <c r="M25" i="2"/>
  <c r="M23" i="2"/>
  <c r="F23" i="2"/>
  <c r="D32" i="2" l="1"/>
  <c r="D34" i="2"/>
  <c r="D33" i="2"/>
  <c r="G33" i="2" s="1"/>
  <c r="J33" i="2" s="1"/>
  <c r="M33" i="2" s="1"/>
  <c r="D29" i="2"/>
  <c r="G29" i="2" s="1"/>
  <c r="J29" i="2" s="1"/>
  <c r="D30" i="2"/>
  <c r="G30" i="2" s="1"/>
  <c r="J30" i="2" s="1"/>
  <c r="M30" i="2" s="1"/>
  <c r="D31" i="2"/>
  <c r="I29" i="2"/>
  <c r="L29" i="2" s="1"/>
  <c r="I32" i="2"/>
  <c r="L32" i="2" s="1"/>
  <c r="I31" i="2"/>
  <c r="L31" i="2" s="1"/>
  <c r="I34" i="2"/>
  <c r="L34" i="2" s="1"/>
  <c r="G22" i="2"/>
  <c r="M22" i="2"/>
  <c r="I9" i="1"/>
  <c r="G23" i="2"/>
  <c r="G21" i="2"/>
  <c r="M21" i="2"/>
  <c r="G25" i="2"/>
  <c r="N23" i="2"/>
  <c r="I11" i="1" l="1"/>
  <c r="I13" i="1" s="1"/>
  <c r="H13" i="1"/>
  <c r="K7" i="1"/>
  <c r="K17" i="1" s="1"/>
  <c r="M29" i="2"/>
  <c r="G34" i="2"/>
  <c r="J34" i="2" s="1"/>
  <c r="M34" i="2" s="1"/>
  <c r="G32" i="2"/>
  <c r="J32" i="2" s="1"/>
  <c r="M32" i="2" s="1"/>
  <c r="G31" i="2"/>
  <c r="J31" i="2" s="1"/>
  <c r="M31" i="2" s="1"/>
  <c r="H22" i="2"/>
  <c r="N22" i="2"/>
  <c r="H23" i="2"/>
  <c r="H21" i="2"/>
  <c r="N21" i="2"/>
  <c r="H25" i="2"/>
  <c r="J9" i="1"/>
  <c r="E32" i="2" l="1"/>
  <c r="H32" i="2" s="1"/>
  <c r="K32" i="2" s="1"/>
  <c r="N32" i="2" s="1"/>
  <c r="E29" i="2"/>
  <c r="H29" i="2" s="1"/>
  <c r="K29" i="2" s="1"/>
  <c r="E30" i="2"/>
  <c r="H30" i="2" s="1"/>
  <c r="K30" i="2" s="1"/>
  <c r="N30" i="2" s="1"/>
  <c r="E31" i="2"/>
  <c r="E34" i="2"/>
  <c r="H34" i="2" s="1"/>
  <c r="E33" i="2"/>
  <c r="H33" i="2" s="1"/>
  <c r="K33" i="2" s="1"/>
  <c r="N33" i="2" s="1"/>
  <c r="J11" i="1"/>
  <c r="J13" i="1" s="1"/>
  <c r="K9" i="1"/>
  <c r="K11" i="1" l="1"/>
  <c r="K13" i="1"/>
  <c r="H31" i="2"/>
  <c r="K31" i="2" s="1"/>
  <c r="N31" i="2" s="1"/>
  <c r="K34" i="2"/>
  <c r="N34" i="2" s="1"/>
  <c r="N29" i="2"/>
  <c r="K18" i="1" l="1"/>
  <c r="K20" i="1" s="1"/>
  <c r="K21" i="1" s="1"/>
  <c r="H18" i="1"/>
  <c r="H20" i="1" s="1"/>
  <c r="I22" i="1" s="1"/>
  <c r="J18" i="1"/>
  <c r="J20" i="1" s="1"/>
  <c r="J21" i="1" s="1"/>
  <c r="I18" i="1"/>
  <c r="I20" i="1" s="1"/>
  <c r="I21" i="1" s="1"/>
  <c r="J22" i="1" l="1"/>
  <c r="H22" i="1"/>
  <c r="H21" i="1"/>
  <c r="K22" i="1"/>
  <c r="C29" i="1" l="1"/>
  <c r="C31" i="1" s="1"/>
  <c r="I37" i="1" l="1"/>
  <c r="D5" i="3" s="1" a="1"/>
  <c r="D5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DB8AD-254B-494D-A2B6-51338D470769}" name="Connection" type="4" refreshedVersion="8" background="1" saveData="1">
    <webPr consecutive="1" url="https://www.wsj.com/market-data/quotes/WAB/financials/annual/cash-flow" htmlTables="1" htmlFormat="all"/>
  </connection>
  <connection id="2" xr16:uid="{40BFA0F2-31B8-FE4E-A9ED-D3EDD41FF070}" name="Connection1" type="4" refreshedVersion="8" background="1" saveData="1">
    <webPr consecutive="1" url="https://www.wsj.com/market-data/quotes/WAB/financials/annual/balance-sheet" htmlTables="1" htmlFormat="all"/>
  </connection>
  <connection id="3" xr16:uid="{30E11E57-265C-8C44-9D2C-83A80372B66D}" name="Connection4" type="4" refreshedVersion="8" background="1" saveData="1">
    <webPr consecutive="1" url="https://www.wsj.com/market-data/quotes/WAB/financials/annual/income-statement" htmlTables="1" htmlFormat="all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<sst xmlns="http://schemas.openxmlformats.org/spreadsheetml/2006/main" count="672" uniqueCount="360">
  <si>
    <t>Discounted Cash Flow</t>
  </si>
  <si>
    <t>Ticker</t>
  </si>
  <si>
    <t>Implied Share Price</t>
  </si>
  <si>
    <t>TGR</t>
  </si>
  <si>
    <t>Income Statement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</si>
  <si>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</si>
  <si>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</si>
  <si>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</si>
  <si>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</si>
  <si>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</si>
  <si>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</si>
  <si>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</si>
  <si>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</si>
  <si>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</si>
  <si>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Unlevered FCF</t>
  </si>
  <si>
    <t>Terminal Value</t>
  </si>
  <si>
    <t>Present Value of Terminal Value</t>
  </si>
  <si>
    <t>Enterprise Value</t>
  </si>
  <si>
    <t>Equity Value</t>
  </si>
  <si>
    <t>Shares</t>
  </si>
  <si>
    <t>Share Price</t>
  </si>
  <si>
    <t>Debt</t>
  </si>
  <si>
    <t>% Debt</t>
  </si>
  <si>
    <t>Cost of Debt</t>
  </si>
  <si>
    <t>Tax Rate</t>
  </si>
  <si>
    <t>% Equity</t>
  </si>
  <si>
    <t>Risk Free Rate</t>
  </si>
  <si>
    <t>Beta</t>
  </si>
  <si>
    <t>Debt + Equity</t>
  </si>
  <si>
    <t>-</t>
  </si>
  <si>
    <t>EBITDA</t>
  </si>
  <si>
    <t>Interest Expense</t>
  </si>
  <si>
    <t>Pretax Income</t>
  </si>
  <si>
    <t>Net Income</t>
  </si>
  <si>
    <t>Amortization of Intangibles</t>
  </si>
  <si>
    <t xml:space="preserve">   + Cash</t>
  </si>
  <si>
    <t xml:space="preserve">   - Debt</t>
  </si>
  <si>
    <t>EBIAT = EBIT - Taxes</t>
  </si>
  <si>
    <t>Income Statement ($M)</t>
  </si>
  <si>
    <t>Cash Flow</t>
  </si>
  <si>
    <t>Depreciation</t>
  </si>
  <si>
    <t>WACC 
(% Equity x Cost of Equity) + (% Debt x Cost of Debt x (1 -Tax rate))</t>
  </si>
  <si>
    <t>Cost of Equity
Risk Free Rate + (Beta x (Expected Market Return - Risk Free Rate))</t>
  </si>
  <si>
    <t>pre-COVID data not relevant</t>
  </si>
  <si>
    <t>%change compared with 2019 ↑</t>
  </si>
  <si>
    <t>Share Price on</t>
  </si>
  <si>
    <t>Discounted Cash Flow Analysis</t>
  </si>
  <si>
    <t>Revenue Growth</t>
  </si>
  <si>
    <t>EBITDA Margin</t>
  </si>
  <si>
    <t>Profit Margin</t>
  </si>
  <si>
    <t>EV / Revenue</t>
  </si>
  <si>
    <t>EV / EBITDA</t>
  </si>
  <si>
    <t>P / E</t>
  </si>
  <si>
    <t>Mean</t>
  </si>
  <si>
    <t>Median</t>
  </si>
  <si>
    <t>2023 Trading Multiple</t>
  </si>
  <si>
    <t>P/E</t>
  </si>
  <si>
    <t>EPS</t>
  </si>
  <si>
    <t>Cash</t>
  </si>
  <si>
    <t>Minimum</t>
  </si>
  <si>
    <t>Maximum</t>
  </si>
  <si>
    <t>Market Cap</t>
  </si>
  <si>
    <t>Company</t>
  </si>
  <si>
    <t>Share Price:</t>
  </si>
  <si>
    <r>
      <t>Revenue</t>
    </r>
    <r>
      <rPr>
        <sz val="8"/>
        <color theme="1"/>
        <rFont val="Calibri (Body)"/>
      </rPr>
      <t xml:space="preserve"> (in million USDs)</t>
    </r>
  </si>
  <si>
    <r>
      <t xml:space="preserve">EBITDA  </t>
    </r>
    <r>
      <rPr>
        <sz val="8"/>
        <color theme="1"/>
        <rFont val="Calibri (Body)"/>
      </rPr>
      <t>(in million USDs)</t>
    </r>
  </si>
  <si>
    <r>
      <t xml:space="preserve">Net Income </t>
    </r>
    <r>
      <rPr>
        <sz val="8"/>
        <color theme="1"/>
        <rFont val="Calibri (Body)"/>
      </rPr>
      <t>(in millions)</t>
    </r>
  </si>
  <si>
    <t>Income Tax</t>
  </si>
  <si>
    <t>Net Income Growth</t>
  </si>
  <si>
    <t>Preferred Dividends</t>
  </si>
  <si>
    <t>Sales/Revenue</t>
  </si>
  <si>
    <t>Sales Growth</t>
  </si>
  <si>
    <t>Cost of Goods Sold (COGS) incl. D&amp;A</t>
  </si>
  <si>
    <t>COGS excluding D&amp;A</t>
  </si>
  <si>
    <t>Depreciation &amp; Amortization Expense</t>
  </si>
  <si>
    <t>Amortization of Deferred Charges</t>
  </si>
  <si>
    <t>COGS Growth</t>
  </si>
  <si>
    <t>Gross Income</t>
  </si>
  <si>
    <t>Gross Income Growth</t>
  </si>
  <si>
    <t>Gross Profit Margin</t>
  </si>
  <si>
    <t>SG&amp;A Expense</t>
  </si>
  <si>
    <t>Research &amp; Development</t>
  </si>
  <si>
    <t>Other SG&amp;A</t>
  </si>
  <si>
    <t>SGA Growth</t>
  </si>
  <si>
    <t>Other Operating Expense</t>
  </si>
  <si>
    <t>Unusual Expense</t>
  </si>
  <si>
    <t>Non Operating Income/Expense</t>
  </si>
  <si>
    <t>Non-Operating Interest Income</t>
  </si>
  <si>
    <t>Equity in Affiliates (Pretax)</t>
  </si>
  <si>
    <t>Interest Expense Growth</t>
  </si>
  <si>
    <t>Gross Interest Expense</t>
  </si>
  <si>
    <t>Interest Capitalized</t>
  </si>
  <si>
    <t>Pretax Income Growth</t>
  </si>
  <si>
    <t>Pretax Margin</t>
  </si>
  <si>
    <t>Income Tax - Current Domestic</t>
  </si>
  <si>
    <t>Income Tax - Current Foreign</t>
  </si>
  <si>
    <t>Income Tax - Deferred Domestic</t>
  </si>
  <si>
    <t>Income Tax - Deferred Foreign</t>
  </si>
  <si>
    <t>Income Tax Credits</t>
  </si>
  <si>
    <t>Equity in Affiliates</t>
  </si>
  <si>
    <t>Other After Tax Income (Expense)</t>
  </si>
  <si>
    <t>Consolidated Net Income</t>
  </si>
  <si>
    <t>Minority Interest Expense</t>
  </si>
  <si>
    <t>Net Margin</t>
  </si>
  <si>
    <t>Extraordinaries &amp; Discontinued Operations</t>
  </si>
  <si>
    <t>Extra Items &amp; Gain/Loss Sale Of Assets</t>
  </si>
  <si>
    <t>Cumulative Effect - Accounting Chg</t>
  </si>
  <si>
    <t>Discontinued Operations</t>
  </si>
  <si>
    <t>Net Income After Extraordinaries</t>
  </si>
  <si>
    <t>Net Income Available to Common</t>
  </si>
  <si>
    <t>EPS (Basic)</t>
  </si>
  <si>
    <t>EPS (Basic) Growth</t>
  </si>
  <si>
    <t>Basic Shares Outstanding</t>
  </si>
  <si>
    <t>EPS (Diluted)</t>
  </si>
  <si>
    <t>EPS (Diluted) Growth</t>
  </si>
  <si>
    <t>Diluted Shares Outstanding</t>
  </si>
  <si>
    <t>EBITDA Growth</t>
  </si>
  <si>
    <t>Westinghouse Air Brake</t>
  </si>
  <si>
    <t xml:space="preserve">
Technologies Corporation (WAB)</t>
  </si>
  <si>
    <t>Net Income before Extraordinaries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</si>
  <si>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</si>
  <si>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</si>
  <si>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</si>
  <si>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</si>
  <si>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</si>
  <si>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Investment Tax Credit</t>
  </si>
  <si>
    <t>Other Funds</t>
  </si>
  <si>
    <t>Funds from Operations</t>
  </si>
  <si>
    <t>Extraordinaries</t>
  </si>
  <si>
    <t>Changes in Working Capital</t>
  </si>
  <si>
    <t>Receivables</t>
  </si>
  <si>
    <t>Inventories</t>
  </si>
  <si>
    <t>Accounts Payable</t>
  </si>
  <si>
    <t>Income Taxes Payable</t>
  </si>
  <si>
    <t>Other Accruals</t>
  </si>
  <si>
    <t>Other Assets/Liabilities</t>
  </si>
  <si>
    <t>Net Operating Cash Flow</t>
  </si>
  <si>
    <t>Net Operating Cash Flow Growth</t>
  </si>
  <si>
    <t>Net Operating Cash Flow / Sales</t>
  </si>
  <si>
    <t>Capital Expenditures</t>
  </si>
  <si>
    <t>Capital Expenditures (Fixed Assets)</t>
  </si>
  <si>
    <t>Capital Expenditures (Other Assets)</t>
  </si>
  <si>
    <t>Capital Expenditures Growth</t>
  </si>
  <si>
    <t>Capital Expenditures / Sales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</si>
  <si>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</si>
  <si>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</si>
  <si>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</si>
  <si>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</si>
  <si>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</si>
  <si>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</si>
  <si>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</si>
  <si>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</si>
  <si>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Net Investing Cash Flow Growth</t>
  </si>
  <si>
    <t>Net Investing Cash Flow / Sales</t>
  </si>
  <si>
    <t>Cash Dividends Paid - Total</t>
  </si>
  <si>
    <t>Common Dividends</t>
  </si>
  <si>
    <t>Change in Capital Stock</t>
  </si>
  <si>
    <t>Repurchase of Common &amp; Preferred Stk.</t>
  </si>
  <si>
    <t>Sale of Common &amp; Preferred Stock</t>
  </si>
  <si>
    <t>Proceeds from Stock Options</t>
  </si>
  <si>
    <t>Other 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</si>
  <si>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</si>
  <si>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</si>
  <si>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</si>
  <si>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</si>
  <si>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</si>
  <si>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</si>
  <si>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Net Financing Cash Flow Growth</t>
  </si>
  <si>
    <t>Net Financing Cash Flow / Sales</t>
  </si>
  <si>
    <t>Exchange Rate Effect</t>
  </si>
  <si>
    <t>Miscellaneous Funds</t>
  </si>
  <si>
    <t>Net Change in Cash</t>
  </si>
  <si>
    <t>Free Cash Flow</t>
  </si>
  <si>
    <t>Free Cash Flow Growth</t>
  </si>
  <si>
    <t>Free Cash Flow Yield</t>
  </si>
  <si>
    <t>Cash &amp; Short Term Investments</t>
  </si>
  <si>
    <t>Cash Only</t>
  </si>
  <si>
    <t>Short-Term Investments</t>
  </si>
  <si>
    <t>Cash &amp; Short Term Investments Growth</t>
  </si>
  <si>
    <t>Cash &amp; ST Investments / Total Assets</t>
  </si>
  <si>
    <t>Total Accounts Receivable</t>
  </si>
  <si>
    <t>Accounts Receivables, Net</t>
  </si>
  <si>
    <t>Accounts Receivables, Gross</t>
  </si>
  <si>
    <t>Bad Debt/Doubtful Accounts</t>
  </si>
  <si>
    <t>Other Receivables</t>
  </si>
  <si>
    <t>Accounts Receivable Growth</t>
  </si>
  <si>
    <t>Accounts Receivable Turnover</t>
  </si>
  <si>
    <t>Finished Goods</t>
  </si>
  <si>
    <t>Work in Progress</t>
  </si>
  <si>
    <t>Raw Materials</t>
  </si>
  <si>
    <t>Progress Payments &amp; Other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</si>
  <si>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</si>
  <si>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</si>
  <si>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</si>
  <si>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</si>
  <si>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</si>
  <si>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</si>
  <si>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</si>
  <si>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</si>
  <si>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</si>
  <si>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</si>
  <si>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Accumulated Depreciation</t>
  </si>
  <si>
    <t>Total Investments and Advances</t>
  </si>
  <si>
    <t>LT Investment - Affiliate Companies</t>
  </si>
  <si>
    <t>Other Long-Term Investments</t>
  </si>
  <si>
    <t>Long-Term Note Receivable</t>
  </si>
  <si>
    <t>Intangible Assets</t>
  </si>
  <si>
    <t>Net Goodwill</t>
  </si>
  <si>
    <t>Net Other Intangibles</t>
  </si>
  <si>
    <t>Other Assets</t>
  </si>
  <si>
    <t>Deferred Charges</t>
  </si>
  <si>
    <t>Tangible Other Assets</t>
  </si>
  <si>
    <t>Total Assets</t>
  </si>
  <si>
    <t>Assets - Total - Growth</t>
  </si>
  <si>
    <t>Asset Turnover</t>
  </si>
  <si>
    <t>Return On Average Assets</t>
  </si>
  <si>
    <t>ST Debt &amp; Current Portion LT Debt</t>
  </si>
  <si>
    <t>Short Term Debt</t>
  </si>
  <si>
    <t>Current Portion of Long Term Debt</t>
  </si>
  <si>
    <t>Accounts Payable Growth</t>
  </si>
  <si>
    <t>Other Current Liabilities</t>
  </si>
  <si>
    <t>Dividends Payable</t>
  </si>
  <si>
    <t>Accrued Payroll</t>
  </si>
  <si>
    <t>Miscellaneous Current Liabilities</t>
  </si>
  <si>
    <t>Total Current Liabilities</t>
  </si>
  <si>
    <t>Total Current Assets FOR CALCULATION PURPOSES ONLY</t>
  </si>
  <si>
    <t>Total Assets FOR CALCULATION PURPOSES ONLY</t>
  </si>
  <si>
    <t>Inventories FOR CALCULATION PURPOSES ONLY</t>
  </si>
  <si>
    <t>Cash &amp; Short Term Investments FOR CALCULATION PURPOSES ONLY</t>
  </si>
  <si>
    <t>Current Ratio</t>
  </si>
  <si>
    <t>Quick Ratio</t>
  </si>
  <si>
    <t>Cash Ratio</t>
  </si>
  <si>
    <t>Long-Term Debt</t>
  </si>
  <si>
    <t>Long-Term Debt excl. Capitalized Leases</t>
  </si>
  <si>
    <t>Non-Convertible Debt</t>
  </si>
  <si>
    <t>Convertible Debt</t>
  </si>
  <si>
    <t>Capitalized Lease Obligations</t>
  </si>
  <si>
    <t>Provision for Risks &amp; Charges</t>
  </si>
  <si>
    <t>Deferred Taxes - Credit</t>
  </si>
  <si>
    <t>Deferred Taxes - Debit</t>
  </si>
  <si>
    <t>Other Liabilities</t>
  </si>
  <si>
    <t>Deferred Tax Liability-Untaxed Reserves</t>
  </si>
  <si>
    <t>Other Liabilities (excl. Deferred Income)</t>
  </si>
  <si>
    <t>Deferred Income</t>
  </si>
  <si>
    <t>Total Liabilities</t>
  </si>
  <si>
    <t>Non-Equity Reserves</t>
  </si>
  <si>
    <t>Total Liabilities / Total Assets</t>
  </si>
  <si>
    <t>Common Equity (Total)</t>
  </si>
  <si>
    <t>Common Stock Par/Carry Value</t>
  </si>
  <si>
    <t>Additional Paid-In Capital/Capital Surplus</t>
  </si>
  <si>
    <t>Retained Earnings</t>
  </si>
  <si>
    <t>ESOP Debt Guarantee</t>
  </si>
  <si>
    <t>Cumulative Translation Adjustment/Unrealized For. Exch. Gain</t>
  </si>
  <si>
    <t>Unrealized Gain/Loss Marketable Securities</t>
  </si>
  <si>
    <t>Revaluation Reserves</t>
  </si>
  <si>
    <t>Other Appropriated Reserves</t>
  </si>
  <si>
    <t>Unappropriated Reserves</t>
  </si>
  <si>
    <t>Treasury Stock</t>
  </si>
  <si>
    <t>Common Equity / Total Assets</t>
  </si>
  <si>
    <t>Total Shareholders' Equity</t>
  </si>
  <si>
    <t>Total Shareholders' Equity / Total Assets</t>
  </si>
  <si>
    <t>Accumulated Minority Interest</t>
  </si>
  <si>
    <t>Total Equity</t>
  </si>
  <si>
    <t>Liabilities &amp; Shareholders' Equity</t>
  </si>
  <si>
    <t>Balance sheet</t>
  </si>
  <si>
    <t>Comparable Company Analysis</t>
  </si>
  <si>
    <t>WAB</t>
  </si>
  <si>
    <t>WAB Tech</t>
  </si>
  <si>
    <t>The Greenbrier</t>
  </si>
  <si>
    <t>GBX</t>
  </si>
  <si>
    <t>CSX Corp</t>
  </si>
  <si>
    <t>CSX</t>
  </si>
  <si>
    <t>Trinity Industries</t>
  </si>
  <si>
    <t>TRN</t>
  </si>
  <si>
    <t>Canadian National</t>
  </si>
  <si>
    <t>CNI</t>
  </si>
  <si>
    <t>Norfolk Southern</t>
  </si>
  <si>
    <t>NSC</t>
  </si>
  <si>
    <t>FDX</t>
  </si>
  <si>
    <t>FedEx</t>
  </si>
  <si>
    <t>from US10Y</t>
  </si>
  <si>
    <t>Market Risk Premium 
= Market return - Risk free return</t>
  </si>
  <si>
    <t>1st Quartile</t>
  </si>
  <si>
    <t>3rd Quartile</t>
  </si>
  <si>
    <t>WACC</t>
  </si>
  <si>
    <t>Terminal Growth Rate</t>
  </si>
  <si>
    <t>← from Bloomberg</t>
  </si>
  <si>
    <t>CRRC Corp</t>
  </si>
  <si>
    <t>KTK Group</t>
  </si>
  <si>
    <t>Greenbrier Companies</t>
  </si>
  <si>
    <t>Stadler Rail</t>
  </si>
  <si>
    <t>Construcciones y Auxiliar de Ferrocarriles</t>
  </si>
  <si>
    <t>Alstom</t>
  </si>
  <si>
    <t>beta</t>
  </si>
  <si>
    <t>WABtec</t>
  </si>
  <si>
    <t>3Y</t>
  </si>
  <si>
    <t>S&amp;P</t>
  </si>
  <si>
    <t>US 10Y</t>
  </si>
  <si>
    <t>return</t>
  </si>
  <si>
    <t>Westinghouse Air Brake Technologies Corp (WAB US) - BBG Adj Highlights</t>
  </si>
  <si>
    <t>In Millions of USD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</si>
  <si>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</si>
  <si>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</si>
  <si>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</si>
  <si>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</si>
  <si>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</si>
  <si>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</si>
  <si>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</si>
  <si>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</si>
  <si>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</si>
  <si>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</si>
  <si>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</si>
  <si>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</si>
  <si>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Current/LTM</t>
  </si>
  <si>
    <t>FY 2023 Est</t>
  </si>
  <si>
    <t>FY 2024 Est</t>
  </si>
  <si>
    <t>12 Months Ending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</si>
  <si>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</si>
  <si>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</si>
  <si>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</si>
  <si>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</si>
  <si>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</si>
  <si>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</si>
  <si>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</si>
  <si>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</si>
  <si>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</si>
  <si>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</si>
  <si>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</si>
  <si>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</si>
  <si>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09/30/2023</t>
  </si>
  <si>
    <t>12/31/2023</t>
  </si>
  <si>
    <t>12/31/2024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</si>
  <si>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</si>
  <si>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</si>
  <si>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</si>
  <si>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</si>
  <si>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</si>
  <si>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</si>
  <si>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</si>
  <si>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SHORT_AND_LONG_TERM_DEBT</t>
  </si>
  <si>
    <t>ENTERPRISE_VALUE</t>
  </si>
  <si>
    <t>Revenue, Adj</t>
  </si>
  <si>
    <t>SALES_REV_TURN</t>
  </si>
  <si>
    <t xml:space="preserve">  Growth %, YoY</t>
  </si>
  <si>
    <t>SALES_GROWTH</t>
  </si>
  <si>
    <t>Gross Profit, Adj</t>
  </si>
  <si>
    <t>GROSS_PROFIT</t>
  </si>
  <si>
    <t xml:space="preserve">  Margin %</t>
  </si>
  <si>
    <t>EBITDA, Adj</t>
  </si>
  <si>
    <t>Net Income, Adj</t>
  </si>
  <si>
    <t>EARN_FOR_COMMON</t>
  </si>
  <si>
    <t>EPS, Adj</t>
  </si>
  <si>
    <t>IS_DIL_EPS_CONT_OPS</t>
  </si>
  <si>
    <t>Cash from Operations</t>
  </si>
  <si>
    <t>CF_CASH_FROM_OPER</t>
  </si>
  <si>
    <t>CAPITAL_EXPEND</t>
  </si>
  <si>
    <t>CF_FREE_CASH_FLOW</t>
  </si>
  <si>
    <t>Source: Bloomberg</t>
  </si>
  <si>
    <t>Right click to show data transparency (not supported for all values)</t>
  </si>
  <si>
    <t>nbr of Shares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</si>
</sst>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409]#,##0.00"/>
    <numFmt numFmtId="165" formatCode="&quot;Y&quot;#"/>
    <numFmt numFmtId="166" formatCode="0%;\(0%\)"/>
    <numFmt numFmtId="167" formatCode="0.0\x"/>
    <numFmt numFmtId="168" formatCode="0.0%"/>
    <numFmt numFmtId="169" formatCode="#,##0.0"/>
  </numFmts>
  <fonts count="3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Helvetica"/>
      <family val="2"/>
    </font>
    <font>
      <b/>
      <sz val="1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u/>
      <sz val="18"/>
      <color theme="2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 (Body)"/>
    </font>
    <font>
      <i/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5923D"/>
      <name val="Calibri"/>
      <family val="2"/>
      <scheme val="minor"/>
    </font>
    <font>
      <b/>
      <sz val="14"/>
      <color rgb="FF33333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EE202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EE2027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b/>
      <sz val="11"/>
      <color rgb="FF00206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theme="6" tint="-0.2499465926084170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theme="6" tint="-0.2499465926084170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 style="medium">
        <color theme="6" tint="-0.24994659260841701"/>
      </right>
      <top style="medium">
        <color theme="6" tint="-0.24994659260841701"/>
      </top>
      <bottom style="thin">
        <color theme="6" tint="0.39997558519241921"/>
      </bottom>
      <diagonal/>
    </border>
    <border>
      <left/>
      <right/>
      <top style="medium">
        <color theme="6" tint="-0.24994659260841701"/>
      </top>
      <bottom style="thin">
        <color theme="6" tint="0.39997558519241921"/>
      </bottom>
      <diagonal/>
    </border>
    <border>
      <left/>
      <right style="medium">
        <color theme="6" tint="-0.24994659260841701"/>
      </right>
      <top style="medium">
        <color theme="6" tint="-0.24994659260841701"/>
      </top>
      <bottom style="thin">
        <color theme="6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 style="medium">
        <color theme="1"/>
      </right>
      <top/>
      <bottom style="thin">
        <color theme="6" tint="0.39997558519241921"/>
      </bottom>
      <diagonal/>
    </border>
    <border>
      <left/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medium">
        <color theme="1"/>
      </bottom>
      <diagonal/>
    </border>
    <border>
      <left/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 style="medium">
        <color theme="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medium">
        <color theme="1"/>
      </left>
      <right/>
      <top/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medium">
        <color theme="1"/>
      </bottom>
      <diagonal/>
    </border>
    <border>
      <left style="thin">
        <color theme="6" tint="0.3999755851924192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medium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/>
      <diagonal/>
    </border>
    <border>
      <left style="dotted">
        <color theme="1"/>
      </left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dotted">
        <color theme="1"/>
      </left>
      <right style="medium">
        <color theme="1"/>
      </right>
      <top/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/>
      <right style="dotted">
        <color theme="6" tint="-0.24994659260841701"/>
      </right>
      <top/>
      <bottom style="dotted">
        <color theme="6" tint="-0.24994659260841701"/>
      </bottom>
      <diagonal/>
    </border>
    <border>
      <left style="dotted">
        <color theme="6" tint="-0.24994659260841701"/>
      </left>
      <right style="dotted">
        <color theme="6" tint="-0.24994659260841701"/>
      </right>
      <top/>
      <bottom style="dotted">
        <color theme="6" tint="-0.24994659260841701"/>
      </bottom>
      <diagonal/>
    </border>
    <border>
      <left style="dotted">
        <color theme="6" tint="-0.24994659260841701"/>
      </left>
      <right/>
      <top/>
      <bottom style="dotted">
        <color theme="6" tint="-0.24994659260841701"/>
      </bottom>
      <diagonal/>
    </border>
    <border>
      <left/>
      <right style="dotted">
        <color theme="6" tint="-0.24994659260841701"/>
      </right>
      <top style="dotted">
        <color theme="6" tint="-0.24994659260841701"/>
      </top>
      <bottom/>
      <diagonal/>
    </border>
    <border>
      <left style="dotted">
        <color theme="6" tint="-0.24994659260841701"/>
      </left>
      <right style="dotted">
        <color theme="6" tint="-0.24994659260841701"/>
      </right>
      <top style="dotted">
        <color theme="6" tint="-0.24994659260841701"/>
      </top>
      <bottom/>
      <diagonal/>
    </border>
    <border>
      <left style="dotted">
        <color theme="6" tint="-0.24994659260841701"/>
      </left>
      <right/>
      <top style="dotted">
        <color theme="6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6" tint="0.39997558519241921"/>
      </top>
      <bottom/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medium">
        <color theme="1"/>
      </right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ck">
        <color rgb="FFEE2027"/>
      </top>
      <bottom style="medium">
        <color rgb="FFEE2027"/>
      </bottom>
      <diagonal/>
    </border>
    <border>
      <left style="thick">
        <color rgb="FFEE2027"/>
      </left>
      <right style="medium">
        <color rgb="FFEE2027"/>
      </right>
      <top/>
      <bottom/>
      <diagonal/>
    </border>
    <border>
      <left style="thick">
        <color rgb="FFEE2027"/>
      </left>
      <right/>
      <top style="thick">
        <color rgb="FFEE2027"/>
      </top>
      <bottom/>
      <diagonal/>
    </border>
    <border>
      <left style="mediumDashed">
        <color theme="1"/>
      </left>
      <right style="mediumDashed">
        <color theme="1"/>
      </right>
      <top style="medium">
        <color rgb="FFEE2027"/>
      </top>
      <bottom style="mediumDashed">
        <color theme="1"/>
      </bottom>
      <diagonal/>
    </border>
    <border>
      <left style="mediumDashed">
        <color theme="1"/>
      </left>
      <right/>
      <top style="medium">
        <color rgb="FFEE2027"/>
      </top>
      <bottom style="mediumDashed">
        <color theme="1"/>
      </bottom>
      <diagonal/>
    </border>
    <border>
      <left style="medium">
        <color rgb="FFEE2027"/>
      </left>
      <right style="mediumDashed">
        <color theme="1"/>
      </right>
      <top style="mediumDashed">
        <color theme="1"/>
      </top>
      <bottom style="mediumDashed">
        <color theme="1"/>
      </bottom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 style="mediumDashed">
        <color theme="1"/>
      </bottom>
      <diagonal/>
    </border>
    <border>
      <left style="mediumDashed">
        <color theme="1"/>
      </left>
      <right/>
      <top style="mediumDashed">
        <color theme="1"/>
      </top>
      <bottom style="mediumDashed">
        <color theme="1"/>
      </bottom>
      <diagonal/>
    </border>
    <border>
      <left style="medium">
        <color rgb="FFEE2027"/>
      </left>
      <right style="mediumDashed">
        <color theme="1"/>
      </right>
      <top style="mediumDashed">
        <color theme="1"/>
      </top>
      <bottom/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/>
      <diagonal/>
    </border>
    <border>
      <left style="mediumDashed">
        <color theme="1"/>
      </left>
      <right/>
      <top style="mediumDashed">
        <color theme="1"/>
      </top>
      <bottom/>
      <diagonal/>
    </border>
    <border>
      <left style="medium">
        <color rgb="FFEE2027"/>
      </left>
      <right style="mediumDashed">
        <color auto="1"/>
      </right>
      <top style="medium">
        <color rgb="FFEE2027"/>
      </top>
      <bottom style="mediumDashed">
        <color theme="1"/>
      </bottom>
      <diagonal/>
    </border>
    <border>
      <left/>
      <right style="mediumDashed">
        <color theme="1"/>
      </right>
      <top style="medium">
        <color rgb="FFEE2027"/>
      </top>
      <bottom style="mediumDashed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 style="thick">
        <color rgb="FF002060"/>
      </left>
      <right style="medium">
        <color rgb="FF002060"/>
      </right>
      <top/>
      <bottom/>
      <diagonal/>
    </border>
    <border>
      <left/>
      <right/>
      <top style="thick">
        <color rgb="FF002060"/>
      </top>
      <bottom style="medium">
        <color rgb="FF002060"/>
      </bottom>
      <diagonal/>
    </border>
    <border>
      <left style="medium">
        <color rgb="FF002060"/>
      </left>
      <right style="dashDotDot">
        <color rgb="FF002060"/>
      </right>
      <top style="medium">
        <color rgb="FF002060"/>
      </top>
      <bottom style="dashDotDot">
        <color rgb="FF002060"/>
      </bottom>
      <diagonal/>
    </border>
    <border>
      <left style="dashDotDot">
        <color rgb="FF002060"/>
      </left>
      <right style="dashDotDot">
        <color rgb="FF002060"/>
      </right>
      <top style="medium">
        <color rgb="FF002060"/>
      </top>
      <bottom style="dashDotDot">
        <color rgb="FF002060"/>
      </bottom>
      <diagonal/>
    </border>
    <border>
      <left style="dashDotDot">
        <color rgb="FF002060"/>
      </left>
      <right/>
      <top style="medium">
        <color rgb="FF002060"/>
      </top>
      <bottom style="dashDotDot">
        <color rgb="FF002060"/>
      </bottom>
      <diagonal/>
    </border>
    <border>
      <left style="medium">
        <color rgb="FF002060"/>
      </left>
      <right style="dashDotDot">
        <color rgb="FF002060"/>
      </right>
      <top style="dashDotDot">
        <color rgb="FF002060"/>
      </top>
      <bottom style="dashDotDot">
        <color rgb="FF002060"/>
      </bottom>
      <diagonal/>
    </border>
    <border>
      <left style="dashDotDot">
        <color rgb="FF002060"/>
      </left>
      <right style="dashDotDot">
        <color rgb="FF002060"/>
      </right>
      <top style="dashDotDot">
        <color rgb="FF002060"/>
      </top>
      <bottom style="dashDotDot">
        <color rgb="FF002060"/>
      </bottom>
      <diagonal/>
    </border>
    <border>
      <left style="dashDotDot">
        <color rgb="FF002060"/>
      </left>
      <right/>
      <top style="dashDotDot">
        <color rgb="FF002060"/>
      </top>
      <bottom style="dashDotDot">
        <color rgb="FF002060"/>
      </bottom>
      <diagonal/>
    </border>
    <border>
      <left style="medium">
        <color rgb="FF002060"/>
      </left>
      <right style="dashDotDot">
        <color rgb="FF002060"/>
      </right>
      <top style="dashDotDot">
        <color rgb="FF002060"/>
      </top>
      <bottom/>
      <diagonal/>
    </border>
    <border>
      <left style="dashDotDot">
        <color rgb="FF002060"/>
      </left>
      <right style="dashDotDot">
        <color rgb="FF002060"/>
      </right>
      <top style="dashDotDot">
        <color rgb="FF002060"/>
      </top>
      <bottom/>
      <diagonal/>
    </border>
    <border>
      <left style="dashDotDot">
        <color rgb="FF002060"/>
      </left>
      <right/>
      <top style="dashDotDot">
        <color rgb="FF002060"/>
      </top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/>
      <diagonal/>
    </border>
  </borders>
  <cellStyleXfs count="23">
    <xf numFmtId="0" fontId="0" fillId="0" borderId="0"/>
    <xf numFmtId="9" fontId="6" fillId="0" borderId="0" applyFont="0" applyFill="0" applyBorder="0" applyAlignment="0" applyProtection="0"/>
    <xf numFmtId="0" fontId="9" fillId="0" borderId="0"/>
    <xf numFmtId="0" fontId="28" fillId="13" borderId="2" applyNumberFormat="0" applyProtection="0">
      <alignment horizontal="left" vertical="center" readingOrder="1"/>
    </xf>
    <xf numFmtId="0" fontId="29" fillId="14" borderId="0" applyNumberFormat="0" applyBorder="0" applyProtection="0">
      <alignment horizontal="center"/>
    </xf>
    <xf numFmtId="0" fontId="30" fillId="13" borderId="97">
      <alignment horizontal="left"/>
    </xf>
    <xf numFmtId="0" fontId="30" fillId="13" borderId="97">
      <alignment horizontal="right"/>
    </xf>
    <xf numFmtId="0" fontId="30" fillId="13" borderId="95">
      <alignment horizontal="left"/>
    </xf>
    <xf numFmtId="0" fontId="30" fillId="13" borderId="95">
      <alignment horizontal="right"/>
    </xf>
    <xf numFmtId="0" fontId="31" fillId="14" borderId="98"/>
    <xf numFmtId="169" fontId="31" fillId="14" borderId="99">
      <alignment horizontal="right"/>
    </xf>
    <xf numFmtId="169" fontId="31" fillId="15" borderId="99">
      <alignment horizontal="right"/>
    </xf>
    <xf numFmtId="0" fontId="32" fillId="14" borderId="98"/>
    <xf numFmtId="169" fontId="33" fillId="14" borderId="99">
      <alignment horizontal="right"/>
    </xf>
    <xf numFmtId="169" fontId="33" fillId="15" borderId="99">
      <alignment horizontal="right"/>
    </xf>
    <xf numFmtId="3" fontId="31" fillId="14" borderId="99">
      <alignment horizontal="right"/>
    </xf>
    <xf numFmtId="3" fontId="31" fillId="15" borderId="99">
      <alignment horizontal="right"/>
    </xf>
    <xf numFmtId="0" fontId="34" fillId="14" borderId="98"/>
    <xf numFmtId="169" fontId="35" fillId="14" borderId="99">
      <alignment horizontal="right"/>
    </xf>
    <xf numFmtId="169" fontId="35" fillId="15" borderId="99">
      <alignment horizontal="right"/>
    </xf>
    <xf numFmtId="4" fontId="31" fillId="14" borderId="99">
      <alignment horizontal="right"/>
    </xf>
    <xf numFmtId="4" fontId="31" fillId="15" borderId="99">
      <alignment horizontal="right"/>
    </xf>
    <xf numFmtId="0" fontId="35" fillId="16" borderId="100" applyNumberFormat="0" applyAlignment="0" applyProtection="0"/>
  </cellStyleXfs>
  <cellXfs count="248">
    <xf numFmtId="0" fontId="0" fillId="0" borderId="0" xfId="0"/>
    <xf numFmtId="10" fontId="0" fillId="4" borderId="5" xfId="0" applyNumberFormat="1" applyFill="1" applyBorder="1"/>
    <xf numFmtId="0" fontId="0" fillId="4" borderId="6" xfId="0" applyFill="1" applyBorder="1"/>
    <xf numFmtId="10" fontId="0" fillId="4" borderId="7" xfId="0" applyNumberFormat="1" applyFill="1" applyBorder="1"/>
    <xf numFmtId="1" fontId="7" fillId="5" borderId="8" xfId="0" applyNumberFormat="1" applyFont="1" applyFill="1" applyBorder="1"/>
    <xf numFmtId="0" fontId="0" fillId="2" borderId="9" xfId="0" applyFill="1" applyBorder="1"/>
    <xf numFmtId="3" fontId="0" fillId="2" borderId="10" xfId="0" applyNumberFormat="1" applyFill="1" applyBorder="1"/>
    <xf numFmtId="3" fontId="0" fillId="2" borderId="11" xfId="0" applyNumberFormat="1" applyFill="1" applyBorder="1"/>
    <xf numFmtId="3" fontId="0" fillId="4" borderId="5" xfId="0" applyNumberFormat="1" applyFill="1" applyBorder="1"/>
    <xf numFmtId="3" fontId="0" fillId="4" borderId="7" xfId="0" applyNumberFormat="1" applyFill="1" applyBorder="1"/>
    <xf numFmtId="0" fontId="0" fillId="0" borderId="15" xfId="0" applyBorder="1"/>
    <xf numFmtId="1" fontId="0" fillId="0" borderId="16" xfId="0" applyNumberFormat="1" applyBorder="1"/>
    <xf numFmtId="0" fontId="0" fillId="0" borderId="17" xfId="0" applyBorder="1"/>
    <xf numFmtId="1" fontId="0" fillId="0" borderId="18" xfId="0" applyNumberFormat="1" applyBorder="1"/>
    <xf numFmtId="0" fontId="0" fillId="3" borderId="19" xfId="0" applyFill="1" applyBorder="1"/>
    <xf numFmtId="0" fontId="10" fillId="0" borderId="0" xfId="0" applyFont="1"/>
    <xf numFmtId="10" fontId="0" fillId="0" borderId="18" xfId="0" applyNumberFormat="1" applyBorder="1"/>
    <xf numFmtId="4" fontId="0" fillId="0" borderId="18" xfId="0" applyNumberFormat="1" applyBorder="1"/>
    <xf numFmtId="3" fontId="0" fillId="0" borderId="18" xfId="0" applyNumberFormat="1" applyBorder="1"/>
    <xf numFmtId="0" fontId="0" fillId="3" borderId="17" xfId="0" applyFill="1" applyBorder="1" applyAlignment="1">
      <alignment wrapText="1"/>
    </xf>
    <xf numFmtId="0" fontId="0" fillId="0" borderId="17" xfId="0" applyBorder="1" applyAlignment="1">
      <alignment wrapText="1"/>
    </xf>
    <xf numFmtId="164" fontId="0" fillId="3" borderId="22" xfId="0" applyNumberFormat="1" applyFill="1" applyBorder="1"/>
    <xf numFmtId="10" fontId="0" fillId="3" borderId="18" xfId="0" applyNumberFormat="1" applyFill="1" applyBorder="1"/>
    <xf numFmtId="10" fontId="12" fillId="4" borderId="5" xfId="0" applyNumberFormat="1" applyFont="1" applyFill="1" applyBorder="1" applyAlignment="1">
      <alignment horizontal="right"/>
    </xf>
    <xf numFmtId="0" fontId="0" fillId="2" borderId="0" xfId="0" applyFill="1"/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165" fontId="8" fillId="2" borderId="0" xfId="0" applyNumberFormat="1" applyFont="1" applyFill="1"/>
    <xf numFmtId="0" fontId="0" fillId="2" borderId="1" xfId="0" applyFill="1" applyBorder="1"/>
    <xf numFmtId="0" fontId="12" fillId="2" borderId="0" xfId="0" applyFont="1" applyFill="1" applyAlignment="1">
      <alignment horizontal="right"/>
    </xf>
    <xf numFmtId="10" fontId="0" fillId="2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/>
    </xf>
    <xf numFmtId="0" fontId="0" fillId="0" borderId="25" xfId="0" quotePrefix="1" applyBorder="1" applyAlignment="1">
      <alignment horizontal="center" vertical="center"/>
    </xf>
    <xf numFmtId="0" fontId="0" fillId="0" borderId="28" xfId="0" quotePrefix="1" applyBorder="1" applyAlignment="1">
      <alignment horizontal="center" vertical="center"/>
    </xf>
    <xf numFmtId="1" fontId="14" fillId="5" borderId="33" xfId="0" applyNumberFormat="1" applyFont="1" applyFill="1" applyBorder="1" applyAlignment="1">
      <alignment horizontal="right" vertical="center"/>
    </xf>
    <xf numFmtId="1" fontId="14" fillId="5" borderId="48" xfId="0" applyNumberFormat="1" applyFont="1" applyFill="1" applyBorder="1" applyAlignment="1">
      <alignment horizontal="left" vertical="center"/>
    </xf>
    <xf numFmtId="1" fontId="14" fillId="5" borderId="34" xfId="0" applyNumberFormat="1" applyFont="1" applyFill="1" applyBorder="1" applyAlignment="1">
      <alignment horizontal="center" vertical="center"/>
    </xf>
    <xf numFmtId="1" fontId="14" fillId="5" borderId="33" xfId="0" applyNumberFormat="1" applyFont="1" applyFill="1" applyBorder="1" applyAlignment="1">
      <alignment horizontal="center" vertical="center"/>
    </xf>
    <xf numFmtId="1" fontId="14" fillId="5" borderId="35" xfId="0" applyNumberFormat="1" applyFont="1" applyFill="1" applyBorder="1" applyAlignment="1">
      <alignment horizontal="center" vertical="center"/>
    </xf>
    <xf numFmtId="3" fontId="0" fillId="2" borderId="49" xfId="0" applyNumberFormat="1" applyFill="1" applyBorder="1" applyAlignment="1">
      <alignment vertical="center"/>
    </xf>
    <xf numFmtId="164" fontId="0" fillId="2" borderId="31" xfId="0" applyNumberFormat="1" applyFill="1" applyBorder="1" applyAlignment="1">
      <alignment horizontal="center" vertical="center"/>
    </xf>
    <xf numFmtId="3" fontId="0" fillId="2" borderId="45" xfId="0" applyNumberFormat="1" applyFill="1" applyBorder="1" applyAlignment="1">
      <alignment horizontal="center" vertical="center"/>
    </xf>
    <xf numFmtId="3" fontId="0" fillId="2" borderId="31" xfId="0" applyNumberFormat="1" applyFill="1" applyBorder="1" applyAlignment="1">
      <alignment horizontal="center" vertical="center"/>
    </xf>
    <xf numFmtId="3" fontId="0" fillId="2" borderId="41" xfId="0" applyNumberFormat="1" applyFill="1" applyBorder="1" applyAlignment="1">
      <alignment horizontal="center" vertical="center"/>
    </xf>
    <xf numFmtId="3" fontId="0" fillId="2" borderId="36" xfId="0" applyNumberFormat="1" applyFill="1" applyBorder="1" applyAlignment="1">
      <alignment horizontal="center" vertical="center"/>
    </xf>
    <xf numFmtId="10" fontId="0" fillId="4" borderId="50" xfId="0" applyNumberFormat="1" applyFill="1" applyBorder="1" applyAlignment="1">
      <alignment vertical="center"/>
    </xf>
    <xf numFmtId="164" fontId="0" fillId="4" borderId="30" xfId="0" applyNumberFormat="1" applyFill="1" applyBorder="1" applyAlignment="1">
      <alignment horizontal="center" vertical="center"/>
    </xf>
    <xf numFmtId="3" fontId="0" fillId="4" borderId="46" xfId="0" applyNumberFormat="1" applyFill="1" applyBorder="1" applyAlignment="1">
      <alignment horizontal="center" vertical="center"/>
    </xf>
    <xf numFmtId="3" fontId="0" fillId="4" borderId="30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7" xfId="0" applyNumberFormat="1" applyFill="1" applyBorder="1" applyAlignment="1">
      <alignment horizontal="center" vertical="center"/>
    </xf>
    <xf numFmtId="10" fontId="0" fillId="4" borderId="51" xfId="0" applyNumberFormat="1" applyFill="1" applyBorder="1" applyAlignment="1">
      <alignment vertical="center"/>
    </xf>
    <xf numFmtId="164" fontId="0" fillId="4" borderId="5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0" fillId="4" borderId="43" xfId="0" applyNumberFormat="1" applyFill="1" applyBorder="1" applyAlignment="1">
      <alignment horizontal="center" vertical="center"/>
    </xf>
    <xf numFmtId="3" fontId="0" fillId="4" borderId="38" xfId="0" applyNumberFormat="1" applyFill="1" applyBorder="1" applyAlignment="1">
      <alignment horizontal="center" vertical="center"/>
    </xf>
    <xf numFmtId="10" fontId="0" fillId="4" borderId="52" xfId="0" applyNumberFormat="1" applyFill="1" applyBorder="1" applyAlignment="1">
      <alignment vertical="center"/>
    </xf>
    <xf numFmtId="164" fontId="0" fillId="4" borderId="39" xfId="0" applyNumberFormat="1" applyFill="1" applyBorder="1" applyAlignment="1">
      <alignment horizontal="center" vertical="center"/>
    </xf>
    <xf numFmtId="3" fontId="0" fillId="4" borderId="47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3" fontId="0" fillId="4" borderId="44" xfId="0" applyNumberFormat="1" applyFill="1" applyBorder="1" applyAlignment="1">
      <alignment horizontal="center" vertical="center"/>
    </xf>
    <xf numFmtId="3" fontId="0" fillId="4" borderId="40" xfId="0" applyNumberFormat="1" applyFill="1" applyBorder="1" applyAlignment="1">
      <alignment horizontal="center" vertical="center"/>
    </xf>
    <xf numFmtId="166" fontId="0" fillId="0" borderId="12" xfId="1" applyNumberFormat="1" applyFont="1" applyFill="1" applyBorder="1" applyAlignment="1">
      <alignment horizontal="center" vertical="center"/>
    </xf>
    <xf numFmtId="166" fontId="0" fillId="0" borderId="29" xfId="1" applyNumberFormat="1" applyFont="1" applyFill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167" fontId="0" fillId="0" borderId="29" xfId="0" applyNumberFormat="1" applyBorder="1" applyAlignment="1">
      <alignment horizontal="center" vertical="center"/>
    </xf>
    <xf numFmtId="166" fontId="0" fillId="0" borderId="25" xfId="1" applyNumberFormat="1" applyFont="1" applyFill="1" applyBorder="1" applyAlignment="1">
      <alignment horizontal="center" vertical="center"/>
    </xf>
    <xf numFmtId="166" fontId="0" fillId="0" borderId="28" xfId="1" applyNumberFormat="1" applyFont="1" applyFill="1" applyBorder="1" applyAlignment="1">
      <alignment horizontal="center" vertical="center"/>
    </xf>
    <xf numFmtId="167" fontId="0" fillId="0" borderId="25" xfId="0" applyNumberFormat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166" fontId="0" fillId="0" borderId="26" xfId="1" applyNumberFormat="1" applyFont="1" applyFill="1" applyBorder="1" applyAlignment="1">
      <alignment horizontal="center" vertical="center"/>
    </xf>
    <xf numFmtId="166" fontId="0" fillId="0" borderId="27" xfId="1" applyNumberFormat="1" applyFont="1" applyFill="1" applyBorder="1" applyAlignment="1">
      <alignment horizontal="center" vertical="center"/>
    </xf>
    <xf numFmtId="167" fontId="0" fillId="0" borderId="26" xfId="0" applyNumberFormat="1" applyBorder="1" applyAlignment="1">
      <alignment horizontal="center" vertical="center"/>
    </xf>
    <xf numFmtId="167" fontId="0" fillId="0" borderId="27" xfId="0" applyNumberFormat="1" applyBorder="1" applyAlignment="1">
      <alignment horizontal="center" vertical="center"/>
    </xf>
    <xf numFmtId="166" fontId="0" fillId="2" borderId="0" xfId="1" applyNumberFormat="1" applyFont="1" applyFill="1" applyBorder="1" applyAlignment="1">
      <alignment horizontal="center" vertical="center"/>
    </xf>
    <xf numFmtId="166" fontId="0" fillId="2" borderId="32" xfId="1" applyNumberFormat="1" applyFont="1" applyFill="1" applyBorder="1" applyAlignment="1">
      <alignment horizontal="center" vertical="center"/>
    </xf>
    <xf numFmtId="167" fontId="0" fillId="2" borderId="32" xfId="0" applyNumberFormat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0" fontId="0" fillId="2" borderId="41" xfId="0" applyFill="1" applyBorder="1" applyAlignment="1">
      <alignment horizontal="right" vertical="center" indent="1"/>
    </xf>
    <xf numFmtId="0" fontId="0" fillId="4" borderId="42" xfId="0" applyFill="1" applyBorder="1" applyAlignment="1">
      <alignment horizontal="right" vertical="center" indent="1"/>
    </xf>
    <xf numFmtId="0" fontId="0" fillId="4" borderId="43" xfId="0" applyFill="1" applyBorder="1" applyAlignment="1">
      <alignment horizontal="right" vertical="center" indent="1"/>
    </xf>
    <xf numFmtId="0" fontId="0" fillId="4" borderId="44" xfId="0" applyFill="1" applyBorder="1" applyAlignment="1">
      <alignment horizontal="right" vertical="center" indent="1"/>
    </xf>
    <xf numFmtId="0" fontId="16" fillId="2" borderId="53" xfId="0" applyFont="1" applyFill="1" applyBorder="1" applyAlignment="1">
      <alignment horizontal="center" vertical="center"/>
    </xf>
    <xf numFmtId="3" fontId="16" fillId="2" borderId="54" xfId="0" applyNumberFormat="1" applyFont="1" applyFill="1" applyBorder="1" applyAlignment="1">
      <alignment horizontal="center" vertical="center"/>
    </xf>
    <xf numFmtId="3" fontId="16" fillId="2" borderId="55" xfId="0" applyNumberFormat="1" applyFont="1" applyFill="1" applyBorder="1" applyAlignment="1">
      <alignment horizontal="center" vertical="center"/>
    </xf>
    <xf numFmtId="4" fontId="16" fillId="6" borderId="56" xfId="0" applyNumberFormat="1" applyFont="1" applyFill="1" applyBorder="1" applyAlignment="1">
      <alignment horizontal="center" vertical="center"/>
    </xf>
    <xf numFmtId="3" fontId="16" fillId="6" borderId="57" xfId="0" applyNumberFormat="1" applyFont="1" applyFill="1" applyBorder="1" applyAlignment="1">
      <alignment horizontal="center" vertical="center"/>
    </xf>
    <xf numFmtId="3" fontId="16" fillId="6" borderId="58" xfId="0" applyNumberFormat="1" applyFont="1" applyFill="1" applyBorder="1" applyAlignment="1">
      <alignment horizontal="center" vertical="center"/>
    </xf>
    <xf numFmtId="14" fontId="0" fillId="2" borderId="21" xfId="0" applyNumberFormat="1" applyFill="1" applyBorder="1" applyAlignment="1">
      <alignment horizontal="right" vertical="center"/>
    </xf>
    <xf numFmtId="14" fontId="0" fillId="2" borderId="3" xfId="0" applyNumberFormat="1" applyFill="1" applyBorder="1" applyAlignment="1">
      <alignment horizontal="center" vertical="center"/>
    </xf>
    <xf numFmtId="1" fontId="7" fillId="7" borderId="0" xfId="0" applyNumberFormat="1" applyFont="1" applyFill="1" applyAlignment="1">
      <alignment vertical="center"/>
    </xf>
    <xf numFmtId="3" fontId="0" fillId="2" borderId="59" xfId="0" applyNumberFormat="1" applyFill="1" applyBorder="1" applyAlignment="1">
      <alignment horizontal="center" vertical="center"/>
    </xf>
    <xf numFmtId="3" fontId="0" fillId="2" borderId="60" xfId="0" applyNumberFormat="1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3" fontId="0" fillId="2" borderId="61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11" fillId="0" borderId="0" xfId="0" applyFont="1"/>
    <xf numFmtId="0" fontId="17" fillId="0" borderId="0" xfId="0" applyFont="1"/>
    <xf numFmtId="0" fontId="19" fillId="0" borderId="0" xfId="0" applyFont="1" applyAlignment="1">
      <alignment horizontal="right" wrapText="1" indent="1"/>
    </xf>
    <xf numFmtId="0" fontId="5" fillId="0" borderId="0" xfId="0" applyFont="1" applyAlignment="1">
      <alignment horizontal="right" vertical="center" wrapText="1" indent="1"/>
    </xf>
    <xf numFmtId="3" fontId="5" fillId="0" borderId="0" xfId="0" applyNumberFormat="1" applyFont="1" applyAlignment="1">
      <alignment horizontal="right" vertical="center" wrapText="1" indent="1"/>
    </xf>
    <xf numFmtId="10" fontId="20" fillId="0" borderId="0" xfId="0" applyNumberFormat="1" applyFont="1" applyAlignment="1">
      <alignment horizontal="right" vertical="center" wrapText="1" indent="1"/>
    </xf>
    <xf numFmtId="0" fontId="4" fillId="0" borderId="0" xfId="0" applyFont="1"/>
    <xf numFmtId="0" fontId="4" fillId="0" borderId="0" xfId="0" applyFont="1" applyAlignment="1">
      <alignment horizontal="right" vertical="center" wrapText="1" indent="1"/>
    </xf>
    <xf numFmtId="3" fontId="4" fillId="0" borderId="0" xfId="0" applyNumberFormat="1" applyFont="1" applyAlignment="1">
      <alignment horizontal="right" vertical="center" wrapText="1" inden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 wrapText="1" indent="1"/>
    </xf>
    <xf numFmtId="0" fontId="0" fillId="4" borderId="62" xfId="0" applyFill="1" applyBorder="1" applyAlignment="1">
      <alignment horizontal="right" vertical="center" indent="1"/>
    </xf>
    <xf numFmtId="10" fontId="0" fillId="4" borderId="63" xfId="0" applyNumberFormat="1" applyFill="1" applyBorder="1" applyAlignment="1">
      <alignment vertical="center"/>
    </xf>
    <xf numFmtId="164" fontId="0" fillId="4" borderId="8" xfId="0" applyNumberFormat="1" applyFill="1" applyBorder="1" applyAlignment="1">
      <alignment horizontal="center" vertical="center"/>
    </xf>
    <xf numFmtId="3" fontId="0" fillId="4" borderId="64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3" fontId="0" fillId="4" borderId="62" xfId="0" applyNumberFormat="1" applyFill="1" applyBorder="1" applyAlignment="1">
      <alignment horizontal="center" vertical="center"/>
    </xf>
    <xf numFmtId="3" fontId="0" fillId="4" borderId="65" xfId="0" applyNumberFormat="1" applyFill="1" applyBorder="1" applyAlignment="1">
      <alignment horizontal="center" vertical="center"/>
    </xf>
    <xf numFmtId="167" fontId="0" fillId="2" borderId="67" xfId="0" applyNumberFormat="1" applyFill="1" applyBorder="1" applyAlignment="1">
      <alignment horizontal="center" vertical="center"/>
    </xf>
    <xf numFmtId="167" fontId="0" fillId="2" borderId="68" xfId="0" applyNumberFormat="1" applyFill="1" applyBorder="1" applyAlignment="1">
      <alignment horizontal="center" vertical="center"/>
    </xf>
    <xf numFmtId="167" fontId="0" fillId="2" borderId="69" xfId="0" applyNumberFormat="1" applyFill="1" applyBorder="1" applyAlignment="1">
      <alignment horizontal="center" vertical="center"/>
    </xf>
    <xf numFmtId="3" fontId="0" fillId="6" borderId="68" xfId="0" applyNumberFormat="1" applyFill="1" applyBorder="1" applyAlignment="1">
      <alignment horizontal="center" vertical="center"/>
    </xf>
    <xf numFmtId="3" fontId="0" fillId="6" borderId="69" xfId="0" applyNumberFormat="1" applyFill="1" applyBorder="1" applyAlignment="1">
      <alignment horizontal="center" vertical="center"/>
    </xf>
    <xf numFmtId="167" fontId="0" fillId="2" borderId="70" xfId="0" applyNumberFormat="1" applyFill="1" applyBorder="1" applyAlignment="1">
      <alignment horizontal="center" vertical="center"/>
    </xf>
    <xf numFmtId="167" fontId="0" fillId="2" borderId="71" xfId="0" applyNumberFormat="1" applyFill="1" applyBorder="1" applyAlignment="1">
      <alignment horizontal="center" vertical="center"/>
    </xf>
    <xf numFmtId="167" fontId="0" fillId="2" borderId="72" xfId="0" applyNumberFormat="1" applyFill="1" applyBorder="1" applyAlignment="1">
      <alignment horizontal="center" vertical="center"/>
    </xf>
    <xf numFmtId="3" fontId="0" fillId="6" borderId="71" xfId="0" applyNumberFormat="1" applyFill="1" applyBorder="1" applyAlignment="1">
      <alignment horizontal="center" vertical="center"/>
    </xf>
    <xf numFmtId="3" fontId="0" fillId="6" borderId="72" xfId="0" applyNumberFormat="1" applyFill="1" applyBorder="1" applyAlignment="1">
      <alignment horizontal="center" vertical="center"/>
    </xf>
    <xf numFmtId="167" fontId="0" fillId="2" borderId="73" xfId="0" applyNumberFormat="1" applyFill="1" applyBorder="1" applyAlignment="1">
      <alignment horizontal="center" vertical="center"/>
    </xf>
    <xf numFmtId="167" fontId="0" fillId="2" borderId="74" xfId="0" applyNumberFormat="1" applyFill="1" applyBorder="1" applyAlignment="1">
      <alignment horizontal="center" vertical="center"/>
    </xf>
    <xf numFmtId="167" fontId="0" fillId="2" borderId="75" xfId="0" applyNumberFormat="1" applyFill="1" applyBorder="1" applyAlignment="1">
      <alignment horizontal="center" vertical="center"/>
    </xf>
    <xf numFmtId="3" fontId="0" fillId="2" borderId="74" xfId="0" applyNumberFormat="1" applyFill="1" applyBorder="1" applyAlignment="1">
      <alignment horizontal="center" vertical="center"/>
    </xf>
    <xf numFmtId="3" fontId="0" fillId="2" borderId="75" xfId="0" applyNumberFormat="1" applyFill="1" applyBorder="1" applyAlignment="1">
      <alignment horizontal="center" vertical="center"/>
    </xf>
    <xf numFmtId="0" fontId="0" fillId="6" borderId="76" xfId="0" applyFill="1" applyBorder="1" applyAlignment="1">
      <alignment vertical="center"/>
    </xf>
    <xf numFmtId="0" fontId="0" fillId="6" borderId="72" xfId="0" applyFill="1" applyBorder="1" applyAlignment="1">
      <alignment vertical="center"/>
    </xf>
    <xf numFmtId="0" fontId="0" fillId="2" borderId="77" xfId="0" applyFill="1" applyBorder="1" applyAlignment="1">
      <alignment vertical="center"/>
    </xf>
    <xf numFmtId="164" fontId="0" fillId="8" borderId="79" xfId="0" applyNumberFormat="1" applyFill="1" applyBorder="1" applyAlignment="1">
      <alignment horizontal="center" vertical="center"/>
    </xf>
    <xf numFmtId="164" fontId="0" fillId="2" borderId="71" xfId="0" applyNumberFormat="1" applyFill="1" applyBorder="1" applyAlignment="1">
      <alignment horizontal="center" vertical="center"/>
    </xf>
    <xf numFmtId="164" fontId="0" fillId="2" borderId="72" xfId="0" applyNumberFormat="1" applyFill="1" applyBorder="1" applyAlignment="1">
      <alignment horizontal="center" vertical="center"/>
    </xf>
    <xf numFmtId="164" fontId="0" fillId="2" borderId="74" xfId="0" applyNumberFormat="1" applyFill="1" applyBorder="1" applyAlignment="1">
      <alignment horizontal="center" vertical="center"/>
    </xf>
    <xf numFmtId="164" fontId="0" fillId="2" borderId="75" xfId="0" applyNumberFormat="1" applyFill="1" applyBorder="1" applyAlignment="1">
      <alignment horizontal="center" vertical="center"/>
    </xf>
    <xf numFmtId="164" fontId="0" fillId="6" borderId="78" xfId="0" applyNumberFormat="1" applyFill="1" applyBorder="1" applyAlignment="1">
      <alignment horizontal="center" vertical="center"/>
    </xf>
    <xf numFmtId="164" fontId="0" fillId="6" borderId="68" xfId="0" applyNumberFormat="1" applyFill="1" applyBorder="1" applyAlignment="1">
      <alignment horizontal="center" vertical="center"/>
    </xf>
    <xf numFmtId="164" fontId="0" fillId="6" borderId="69" xfId="0" applyNumberFormat="1" applyFill="1" applyBorder="1" applyAlignment="1">
      <alignment horizontal="center" vertical="center"/>
    </xf>
    <xf numFmtId="164" fontId="0" fillId="2" borderId="79" xfId="0" applyNumberFormat="1" applyFill="1" applyBorder="1" applyAlignment="1">
      <alignment horizontal="center" vertical="center"/>
    </xf>
    <xf numFmtId="164" fontId="0" fillId="2" borderId="80" xfId="0" applyNumberFormat="1" applyFill="1" applyBorder="1" applyAlignment="1">
      <alignment horizontal="center" vertical="center"/>
    </xf>
    <xf numFmtId="0" fontId="0" fillId="9" borderId="72" xfId="0" applyFill="1" applyBorder="1" applyAlignment="1">
      <alignment vertical="center"/>
    </xf>
    <xf numFmtId="167" fontId="0" fillId="10" borderId="70" xfId="0" applyNumberFormat="1" applyFill="1" applyBorder="1" applyAlignment="1">
      <alignment horizontal="center" vertical="center"/>
    </xf>
    <xf numFmtId="167" fontId="0" fillId="10" borderId="71" xfId="0" applyNumberFormat="1" applyFill="1" applyBorder="1" applyAlignment="1">
      <alignment horizontal="center" vertical="center"/>
    </xf>
    <xf numFmtId="167" fontId="0" fillId="10" borderId="72" xfId="0" applyNumberFormat="1" applyFill="1" applyBorder="1" applyAlignment="1">
      <alignment horizontal="center" vertical="center"/>
    </xf>
    <xf numFmtId="3" fontId="0" fillId="9" borderId="71" xfId="0" applyNumberFormat="1" applyFill="1" applyBorder="1" applyAlignment="1">
      <alignment horizontal="center" vertical="center"/>
    </xf>
    <xf numFmtId="3" fontId="0" fillId="10" borderId="71" xfId="0" applyNumberFormat="1" applyFill="1" applyBorder="1" applyAlignment="1">
      <alignment horizontal="center" vertical="center"/>
    </xf>
    <xf numFmtId="3" fontId="0" fillId="10" borderId="72" xfId="0" applyNumberFormat="1" applyFill="1" applyBorder="1" applyAlignment="1">
      <alignment horizontal="center" vertical="center"/>
    </xf>
    <xf numFmtId="0" fontId="0" fillId="10" borderId="72" xfId="0" applyFill="1" applyBorder="1" applyAlignment="1">
      <alignment vertical="center"/>
    </xf>
    <xf numFmtId="164" fontId="0" fillId="10" borderId="71" xfId="0" applyNumberFormat="1" applyFill="1" applyBorder="1" applyAlignment="1">
      <alignment horizontal="center" vertical="center"/>
    </xf>
    <xf numFmtId="164" fontId="0" fillId="10" borderId="72" xfId="0" applyNumberFormat="1" applyFill="1" applyBorder="1" applyAlignment="1">
      <alignment horizontal="center" vertical="center"/>
    </xf>
    <xf numFmtId="3" fontId="0" fillId="9" borderId="72" xfId="0" applyNumberFormat="1" applyFill="1" applyBorder="1" applyAlignment="1">
      <alignment horizontal="center" vertical="center"/>
    </xf>
    <xf numFmtId="3" fontId="0" fillId="2" borderId="66" xfId="0" applyNumberFormat="1" applyFill="1" applyBorder="1" applyAlignment="1">
      <alignment horizontal="center" vertical="center"/>
    </xf>
    <xf numFmtId="0" fontId="0" fillId="2" borderId="0" xfId="0" quotePrefix="1" applyFill="1"/>
    <xf numFmtId="164" fontId="0" fillId="2" borderId="0" xfId="0" applyNumberFormat="1" applyFill="1"/>
    <xf numFmtId="0" fontId="23" fillId="2" borderId="0" xfId="0" applyFont="1" applyFill="1"/>
    <xf numFmtId="0" fontId="0" fillId="2" borderId="83" xfId="0" applyFill="1" applyBorder="1"/>
    <xf numFmtId="10" fontId="0" fillId="2" borderId="81" xfId="0" applyNumberFormat="1" applyFill="1" applyBorder="1" applyAlignment="1">
      <alignment horizontal="center" vertical="center"/>
    </xf>
    <xf numFmtId="10" fontId="24" fillId="2" borderId="81" xfId="0" applyNumberFormat="1" applyFont="1" applyFill="1" applyBorder="1" applyAlignment="1">
      <alignment horizontal="center" vertical="center"/>
    </xf>
    <xf numFmtId="168" fontId="0" fillId="2" borderId="82" xfId="0" applyNumberFormat="1" applyFill="1" applyBorder="1" applyAlignment="1">
      <alignment horizontal="right" vertical="center"/>
    </xf>
    <xf numFmtId="168" fontId="24" fillId="2" borderId="82" xfId="0" applyNumberFormat="1" applyFont="1" applyFill="1" applyBorder="1" applyAlignment="1">
      <alignment horizontal="right" vertical="center"/>
    </xf>
    <xf numFmtId="9" fontId="26" fillId="2" borderId="92" xfId="0" applyNumberFormat="1" applyFont="1" applyFill="1" applyBorder="1" applyAlignment="1">
      <alignment horizontal="center" vertical="center"/>
    </xf>
    <xf numFmtId="9" fontId="26" fillId="2" borderId="93" xfId="0" applyNumberFormat="1" applyFont="1" applyFill="1" applyBorder="1" applyAlignment="1">
      <alignment horizontal="center" vertical="center"/>
    </xf>
    <xf numFmtId="9" fontId="26" fillId="2" borderId="84" xfId="0" applyNumberFormat="1" applyFont="1" applyFill="1" applyBorder="1" applyAlignment="1">
      <alignment horizontal="center" vertical="center"/>
    </xf>
    <xf numFmtId="9" fontId="26" fillId="2" borderId="85" xfId="0" applyNumberFormat="1" applyFont="1" applyFill="1" applyBorder="1" applyAlignment="1">
      <alignment horizontal="center" vertical="center"/>
    </xf>
    <xf numFmtId="9" fontId="26" fillId="2" borderId="86" xfId="0" applyNumberFormat="1" applyFont="1" applyFill="1" applyBorder="1" applyAlignment="1">
      <alignment horizontal="center" vertical="center"/>
    </xf>
    <xf numFmtId="9" fontId="26" fillId="12" borderId="87" xfId="0" applyNumberFormat="1" applyFont="1" applyFill="1" applyBorder="1" applyAlignment="1">
      <alignment horizontal="center" vertical="center"/>
    </xf>
    <xf numFmtId="9" fontId="26" fillId="2" borderId="88" xfId="0" applyNumberFormat="1" applyFont="1" applyFill="1" applyBorder="1" applyAlignment="1">
      <alignment horizontal="center" vertical="center"/>
    </xf>
    <xf numFmtId="9" fontId="27" fillId="11" borderId="87" xfId="0" applyNumberFormat="1" applyFont="1" applyFill="1" applyBorder="1" applyAlignment="1">
      <alignment horizontal="center" vertical="center"/>
    </xf>
    <xf numFmtId="9" fontId="26" fillId="2" borderId="89" xfId="0" applyNumberFormat="1" applyFont="1" applyFill="1" applyBorder="1" applyAlignment="1">
      <alignment horizontal="center" vertical="center"/>
    </xf>
    <xf numFmtId="9" fontId="26" fillId="2" borderId="90" xfId="0" applyNumberFormat="1" applyFont="1" applyFill="1" applyBorder="1" applyAlignment="1">
      <alignment horizontal="center" vertical="center"/>
    </xf>
    <xf numFmtId="9" fontId="26" fillId="2" borderId="91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 applyAlignment="1">
      <alignment horizontal="left"/>
    </xf>
    <xf numFmtId="14" fontId="0" fillId="2" borderId="21" xfId="0" applyNumberFormat="1" applyFill="1" applyBorder="1"/>
    <xf numFmtId="0" fontId="0" fillId="2" borderId="19" xfId="0" applyFill="1" applyBorder="1"/>
    <xf numFmtId="164" fontId="0" fillId="3" borderId="20" xfId="0" applyNumberFormat="1" applyFill="1" applyBorder="1"/>
    <xf numFmtId="0" fontId="0" fillId="2" borderId="0" xfId="0" applyFill="1" applyAlignment="1">
      <alignment horizontal="right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94" xfId="0" applyBorder="1"/>
    <xf numFmtId="0" fontId="0" fillId="0" borderId="95" xfId="0" applyBorder="1" applyAlignment="1">
      <alignment vertical="center"/>
    </xf>
    <xf numFmtId="0" fontId="0" fillId="0" borderId="96" xfId="0" applyBorder="1"/>
    <xf numFmtId="0" fontId="28" fillId="13" borderId="2" xfId="3">
      <alignment horizontal="left" vertical="center" readingOrder="1"/>
    </xf>
    <xf numFmtId="0" fontId="29" fillId="14" borderId="0" xfId="4">
      <alignment horizontal="center"/>
    </xf>
    <xf numFmtId="0" fontId="30" fillId="13" borderId="97" xfId="5">
      <alignment horizontal="left"/>
    </xf>
    <xf numFmtId="0" fontId="30" fillId="13" borderId="97" xfId="6">
      <alignment horizontal="right"/>
    </xf>
    <xf numFmtId="0" fontId="30" fillId="13" borderId="95" xfId="7">
      <alignment horizontal="left"/>
    </xf>
    <xf numFmtId="0" fontId="30" fillId="13" borderId="95" xfId="8">
      <alignment horizontal="right"/>
    </xf>
    <xf numFmtId="0" fontId="31" fillId="14" borderId="98" xfId="9"/>
    <xf numFmtId="169" fontId="31" fillId="14" borderId="99" xfId="10">
      <alignment horizontal="right"/>
    </xf>
    <xf numFmtId="169" fontId="31" fillId="15" borderId="99" xfId="11">
      <alignment horizontal="right"/>
    </xf>
    <xf numFmtId="0" fontId="32" fillId="14" borderId="98" xfId="12"/>
    <xf numFmtId="169" fontId="33" fillId="14" borderId="99" xfId="13">
      <alignment horizontal="right"/>
    </xf>
    <xf numFmtId="169" fontId="33" fillId="15" borderId="99" xfId="14">
      <alignment horizontal="right"/>
    </xf>
    <xf numFmtId="3" fontId="31" fillId="14" borderId="99" xfId="15">
      <alignment horizontal="right"/>
    </xf>
    <xf numFmtId="3" fontId="31" fillId="15" borderId="99" xfId="16">
      <alignment horizontal="right"/>
    </xf>
    <xf numFmtId="0" fontId="34" fillId="14" borderId="98" xfId="17"/>
    <xf numFmtId="169" fontId="35" fillId="14" borderId="99" xfId="18">
      <alignment horizontal="right"/>
    </xf>
    <xf numFmtId="169" fontId="35" fillId="15" borderId="99" xfId="19">
      <alignment horizontal="right"/>
    </xf>
    <xf numFmtId="4" fontId="31" fillId="14" borderId="99" xfId="20">
      <alignment horizontal="right"/>
    </xf>
    <xf numFmtId="4" fontId="31" fillId="15" borderId="99" xfId="21">
      <alignment horizontal="right"/>
    </xf>
    <xf numFmtId="0" fontId="35" fillId="16" borderId="100" xfId="22"/>
    <xf numFmtId="10" fontId="0" fillId="0" borderId="0" xfId="0" applyNumberFormat="1"/>
    <xf numFmtId="0" fontId="3" fillId="0" borderId="0" xfId="0" applyFont="1" applyAlignment="1">
      <alignment horizontal="right" vertical="center" wrapText="1" indent="1"/>
    </xf>
    <xf numFmtId="0" fontId="0" fillId="2" borderId="101" xfId="0" applyFill="1" applyBorder="1"/>
    <xf numFmtId="168" fontId="0" fillId="2" borderId="102" xfId="0" applyNumberFormat="1" applyFill="1" applyBorder="1" applyAlignment="1">
      <alignment horizontal="right" vertical="center"/>
    </xf>
    <xf numFmtId="168" fontId="24" fillId="2" borderId="102" xfId="0" applyNumberFormat="1" applyFont="1" applyFill="1" applyBorder="1" applyAlignment="1">
      <alignment horizontal="right" vertical="center"/>
    </xf>
    <xf numFmtId="10" fontId="0" fillId="2" borderId="103" xfId="0" applyNumberFormat="1" applyFill="1" applyBorder="1" applyAlignment="1">
      <alignment horizontal="center" vertical="center"/>
    </xf>
    <xf numFmtId="10" fontId="24" fillId="2" borderId="103" xfId="0" applyNumberFormat="1" applyFont="1" applyFill="1" applyBorder="1" applyAlignment="1">
      <alignment horizontal="center" vertical="center"/>
    </xf>
    <xf numFmtId="9" fontId="26" fillId="2" borderId="104" xfId="0" applyNumberFormat="1" applyFont="1" applyFill="1" applyBorder="1" applyAlignment="1">
      <alignment horizontal="center" vertical="center"/>
    </xf>
    <xf numFmtId="9" fontId="26" fillId="2" borderId="105" xfId="0" applyNumberFormat="1" applyFont="1" applyFill="1" applyBorder="1" applyAlignment="1">
      <alignment horizontal="center" vertical="center"/>
    </xf>
    <xf numFmtId="9" fontId="26" fillId="2" borderId="106" xfId="0" applyNumberFormat="1" applyFont="1" applyFill="1" applyBorder="1" applyAlignment="1">
      <alignment horizontal="center" vertical="center"/>
    </xf>
    <xf numFmtId="9" fontId="26" fillId="2" borderId="107" xfId="0" applyNumberFormat="1" applyFont="1" applyFill="1" applyBorder="1" applyAlignment="1">
      <alignment horizontal="center" vertical="center"/>
    </xf>
    <xf numFmtId="9" fontId="26" fillId="17" borderId="108" xfId="0" applyNumberFormat="1" applyFont="1" applyFill="1" applyBorder="1" applyAlignment="1">
      <alignment horizontal="center" vertical="center"/>
    </xf>
    <xf numFmtId="9" fontId="26" fillId="2" borderId="109" xfId="0" applyNumberFormat="1" applyFont="1" applyFill="1" applyBorder="1" applyAlignment="1">
      <alignment horizontal="center" vertical="center"/>
    </xf>
    <xf numFmtId="9" fontId="27" fillId="18" borderId="108" xfId="0" applyNumberFormat="1" applyFont="1" applyFill="1" applyBorder="1" applyAlignment="1">
      <alignment horizontal="center" vertical="center"/>
    </xf>
    <xf numFmtId="9" fontId="26" fillId="2" borderId="110" xfId="0" applyNumberFormat="1" applyFont="1" applyFill="1" applyBorder="1" applyAlignment="1">
      <alignment horizontal="center" vertical="center"/>
    </xf>
    <xf numFmtId="9" fontId="26" fillId="2" borderId="111" xfId="0" applyNumberFormat="1" applyFont="1" applyFill="1" applyBorder="1" applyAlignment="1">
      <alignment horizontal="center" vertical="center"/>
    </xf>
    <xf numFmtId="9" fontId="26" fillId="2" borderId="11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 indent="1"/>
    </xf>
    <xf numFmtId="0" fontId="1" fillId="0" borderId="0" xfId="0" applyFont="1" applyAlignment="1">
      <alignment horizontal="right" vertical="center" wrapText="1" indent="1"/>
    </xf>
    <xf numFmtId="0" fontId="36" fillId="2" borderId="114" xfId="0" applyFont="1" applyFill="1" applyBorder="1" applyAlignment="1">
      <alignment horizontal="right" vertical="center" textRotation="90"/>
    </xf>
    <xf numFmtId="0" fontId="36" fillId="2" borderId="113" xfId="0" applyFont="1" applyFill="1" applyBorder="1" applyAlignment="1">
      <alignment horizontal="center"/>
    </xf>
    <xf numFmtId="10" fontId="20" fillId="0" borderId="0" xfId="0" applyNumberFormat="1" applyFont="1" applyAlignment="1">
      <alignment horizontal="right" vertical="center" wrapText="1" indent="1"/>
    </xf>
    <xf numFmtId="10" fontId="18" fillId="0" borderId="0" xfId="0" applyNumberFormat="1" applyFont="1" applyAlignment="1">
      <alignment horizontal="right" vertical="center" wrapText="1" indent="1"/>
    </xf>
    <xf numFmtId="0" fontId="5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 indent="1"/>
    </xf>
    <xf numFmtId="3" fontId="4" fillId="0" borderId="0" xfId="0" applyNumberFormat="1" applyFont="1" applyAlignment="1">
      <alignment horizontal="right" vertical="center" wrapText="1" indent="1"/>
    </xf>
    <xf numFmtId="1" fontId="7" fillId="5" borderId="12" xfId="0" applyNumberFormat="1" applyFont="1" applyFill="1" applyBorder="1" applyAlignment="1">
      <alignment horizontal="center" vertical="center"/>
    </xf>
    <xf numFmtId="1" fontId="7" fillId="5" borderId="13" xfId="0" applyNumberFormat="1" applyFont="1" applyFill="1" applyBorder="1" applyAlignment="1">
      <alignment horizontal="center" vertical="center"/>
    </xf>
    <xf numFmtId="1" fontId="7" fillId="5" borderId="14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5" fillId="2" borderId="0" xfId="0" applyFont="1" applyFill="1" applyAlignment="1">
      <alignment horizontal="right" vertical="center" textRotation="90"/>
    </xf>
    <xf numFmtId="0" fontId="25" fillId="2" borderId="0" xfId="0" applyFont="1" applyFill="1" applyAlignment="1">
      <alignment horizontal="center"/>
    </xf>
    <xf numFmtId="164" fontId="0" fillId="10" borderId="79" xfId="0" applyNumberFormat="1" applyFill="1" applyBorder="1" applyAlignment="1">
      <alignment horizontal="center" vertical="center"/>
    </xf>
  </cellXfs>
  <cellStyles count="23">
    <cellStyle name="blp_title_header_row_left" xfId="3" xr:uid="{97DB8782-AD68-4E52-916F-1E7A42A8AB93}"/>
    <cellStyle name="fa_column_header_bottom" xfId="8" xr:uid="{D9CAD33D-F096-48FC-9389-58467A2B1222}"/>
    <cellStyle name="fa_column_header_bottom_left" xfId="7" xr:uid="{4AF5355C-08F2-4826-B422-CF8C8D516B36}"/>
    <cellStyle name="fa_column_header_empty" xfId="4" xr:uid="{7C8BF496-00B6-46D9-A6FA-4FD5E47F6ED3}"/>
    <cellStyle name="fa_column_header_top" xfId="6" xr:uid="{14A5C973-5DBE-49BA-A005-4E4EF821EA74}"/>
    <cellStyle name="fa_column_header_top_left" xfId="5" xr:uid="{13F7DE42-5681-407D-AC86-FBBD3618DD1B}"/>
    <cellStyle name="fa_data_bold_0_grouped" xfId="15" xr:uid="{C59DA2D5-1F5E-472D-88FB-8C39C867CBD9}"/>
    <cellStyle name="fa_data_bold_1_grouped" xfId="10" xr:uid="{A424669E-3506-43BD-9127-3A83AE1E5059}"/>
    <cellStyle name="fa_data_bold_2_grouped" xfId="20" xr:uid="{413D6153-D8BD-4E64-AA8D-5BB2BCFE0FEF}"/>
    <cellStyle name="fa_data_current_bold_0_grouped" xfId="16" xr:uid="{197E753E-EC63-491B-B8DC-6494C04AF947}"/>
    <cellStyle name="fa_data_current_bold_1_grouped" xfId="11" xr:uid="{C1C0A59C-FEBD-4D54-B7ED-52950706ECBA}"/>
    <cellStyle name="fa_data_current_bold_2_grouped" xfId="21" xr:uid="{27456C9B-E4D0-4EBC-9FC2-55FC45466C51}"/>
    <cellStyle name="fa_data_current_italic_1_grouped" xfId="19" xr:uid="{25504E49-B688-45D7-A233-622141FB6427}"/>
    <cellStyle name="fa_data_current_standard_1_grouped" xfId="14" xr:uid="{228BCB2C-4982-4653-A15B-64FA4D1A5901}"/>
    <cellStyle name="fa_data_italic_1_grouped" xfId="18" xr:uid="{C07B4CBB-D64D-4D69-A6F5-4DB9F989357A}"/>
    <cellStyle name="fa_data_standard_1_grouped" xfId="13" xr:uid="{FE07303A-1DAB-4F1F-B061-1F0A044CF540}"/>
    <cellStyle name="fa_footer_italic" xfId="22" xr:uid="{1996DA60-9F8D-4E9B-B109-61D3E7485280}"/>
    <cellStyle name="fa_row_header_bold" xfId="9" xr:uid="{2A35E1F3-D83D-44C6-BECA-ED267F5FDF94}"/>
    <cellStyle name="fa_row_header_italic" xfId="17" xr:uid="{4BF337D1-DF06-471F-BB06-E7C5709D3E25}"/>
    <cellStyle name="fa_row_header_standard" xfId="12" xr:uid="{CB4D9939-D6D0-43D0-814F-E94AB186AEEC}"/>
    <cellStyle name="Normal" xfId="0" builtinId="0"/>
    <cellStyle name="Normal 2" xfId="2" xr:uid="{35EF5890-8843-2249-B2E9-07876A0801C3}"/>
    <cellStyle name="Per cent" xfId="1" builtinId="5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Medium9"/>
  <colors>
    <mruColors>
      <color rgb="FFEE202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4E-6E4B-BAC4-454DB8D32ADD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4E-6E4B-BAC4-454DB8D32ADD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4E-6E4B-BAC4-454DB8D32ADD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4E-6E4B-BAC4-454DB8D32ADD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4E-6E4B-BAC4-454DB8D32ADD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4E-6E4B-BAC4-454DB8D32ADD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E-6E4B-BAC4-454DB8D32ADD}"/>
              </c:ext>
            </c:extLst>
          </c:dPt>
          <c:xVal>
            <c:numRef>
              <c:f>Sheet1!$H$14:$H$20</c:f>
              <c:numCache>
                <c:formatCode>General</c:formatCode>
                <c:ptCount val="7"/>
                <c:pt idx="0">
                  <c:v>1.0269999999999999</c:v>
                </c:pt>
                <c:pt idx="1">
                  <c:v>0.89100000000000001</c:v>
                </c:pt>
                <c:pt idx="2">
                  <c:v>1.1950000000000001</c:v>
                </c:pt>
                <c:pt idx="3">
                  <c:v>1.1419999999999999</c:v>
                </c:pt>
                <c:pt idx="4">
                  <c:v>1.0189999999999999</c:v>
                </c:pt>
                <c:pt idx="5">
                  <c:v>1.3080000000000001</c:v>
                </c:pt>
                <c:pt idx="6">
                  <c:v>0.97199999999999998</c:v>
                </c:pt>
              </c:numCache>
            </c:numRef>
          </c:xVal>
          <c:yVal>
            <c:numRef>
              <c:f>Sheet1!$I$14:$I$20</c:f>
              <c:numCache>
                <c:formatCode>General</c:formatCode>
                <c:ptCount val="7"/>
                <c:pt idx="0">
                  <c:v>-7.8100000000000003E-2</c:v>
                </c:pt>
                <c:pt idx="1">
                  <c:v>-7.1099999999999997E-2</c:v>
                </c:pt>
                <c:pt idx="2">
                  <c:v>4.6100000000000002E-2</c:v>
                </c:pt>
                <c:pt idx="3">
                  <c:v>-9.9399999999999988E-2</c:v>
                </c:pt>
                <c:pt idx="4">
                  <c:v>-0.12</c:v>
                </c:pt>
                <c:pt idx="5">
                  <c:v>-0.1598</c:v>
                </c:pt>
                <c:pt idx="6">
                  <c:v>9.35E-2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E-6E4B-BAC4-454DB8D32ADD}"/>
            </c:ext>
          </c:extLst>
        </c:ser>
        <c:ser>
          <c:idx val="1"/>
          <c:order val="1"/>
          <c:tx>
            <c:v>SML</c:v>
          </c:tx>
          <c:spPr>
            <a:ln w="12700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Sheet1!$H$21:$H$22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xVal>
          <c:yVal>
            <c:numRef>
              <c:f>Sheet1!$I$21:$I$22</c:f>
              <c:numCache>
                <c:formatCode>General</c:formatCode>
                <c:ptCount val="2"/>
                <c:pt idx="0">
                  <c:v>7.6399999999999996E-2</c:v>
                </c:pt>
                <c:pt idx="1">
                  <c:v>1.932E-2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54E-6E4B-BAC4-454DB8D3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304624"/>
        <c:axId val="1124306896"/>
      </c:scatterChart>
      <c:valAx>
        <c:axId val="1124304624"/>
        <c:scaling>
          <c:orientation val="minMax"/>
          <c:max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124306896"/>
        <c:crosses val="autoZero"/>
        <c:crossBetween val="midCat"/>
        <c:majorUnit val="0.5"/>
        <c:minorUnit val="0.25"/>
      </c:valAx>
      <c:valAx>
        <c:axId val="1124306896"/>
        <c:scaling>
          <c:orientation val="minMax"/>
          <c:max val="0.12"/>
          <c:min val="-0.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124304624"/>
        <c:crosses val="autoZero"/>
        <c:crossBetween val="midCat"/>
        <c:majorUnit val="0.0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chart" Target="../charts/chart1.xml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215900</xdr:colOff>
      <xdr:row>0</xdr:row>
      <xdr:rowOff>63500</xdr:rowOff>
    </xdr:from>
    <xdr:to>
      <xdr:col>10</xdr:col>
      <xdr:colOff>936169</xdr:colOff>
      <xdr:row>2</xdr:row>
      <xdr:rowOff>225072</xdr:rowOff>
    </xdr:to>
    <xdr:pic>
      <xdr:nvPicPr>
        <xdr:cNvPr id="3" name="Picture 2" descr="Wabtec - Wikipedia">
          <a:extLst>
            <a:ext uri="{FF2B5EF4-FFF2-40B4-BE49-F238E27FC236}">
              <a16:creationId xmlns:a16="http://schemas.microsoft.com/office/drawing/2014/main" id="{ECD19FA3-6CBB-BEF4-F353-204169989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63500"/>
          <a:ext cx="1778000" cy="656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190499</xdr:colOff>
      <xdr:row>46</xdr:row>
      <xdr:rowOff>34635</xdr:rowOff>
    </xdr:from>
    <xdr:to>
      <xdr:col>10</xdr:col>
      <xdr:colOff>648230</xdr:colOff>
      <xdr:row>76</xdr:row>
      <xdr:rowOff>153980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BA97D8-4F16-BDEE-6648-3A9A9A672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817" y="9057408"/>
          <a:ext cx="8174181" cy="58862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327141</xdr:colOff>
      <xdr:row>0</xdr:row>
      <xdr:rowOff>137660</xdr:rowOff>
    </xdr:from>
    <xdr:to>
      <xdr:col>12</xdr:col>
      <xdr:colOff>447567</xdr:colOff>
      <xdr:row>3</xdr:row>
      <xdr:rowOff>5501</xdr:rowOff>
    </xdr:to>
    <xdr:pic>
      <xdr:nvPicPr>
        <xdr:cNvPr id="3" name="Picture 2" descr="Wabtec - Wikipedia">
          <a:extLst>
            <a:ext uri="{FF2B5EF4-FFF2-40B4-BE49-F238E27FC236}">
              <a16:creationId xmlns:a16="http://schemas.microsoft.com/office/drawing/2014/main" id="{B59DE0DF-9C0E-D840-B429-894B5CD4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7433" y="137660"/>
          <a:ext cx="1770498" cy="666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88335</xdr:colOff>
      <xdr:row>9</xdr:row>
      <xdr:rowOff>45509</xdr:rowOff>
    </xdr:from>
    <xdr:to>
      <xdr:col>15</xdr:col>
      <xdr:colOff>545535</xdr:colOff>
      <xdr:row>23</xdr:row>
      <xdr:rowOff>87137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CED9E7-4F64-D0CE-802D-75A9C372C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781525</xdr:colOff>
      <xdr:row>16</xdr:row>
      <xdr:rowOff>151642</xdr:rowOff>
    </xdr:from>
    <xdr:to>
      <xdr:col>14</xdr:col>
      <xdr:colOff>648623</xdr:colOff>
      <xdr:row>18</xdr:row>
      <xdr:rowOff>1138</xdr:rowOff>
    </xdr:to>
    <xdr:pic>
      <xdr:nvPicPr>
        <xdr:cNvPr id="6" name="Picture 5" descr="CRRC Corporation Limited – Nigeria Backbone Infrastructure Limited">
          <a:extLst>
            <a:ext uri="{FF2B5EF4-FFF2-40B4-BE49-F238E27FC236}">
              <a16:creationId xmlns:a16="http://schemas.microsoft.com/office/drawing/2014/main" id="{06B66D02-B2C3-0F42-3218-84AE0DFF5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898" y="3260299"/>
          <a:ext cx="6916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502312</xdr:colOff>
      <xdr:row>21</xdr:row>
      <xdr:rowOff>113729</xdr:rowOff>
    </xdr:from>
    <xdr:to>
      <xdr:col>14</xdr:col>
      <xdr:colOff>609556</xdr:colOff>
      <xdr:row>22</xdr:row>
      <xdr:rowOff>180209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61FFF6-AB6A-DF3A-9257-362AF24E8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7685" y="4170147"/>
          <a:ext cx="931796" cy="256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47389</xdr:colOff>
      <xdr:row>19</xdr:row>
      <xdr:rowOff>161118</xdr:rowOff>
    </xdr:from>
    <xdr:to>
      <xdr:col>13</xdr:col>
      <xdr:colOff>612817</xdr:colOff>
      <xdr:row>21</xdr:row>
      <xdr:rowOff>10613</xdr:rowOff>
    </xdr:to>
    <xdr:pic>
      <xdr:nvPicPr>
        <xdr:cNvPr id="8" name="Picture 7" descr="Construcciones y Auxiliar de Ferrocarriles - Wikipedia">
          <a:extLst>
            <a:ext uri="{FF2B5EF4-FFF2-40B4-BE49-F238E27FC236}">
              <a16:creationId xmlns:a16="http://schemas.microsoft.com/office/drawing/2014/main" id="{9DEBECD6-A950-18ED-17ED-4CB8B8C39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2762" y="3838431"/>
          <a:ext cx="565428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164058</xdr:colOff>
      <xdr:row>19</xdr:row>
      <xdr:rowOff>129748</xdr:rowOff>
    </xdr:from>
    <xdr:to>
      <xdr:col>15</xdr:col>
      <xdr:colOff>554447</xdr:colOff>
      <xdr:row>20</xdr:row>
      <xdr:rowOff>168795</xdr:rowOff>
    </xdr:to>
    <xdr:pic>
      <xdr:nvPicPr>
        <xdr:cNvPr id="9" name="Picture 8" descr="Stadler marks official opening of newly transformed Leeuwarden depot - Rail  Forum">
          <a:extLst>
            <a:ext uri="{FF2B5EF4-FFF2-40B4-BE49-F238E27FC236}">
              <a16:creationId xmlns:a16="http://schemas.microsoft.com/office/drawing/2014/main" id="{C81C929D-D36D-5B3C-F7CF-FBBDE6EC51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66" b="37500"/>
        <a:stretch/>
      </xdr:blipFill>
      <xdr:spPr bwMode="auto">
        <a:xfrm>
          <a:off x="11428958" y="3838148"/>
          <a:ext cx="1215889" cy="229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417017</xdr:colOff>
      <xdr:row>11</xdr:row>
      <xdr:rowOff>132688</xdr:rowOff>
    </xdr:from>
    <xdr:to>
      <xdr:col>15</xdr:col>
      <xdr:colOff>316863</xdr:colOff>
      <xdr:row>12</xdr:row>
      <xdr:rowOff>171736</xdr:rowOff>
    </xdr:to>
    <xdr:pic>
      <xdr:nvPicPr>
        <xdr:cNvPr id="10" name="Picture 9" descr="Home - The Greenbrier Companies">
          <a:extLst>
            <a:ext uri="{FF2B5EF4-FFF2-40B4-BE49-F238E27FC236}">
              <a16:creationId xmlns:a16="http://schemas.microsoft.com/office/drawing/2014/main" id="{C02C9862-1C04-923A-5513-C2D82D845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942" y="2293584"/>
          <a:ext cx="724399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22178</xdr:colOff>
      <xdr:row>16</xdr:row>
      <xdr:rowOff>79044</xdr:rowOff>
    </xdr:from>
    <xdr:to>
      <xdr:col>13</xdr:col>
      <xdr:colOff>298230</xdr:colOff>
      <xdr:row>17</xdr:row>
      <xdr:rowOff>163812</xdr:rowOff>
    </xdr:to>
    <xdr:pic>
      <xdr:nvPicPr>
        <xdr:cNvPr id="11" name="Picture 10" descr="KTK Australia - Transportation/trucking/railroad - Overview, Competitors,  and Employees | Apollo.io">
          <a:extLst>
            <a:ext uri="{FF2B5EF4-FFF2-40B4-BE49-F238E27FC236}">
              <a16:creationId xmlns:a16="http://schemas.microsoft.com/office/drawing/2014/main" id="{88DC21B6-5B81-6CF0-3070-91F9D8056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1578" y="3215944"/>
          <a:ext cx="276052" cy="275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237414</xdr:colOff>
      <xdr:row>9</xdr:row>
      <xdr:rowOff>79137</xdr:rowOff>
    </xdr:from>
    <xdr:to>
      <xdr:col>13</xdr:col>
      <xdr:colOff>509194</xdr:colOff>
      <xdr:row>11</xdr:row>
      <xdr:rowOff>105117</xdr:rowOff>
    </xdr:to>
    <xdr:pic>
      <xdr:nvPicPr>
        <xdr:cNvPr id="12" name="Picture 11" descr="Wabtec - Wikipedia">
          <a:extLst>
            <a:ext uri="{FF2B5EF4-FFF2-40B4-BE49-F238E27FC236}">
              <a16:creationId xmlns:a16="http://schemas.microsoft.com/office/drawing/2014/main" id="{2640497F-48E7-BC45-BCC8-F7D736D5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1314" y="1882537"/>
          <a:ext cx="1097280" cy="406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S_2" preserveFormatting="0" connectionId="3" xr16:uid="{08A99BEB-76C2-0742-A338-75533535743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S" preserveFormatting="0" connectionId="2" xr16:uid="{58DEE973-B439-F64F-9CBF-96A335DA8C2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F" preserveFormatting="0" connectionId="1" xr16:uid="{7E403B88-30F9-CC4D-BD22-9D75FFA27D7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4"/>
  <sheetViews>
    <sheetView view="pageBreakPreview" topLeftCell="A26" zoomScale="163" zoomScaleNormal="69" zoomScaleSheetLayoutView="224" workbookViewId="0">
      <selection activeCell="C26" sqref="C26"/>
    </sheetView>
  </sheetViews>
  <sheetFormatPr baseColWidth="10" defaultColWidth="10.83203125" defaultRowHeight="15" customHeight="1" x14ac:dyDescent="0.2"/>
  <cols>
    <col min="1" max="1" width="5.83203125" customWidth="1"/>
    <col min="2" max="2" width="20.83203125" customWidth="1"/>
    <col min="3" max="5" width="10.83203125" customWidth="1"/>
    <col min="6" max="6" width="8.1640625" customWidth="1"/>
    <col min="7" max="11" width="13.6640625" customWidth="1"/>
    <col min="12" max="12" width="5.83203125" customWidth="1"/>
    <col min="13" max="13" width="2.83203125" customWidth="1"/>
    <col min="14" max="14" width="50.83203125" customWidth="1"/>
    <col min="15" max="18" width="10.83203125" customWidth="1"/>
    <col min="20" max="21" width="10.83203125" customWidth="1"/>
    <col min="22" max="22" width="5.83203125" customWidth="1"/>
    <col min="23" max="23" width="50.83203125" customWidth="1"/>
    <col min="24" max="28" width="10.83203125" customWidth="1"/>
    <col min="29" max="29" width="5.83203125" customWidth="1"/>
    <col min="30" max="30" width="50.83203125" customWidth="1"/>
    <col min="31" max="35" width="10.83203125" customWidth="1"/>
  </cols>
  <sheetData>
    <row r="1" spans="1:35" ht="15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AD1" s="107"/>
      <c r="AE1" s="107"/>
      <c r="AF1" s="107"/>
      <c r="AG1" s="107"/>
      <c r="AH1" s="107"/>
      <c r="AI1" s="107"/>
    </row>
    <row r="2" spans="1:35" ht="24" customHeight="1" x14ac:dyDescent="0.3">
      <c r="A2" s="24"/>
      <c r="B2" s="26" t="s">
        <v>46</v>
      </c>
      <c r="C2" s="24"/>
      <c r="E2" s="24"/>
      <c r="F2" s="25" t="s">
        <v>117</v>
      </c>
      <c r="G2" s="24"/>
      <c r="H2" s="24"/>
      <c r="I2" s="24"/>
      <c r="J2" s="24"/>
      <c r="K2" s="24"/>
      <c r="L2" s="24"/>
      <c r="N2" s="101" t="s">
        <v>4</v>
      </c>
      <c r="O2" s="102"/>
      <c r="P2" s="102"/>
      <c r="Q2" s="102"/>
      <c r="R2" s="102"/>
      <c r="S2" s="102"/>
      <c r="T2" s="102"/>
      <c r="U2" s="102"/>
      <c r="V2" s="102"/>
      <c r="W2" s="101" t="s">
        <v>39</v>
      </c>
      <c r="AD2" s="101" t="s">
        <v>264</v>
      </c>
      <c r="AE2" s="107"/>
      <c r="AF2" s="107"/>
      <c r="AG2" s="107"/>
      <c r="AH2" s="107"/>
      <c r="AI2" s="107"/>
    </row>
    <row r="3" spans="1:35" ht="24" customHeight="1" x14ac:dyDescent="0.2">
      <c r="A3" s="24"/>
      <c r="B3" s="24"/>
      <c r="C3" s="24"/>
      <c r="D3" s="24"/>
      <c r="E3" s="24"/>
      <c r="F3" s="25" t="s">
        <v>118</v>
      </c>
      <c r="G3" s="24"/>
      <c r="H3" s="24"/>
      <c r="I3" s="24"/>
      <c r="J3" s="24"/>
      <c r="K3" s="24"/>
      <c r="L3" s="24"/>
      <c r="N3" s="103"/>
      <c r="O3" s="110"/>
      <c r="P3" s="110"/>
      <c r="Q3" s="110">
        <v>2022</v>
      </c>
      <c r="R3" s="110">
        <v>2021</v>
      </c>
      <c r="S3" s="110">
        <v>2020</v>
      </c>
      <c r="T3" s="110">
        <v>2019</v>
      </c>
      <c r="U3" s="110">
        <v>2018</v>
      </c>
      <c r="V3" s="111"/>
      <c r="W3" s="110"/>
      <c r="X3" s="110">
        <v>2022</v>
      </c>
      <c r="Y3" s="110">
        <v>2021</v>
      </c>
      <c r="Z3" s="110">
        <v>2020</v>
      </c>
      <c r="AA3" s="110">
        <v>2019</v>
      </c>
      <c r="AB3" s="110">
        <v>2018</v>
      </c>
      <c r="AD3" s="103"/>
      <c r="AE3" s="110">
        <v>2022</v>
      </c>
      <c r="AF3" s="110">
        <v>2021</v>
      </c>
      <c r="AG3" s="110">
        <v>2020</v>
      </c>
      <c r="AH3" s="110">
        <v>2019</v>
      </c>
      <c r="AI3" s="110">
        <v>2018</v>
      </c>
    </row>
    <row r="4" spans="1:35" ht="15" customHeight="1" x14ac:dyDescent="0.2">
      <c r="A4" s="24"/>
      <c r="B4" s="24"/>
      <c r="C4" s="24"/>
      <c r="D4" s="24"/>
      <c r="E4" s="24"/>
      <c r="F4" s="25"/>
      <c r="G4" s="24"/>
      <c r="H4" s="24"/>
      <c r="I4" s="24"/>
      <c r="J4" s="24"/>
      <c r="K4" s="162"/>
      <c r="L4" s="24"/>
      <c r="N4" s="104" t="s">
        <v>70</v>
      </c>
      <c r="O4" s="105"/>
      <c r="P4" s="105"/>
      <c r="Q4" s="105">
        <v>8362</v>
      </c>
      <c r="R4" s="105">
        <v>7822</v>
      </c>
      <c r="S4" s="105">
        <v>7556</v>
      </c>
      <c r="T4" s="105">
        <v>8200</v>
      </c>
      <c r="U4" s="105">
        <v>4364</v>
      </c>
      <c r="W4" s="108" t="s">
        <v>119</v>
      </c>
      <c r="X4" s="108">
        <v>641</v>
      </c>
      <c r="Y4" s="108">
        <v>565</v>
      </c>
      <c r="Z4" s="108">
        <v>412</v>
      </c>
      <c r="AA4" s="108">
        <v>327</v>
      </c>
      <c r="AB4" s="108">
        <v>292</v>
      </c>
      <c r="AD4" s="108" t="s">
        <v>119</v>
      </c>
      <c r="AE4" s="108" t="s">
        <v>29</v>
      </c>
      <c r="AF4" s="108" t="s">
        <v>29</v>
      </c>
      <c r="AG4" s="108" t="s">
        <v>29</v>
      </c>
      <c r="AH4" s="108" t="s">
        <v>29</v>
      </c>
      <c r="AI4" s="108" t="s">
        <v>29</v>
      </c>
    </row>
    <row r="5" spans="1:35" ht="15" customHeight="1" x14ac:dyDescent="0.2">
      <c r="A5" s="24"/>
      <c r="B5" s="24"/>
      <c r="C5" s="24"/>
      <c r="D5" s="24"/>
      <c r="E5" s="24"/>
      <c r="F5" s="24"/>
      <c r="G5" s="24"/>
      <c r="H5" s="27">
        <v>1</v>
      </c>
      <c r="I5" s="27">
        <f>H5+1</f>
        <v>2</v>
      </c>
      <c r="J5" s="27">
        <f>I5+1</f>
        <v>3</v>
      </c>
      <c r="K5" s="27">
        <f>J5+1</f>
        <v>4</v>
      </c>
      <c r="L5" s="24"/>
      <c r="N5" s="234" t="s">
        <v>71</v>
      </c>
      <c r="O5" s="232"/>
      <c r="P5" s="232"/>
      <c r="Q5" s="232">
        <v>6.9000000000000006E-2</v>
      </c>
      <c r="R5" s="232">
        <v>3.5200000000000002E-2</v>
      </c>
      <c r="S5" s="233">
        <v>-7.85E-2</v>
      </c>
      <c r="T5" s="232">
        <v>0.87919999999999998</v>
      </c>
      <c r="U5" s="234" t="s">
        <v>29</v>
      </c>
      <c r="W5" s="108" t="s">
        <v>68</v>
      </c>
      <c r="X5" s="106">
        <v>0.13450000000000001</v>
      </c>
      <c r="Y5" s="106">
        <v>0.37040000000000001</v>
      </c>
      <c r="Z5" s="106">
        <v>0.26279999999999998</v>
      </c>
      <c r="AA5" s="106">
        <v>0.1193</v>
      </c>
      <c r="AB5" s="108" t="s">
        <v>29</v>
      </c>
      <c r="AD5" s="108" t="s">
        <v>175</v>
      </c>
      <c r="AE5" s="108">
        <v>541</v>
      </c>
      <c r="AF5" s="108">
        <v>473</v>
      </c>
      <c r="AG5" s="108">
        <v>599</v>
      </c>
      <c r="AH5" s="108">
        <v>604</v>
      </c>
      <c r="AI5" s="109">
        <v>2342</v>
      </c>
    </row>
    <row r="6" spans="1:35" ht="15" customHeight="1" thickBot="1" x14ac:dyDescent="0.25">
      <c r="A6" s="24"/>
      <c r="B6" s="4" t="s">
        <v>38</v>
      </c>
      <c r="C6" s="4">
        <v>2020</v>
      </c>
      <c r="D6" s="4">
        <v>2021</v>
      </c>
      <c r="E6" s="4">
        <v>2022</v>
      </c>
      <c r="F6" s="4">
        <v>2023</v>
      </c>
      <c r="G6" s="4">
        <v>2024</v>
      </c>
      <c r="H6" s="4">
        <v>2025</v>
      </c>
      <c r="I6" s="4">
        <v>2026</v>
      </c>
      <c r="J6" s="4">
        <v>2027</v>
      </c>
      <c r="K6" s="4">
        <v>2028</v>
      </c>
      <c r="L6" s="24"/>
      <c r="N6" s="234"/>
      <c r="O6" s="232"/>
      <c r="P6" s="232"/>
      <c r="Q6" s="232"/>
      <c r="R6" s="232"/>
      <c r="S6" s="233"/>
      <c r="T6" s="232"/>
      <c r="U6" s="234"/>
      <c r="W6" s="108" t="s">
        <v>120</v>
      </c>
      <c r="X6" s="108">
        <v>479</v>
      </c>
      <c r="Y6" s="108">
        <v>491</v>
      </c>
      <c r="Z6" s="108">
        <v>473</v>
      </c>
      <c r="AA6" s="108">
        <v>401</v>
      </c>
      <c r="AB6" s="108">
        <v>109</v>
      </c>
      <c r="AD6" s="108" t="s">
        <v>176</v>
      </c>
      <c r="AE6" s="108">
        <v>541</v>
      </c>
      <c r="AF6" s="108">
        <v>473</v>
      </c>
      <c r="AG6" s="108">
        <v>599</v>
      </c>
      <c r="AH6" s="108">
        <v>604</v>
      </c>
      <c r="AI6" s="109">
        <v>2342</v>
      </c>
    </row>
    <row r="7" spans="1:35" ht="15" customHeight="1" x14ac:dyDescent="0.2">
      <c r="A7" s="24"/>
      <c r="B7" s="5" t="s">
        <v>5</v>
      </c>
      <c r="C7" s="6">
        <v>7556</v>
      </c>
      <c r="D7" s="6">
        <v>7822</v>
      </c>
      <c r="E7" s="6">
        <v>8362</v>
      </c>
      <c r="F7" s="6">
        <v>9677</v>
      </c>
      <c r="G7" s="7">
        <v>10330</v>
      </c>
      <c r="H7" s="6">
        <f>G7*(1+H8)</f>
        <v>11341.564120184777</v>
      </c>
      <c r="I7" s="6">
        <f>H7*(1+I8)</f>
        <v>12561.400417479379</v>
      </c>
      <c r="J7" s="6">
        <f>I7*(1+J8)</f>
        <v>13704.316119605211</v>
      </c>
      <c r="K7" s="6">
        <f t="shared" ref="K7" si="0">J7*(1+K8)</f>
        <v>15058.602778909297</v>
      </c>
      <c r="L7" s="24"/>
      <c r="N7" s="104" t="s">
        <v>72</v>
      </c>
      <c r="O7" s="105"/>
      <c r="P7" s="105"/>
      <c r="Q7" s="105">
        <v>6070</v>
      </c>
      <c r="R7" s="105">
        <v>5687</v>
      </c>
      <c r="S7" s="105">
        <v>5657</v>
      </c>
      <c r="T7" s="105">
        <v>6122</v>
      </c>
      <c r="U7" s="105">
        <v>3152</v>
      </c>
      <c r="W7" s="108" t="s">
        <v>121</v>
      </c>
      <c r="X7" s="108">
        <v>188</v>
      </c>
      <c r="Y7" s="108">
        <v>204</v>
      </c>
      <c r="Z7" s="108">
        <v>191</v>
      </c>
      <c r="AA7" s="108">
        <v>163</v>
      </c>
      <c r="AB7" s="108">
        <v>70</v>
      </c>
      <c r="AD7" s="108" t="s">
        <v>177</v>
      </c>
      <c r="AE7" s="108" t="s">
        <v>29</v>
      </c>
      <c r="AF7" s="108" t="s">
        <v>29</v>
      </c>
      <c r="AG7" s="108" t="s">
        <v>29</v>
      </c>
      <c r="AH7" s="108" t="s">
        <v>29</v>
      </c>
      <c r="AI7" s="108" t="s">
        <v>29</v>
      </c>
    </row>
    <row r="8" spans="1:35" ht="15" customHeight="1" thickBot="1" x14ac:dyDescent="0.25">
      <c r="A8" s="24"/>
      <c r="B8" s="2" t="s">
        <v>6</v>
      </c>
      <c r="C8" s="1"/>
      <c r="D8" s="1">
        <f>(D7-C7)/C7</f>
        <v>3.520381154049762E-2</v>
      </c>
      <c r="E8" s="1">
        <f t="shared" ref="E8:G8" si="1">(E7-D7)/D7</f>
        <v>6.903605216057275E-2</v>
      </c>
      <c r="F8" s="1">
        <f t="shared" si="1"/>
        <v>0.15725902894044486</v>
      </c>
      <c r="G8" s="3">
        <f t="shared" si="1"/>
        <v>6.7479590782267229E-2</v>
      </c>
      <c r="H8" s="1">
        <f>AVERAGE(E8:G8)</f>
        <v>9.7924890627761607E-2</v>
      </c>
      <c r="I8" s="1">
        <f>AVERAGE(F8:H8)</f>
        <v>0.10755450345015789</v>
      </c>
      <c r="J8" s="1">
        <f>AVERAGE(G8:I8)</f>
        <v>9.098632828672891E-2</v>
      </c>
      <c r="K8" s="1">
        <f>AVERAGE(H8:J8)</f>
        <v>9.8821907454882799E-2</v>
      </c>
      <c r="L8" s="24"/>
      <c r="N8" s="212" t="s">
        <v>73</v>
      </c>
      <c r="O8" s="105"/>
      <c r="P8" s="105"/>
      <c r="Q8" s="105">
        <v>5591</v>
      </c>
      <c r="R8" s="105">
        <v>5196</v>
      </c>
      <c r="S8" s="105">
        <v>5184</v>
      </c>
      <c r="T8" s="105">
        <v>5721</v>
      </c>
      <c r="U8" s="105">
        <v>3043</v>
      </c>
      <c r="W8" s="108" t="s">
        <v>122</v>
      </c>
      <c r="X8" s="108">
        <v>291</v>
      </c>
      <c r="Y8" s="108">
        <v>287</v>
      </c>
      <c r="Z8" s="108">
        <v>282</v>
      </c>
      <c r="AA8" s="108">
        <v>238</v>
      </c>
      <c r="AB8" s="108">
        <v>40</v>
      </c>
      <c r="AD8" s="236" t="s">
        <v>178</v>
      </c>
      <c r="AE8" s="232">
        <v>0.14380000000000001</v>
      </c>
      <c r="AF8" s="233">
        <v>-0.21</v>
      </c>
      <c r="AG8" s="233">
        <v>-9.1000000000000004E-3</v>
      </c>
      <c r="AH8" s="233">
        <v>-0.74209999999999998</v>
      </c>
      <c r="AI8" s="236" t="s">
        <v>29</v>
      </c>
    </row>
    <row r="9" spans="1:35" ht="15" customHeight="1" x14ac:dyDescent="0.2">
      <c r="A9" s="24"/>
      <c r="B9" s="5" t="s">
        <v>7</v>
      </c>
      <c r="C9" s="6">
        <v>860</v>
      </c>
      <c r="D9" s="6">
        <v>954</v>
      </c>
      <c r="E9" s="6">
        <v>1063</v>
      </c>
      <c r="F9" s="6">
        <v>1310</v>
      </c>
      <c r="G9" s="7">
        <v>1609</v>
      </c>
      <c r="H9" s="6">
        <f>H10*H7</f>
        <v>1581.2225465249116</v>
      </c>
      <c r="I9" s="6">
        <f>I10*I7</f>
        <v>1802.7738329098511</v>
      </c>
      <c r="J9" s="6">
        <f>J10*J7</f>
        <v>2004.0061450847779</v>
      </c>
      <c r="K9" s="6">
        <f>K10*K7</f>
        <v>2154.2188723113477</v>
      </c>
      <c r="L9" s="24"/>
      <c r="N9" s="104" t="s">
        <v>74</v>
      </c>
      <c r="O9" s="104"/>
      <c r="P9" s="104"/>
      <c r="Q9" s="104">
        <v>479</v>
      </c>
      <c r="R9" s="104">
        <v>491</v>
      </c>
      <c r="S9" s="104">
        <v>473</v>
      </c>
      <c r="T9" s="104">
        <v>401</v>
      </c>
      <c r="U9" s="104">
        <v>109</v>
      </c>
      <c r="W9" s="236" t="s">
        <v>123</v>
      </c>
      <c r="X9" s="236">
        <v>36</v>
      </c>
      <c r="Y9" s="236">
        <v>88</v>
      </c>
      <c r="Z9" s="236">
        <v>29</v>
      </c>
      <c r="AA9" s="236">
        <v>-27</v>
      </c>
      <c r="AB9" s="236">
        <v>-5</v>
      </c>
      <c r="AD9" s="236"/>
      <c r="AE9" s="232"/>
      <c r="AF9" s="233"/>
      <c r="AG9" s="233"/>
      <c r="AH9" s="233"/>
      <c r="AI9" s="236"/>
    </row>
    <row r="10" spans="1:35" ht="15" customHeight="1" thickBot="1" x14ac:dyDescent="0.25">
      <c r="A10" s="24"/>
      <c r="B10" s="2" t="s">
        <v>8</v>
      </c>
      <c r="C10" s="1">
        <f>C9/C7</f>
        <v>0.11381683430386448</v>
      </c>
      <c r="D10" s="1">
        <f t="shared" ref="D10:G10" si="2">D9/D7</f>
        <v>0.12196369215034518</v>
      </c>
      <c r="E10" s="1">
        <f t="shared" si="2"/>
        <v>0.12712269791915809</v>
      </c>
      <c r="F10" s="1">
        <f t="shared" si="2"/>
        <v>0.13537253280975509</v>
      </c>
      <c r="G10" s="3">
        <f t="shared" si="2"/>
        <v>0.15575992255566312</v>
      </c>
      <c r="H10" s="1">
        <f>AVERAGE(E10:G10)</f>
        <v>0.1394183844281921</v>
      </c>
      <c r="I10" s="1">
        <f t="shared" ref="I10:K10" si="3">AVERAGE(F10:H10)</f>
        <v>0.14351694659787009</v>
      </c>
      <c r="J10" s="1">
        <f t="shared" si="3"/>
        <v>0.14623175119390844</v>
      </c>
      <c r="K10" s="1">
        <f t="shared" si="3"/>
        <v>0.14305569407332352</v>
      </c>
      <c r="L10" s="24"/>
      <c r="N10" s="104" t="s">
        <v>40</v>
      </c>
      <c r="O10" s="104"/>
      <c r="P10" s="104"/>
      <c r="Q10" s="104">
        <v>188</v>
      </c>
      <c r="R10" s="104">
        <v>204</v>
      </c>
      <c r="S10" s="104">
        <v>191</v>
      </c>
      <c r="T10" s="104">
        <v>163</v>
      </c>
      <c r="U10" s="104">
        <v>70</v>
      </c>
      <c r="W10" s="236"/>
      <c r="X10" s="236"/>
      <c r="Y10" s="236"/>
      <c r="Z10" s="236"/>
      <c r="AA10" s="236"/>
      <c r="AB10" s="236"/>
      <c r="AD10" s="108" t="s">
        <v>179</v>
      </c>
      <c r="AE10" s="106">
        <v>2.92E-2</v>
      </c>
      <c r="AF10" s="106">
        <v>2.5600000000000001E-2</v>
      </c>
      <c r="AG10" s="106">
        <v>3.2399999999999998E-2</v>
      </c>
      <c r="AH10" s="106">
        <v>3.1899999999999998E-2</v>
      </c>
      <c r="AI10" s="106">
        <v>0.27079999999999999</v>
      </c>
    </row>
    <row r="11" spans="1:35" ht="15" customHeight="1" x14ac:dyDescent="0.2">
      <c r="A11" s="24"/>
      <c r="B11" s="5" t="s">
        <v>9</v>
      </c>
      <c r="C11" s="6">
        <v>145</v>
      </c>
      <c r="D11" s="6">
        <v>172</v>
      </c>
      <c r="E11" s="6">
        <v>213</v>
      </c>
      <c r="F11" s="6">
        <v>233</v>
      </c>
      <c r="G11" s="7">
        <v>263.85134367767131</v>
      </c>
      <c r="H11" s="6">
        <f>H9*H12</f>
        <v>285.79204203876287</v>
      </c>
      <c r="I11" s="6">
        <f t="shared" ref="I11:J11" si="4">I9*I12</f>
        <v>314.03626685714909</v>
      </c>
      <c r="J11" s="6">
        <f t="shared" si="4"/>
        <v>346.64097066049106</v>
      </c>
      <c r="K11" s="6">
        <f t="shared" ref="K11" si="5">K9*K12</f>
        <v>379.07886249088568</v>
      </c>
      <c r="L11" s="24"/>
      <c r="N11" s="104" t="s">
        <v>34</v>
      </c>
      <c r="O11" s="104"/>
      <c r="P11" s="104"/>
      <c r="Q11" s="104">
        <v>291</v>
      </c>
      <c r="R11" s="104">
        <v>287</v>
      </c>
      <c r="S11" s="104">
        <v>282</v>
      </c>
      <c r="T11" s="104">
        <v>238</v>
      </c>
      <c r="U11" s="104">
        <v>40</v>
      </c>
      <c r="W11" s="236" t="s">
        <v>124</v>
      </c>
      <c r="X11" s="236">
        <v>36</v>
      </c>
      <c r="Y11" s="236">
        <v>88</v>
      </c>
      <c r="Z11" s="236">
        <v>29</v>
      </c>
      <c r="AA11" s="236">
        <v>-27</v>
      </c>
      <c r="AB11" s="236">
        <v>-5</v>
      </c>
      <c r="AD11" s="108" t="s">
        <v>180</v>
      </c>
      <c r="AE11" s="109">
        <v>1519</v>
      </c>
      <c r="AF11" s="109">
        <v>1477</v>
      </c>
      <c r="AG11" s="109">
        <v>1413</v>
      </c>
      <c r="AH11" s="109">
        <v>1664</v>
      </c>
      <c r="AI11" s="109">
        <v>1147</v>
      </c>
    </row>
    <row r="12" spans="1:35" ht="15" customHeight="1" x14ac:dyDescent="0.2">
      <c r="A12" s="24"/>
      <c r="B12" s="2" t="s">
        <v>10</v>
      </c>
      <c r="C12" s="1">
        <f>C11/C9</f>
        <v>0.16860465116279069</v>
      </c>
      <c r="D12" s="1">
        <f t="shared" ref="D12:G12" si="6">D11/D9</f>
        <v>0.18029350104821804</v>
      </c>
      <c r="E12" s="1">
        <f t="shared" si="6"/>
        <v>0.20037629350893696</v>
      </c>
      <c r="F12" s="1">
        <f t="shared" si="6"/>
        <v>0.17786259541984734</v>
      </c>
      <c r="G12" s="3">
        <f t="shared" si="6"/>
        <v>0.1639846759960667</v>
      </c>
      <c r="H12" s="1">
        <f>AVERAGE(E12:G12)</f>
        <v>0.18074118830828367</v>
      </c>
      <c r="I12" s="1">
        <f>AVERAGE(F12:H12)</f>
        <v>0.17419615324139923</v>
      </c>
      <c r="J12" s="1">
        <f t="shared" ref="J12" si="7">AVERAGE(G12:I12)</f>
        <v>0.17297400584858322</v>
      </c>
      <c r="K12" s="1">
        <f>AVERAGE(H12:J12)</f>
        <v>0.17597044913275539</v>
      </c>
      <c r="L12" s="24"/>
      <c r="N12" s="212" t="s">
        <v>75</v>
      </c>
      <c r="O12" s="104"/>
      <c r="P12" s="104"/>
      <c r="Q12" s="104" t="s">
        <v>29</v>
      </c>
      <c r="R12" s="104" t="s">
        <v>29</v>
      </c>
      <c r="S12" s="104" t="s">
        <v>29</v>
      </c>
      <c r="T12" s="104" t="s">
        <v>29</v>
      </c>
      <c r="U12" s="104" t="s">
        <v>29</v>
      </c>
      <c r="W12" s="236"/>
      <c r="X12" s="236"/>
      <c r="Y12" s="236"/>
      <c r="Z12" s="236"/>
      <c r="AA12" s="236"/>
      <c r="AB12" s="236"/>
      <c r="AD12" s="108" t="s">
        <v>181</v>
      </c>
      <c r="AE12" s="109">
        <v>1519</v>
      </c>
      <c r="AF12" s="109">
        <v>1477</v>
      </c>
      <c r="AG12" s="109">
        <v>1413</v>
      </c>
      <c r="AH12" s="109">
        <v>1664</v>
      </c>
      <c r="AI12" s="109">
        <v>1147</v>
      </c>
    </row>
    <row r="13" spans="1:35" ht="15" customHeight="1" thickBot="1" x14ac:dyDescent="0.25">
      <c r="A13" s="24"/>
      <c r="B13" s="2" t="s">
        <v>37</v>
      </c>
      <c r="C13" s="8">
        <f>C9-C11</f>
        <v>715</v>
      </c>
      <c r="D13" s="8">
        <f t="shared" ref="D13:K13" si="8">D9-D11</f>
        <v>782</v>
      </c>
      <c r="E13" s="8">
        <f t="shared" si="8"/>
        <v>850</v>
      </c>
      <c r="F13" s="8">
        <f t="shared" si="8"/>
        <v>1077</v>
      </c>
      <c r="G13" s="9">
        <f t="shared" si="8"/>
        <v>1345.1486563223286</v>
      </c>
      <c r="H13" s="8">
        <f t="shared" si="8"/>
        <v>1295.4305044861487</v>
      </c>
      <c r="I13" s="8">
        <f t="shared" si="8"/>
        <v>1488.7375660527021</v>
      </c>
      <c r="J13" s="8">
        <f t="shared" si="8"/>
        <v>1657.3651744242868</v>
      </c>
      <c r="K13" s="8">
        <f t="shared" si="8"/>
        <v>1775.140009820462</v>
      </c>
      <c r="L13" s="24"/>
      <c r="N13" s="234" t="s">
        <v>76</v>
      </c>
      <c r="O13" s="232"/>
      <c r="P13" s="232"/>
      <c r="Q13" s="232">
        <v>6.7299999999999999E-2</v>
      </c>
      <c r="R13" s="232">
        <v>5.1999999999999998E-3</v>
      </c>
      <c r="S13" s="233">
        <v>-7.5999999999999998E-2</v>
      </c>
      <c r="T13" s="232">
        <v>0.9425</v>
      </c>
      <c r="U13" s="234" t="s">
        <v>29</v>
      </c>
      <c r="W13" s="108" t="s">
        <v>125</v>
      </c>
      <c r="X13" s="108" t="s">
        <v>29</v>
      </c>
      <c r="Y13" s="108" t="s">
        <v>29</v>
      </c>
      <c r="Z13" s="108" t="s">
        <v>29</v>
      </c>
      <c r="AA13" s="108" t="s">
        <v>29</v>
      </c>
      <c r="AB13" s="108" t="s">
        <v>29</v>
      </c>
      <c r="AD13" s="108" t="s">
        <v>182</v>
      </c>
      <c r="AE13" s="109">
        <v>1547</v>
      </c>
      <c r="AF13" s="109">
        <v>1509</v>
      </c>
      <c r="AG13" s="109">
        <v>1449</v>
      </c>
      <c r="AH13" s="109">
        <v>1684</v>
      </c>
      <c r="AI13" s="109">
        <v>1164</v>
      </c>
    </row>
    <row r="14" spans="1:35" ht="15" customHeight="1" x14ac:dyDescent="0.2">
      <c r="A14" s="24"/>
      <c r="B14" s="5" t="s">
        <v>11</v>
      </c>
      <c r="C14" s="6">
        <v>473</v>
      </c>
      <c r="D14" s="6">
        <v>441</v>
      </c>
      <c r="E14" s="6">
        <v>426</v>
      </c>
      <c r="F14" s="6">
        <v>477</v>
      </c>
      <c r="G14" s="7">
        <v>486</v>
      </c>
      <c r="H14" s="6">
        <f>SLOPE(C14:G14,C$6:G$6)*H$6+INTERCEPT(C14:G14,C$6:G$6)</f>
        <v>479.20000000000073</v>
      </c>
      <c r="I14" s="6">
        <f>(SLOPE(D14:H14,D6:H6)*I6 +INTERCEPT(D14:H14,D6:H6))</f>
        <v>502.76000000000204</v>
      </c>
      <c r="J14" s="6">
        <f>(SLOPE(E14:I14,E6:I6)*J6+INTERCEPT(E14:I14,E6:I6))</f>
        <v>520.90799999999945</v>
      </c>
      <c r="K14" s="6">
        <f>(SLOPE(F14:J14,F6:J6)*K6+INTERCEPT(F14:J14,F6:J6))</f>
        <v>524.5464000000029</v>
      </c>
      <c r="L14" s="24"/>
      <c r="N14" s="234"/>
      <c r="O14" s="232"/>
      <c r="P14" s="232"/>
      <c r="Q14" s="232"/>
      <c r="R14" s="232"/>
      <c r="S14" s="233"/>
      <c r="T14" s="232"/>
      <c r="U14" s="234"/>
      <c r="W14" s="236" t="s">
        <v>126</v>
      </c>
      <c r="X14" s="236">
        <v>-9</v>
      </c>
      <c r="Y14" s="236">
        <v>-8</v>
      </c>
      <c r="Z14" s="236">
        <v>-59</v>
      </c>
      <c r="AA14" s="236">
        <v>-16</v>
      </c>
      <c r="AB14" s="236">
        <v>26</v>
      </c>
      <c r="AD14" s="236" t="s">
        <v>183</v>
      </c>
      <c r="AE14" s="236">
        <v>-28</v>
      </c>
      <c r="AF14" s="236">
        <v>-32</v>
      </c>
      <c r="AG14" s="236">
        <v>-37</v>
      </c>
      <c r="AH14" s="236">
        <v>-20</v>
      </c>
      <c r="AI14" s="236">
        <v>-17</v>
      </c>
    </row>
    <row r="15" spans="1:35" ht="15" customHeight="1" thickBot="1" x14ac:dyDescent="0.25">
      <c r="A15" s="24"/>
      <c r="B15" s="2" t="s">
        <v>8</v>
      </c>
      <c r="C15" s="1">
        <f>C14/C7</f>
        <v>6.259925886712546E-2</v>
      </c>
      <c r="D15" s="1">
        <f t="shared" ref="D15:G15" si="9">D14/D7</f>
        <v>5.6379442597801074E-2</v>
      </c>
      <c r="E15" s="1">
        <f t="shared" si="9"/>
        <v>5.0944750059794305E-2</v>
      </c>
      <c r="F15" s="1">
        <f t="shared" si="9"/>
        <v>4.9292135992559674E-2</v>
      </c>
      <c r="G15" s="3">
        <f t="shared" si="9"/>
        <v>4.7047434656340752E-2</v>
      </c>
      <c r="H15" s="1">
        <f>AVERAGE(E15:G15)</f>
        <v>4.909477356956491E-2</v>
      </c>
      <c r="I15" s="1">
        <f>AVERAGE(F15:H15)</f>
        <v>4.8478114739488438E-2</v>
      </c>
      <c r="J15" s="1">
        <f t="shared" ref="J15" si="10">AVERAGE(G15:I15)</f>
        <v>4.8206774321798034E-2</v>
      </c>
      <c r="K15" s="1">
        <f t="shared" ref="K15" si="11">AVERAGE(H15:J15)</f>
        <v>4.8593220876950456E-2</v>
      </c>
      <c r="L15" s="24"/>
      <c r="N15" s="104" t="s">
        <v>77</v>
      </c>
      <c r="O15" s="105"/>
      <c r="P15" s="105"/>
      <c r="Q15" s="105">
        <v>2292</v>
      </c>
      <c r="R15" s="105">
        <v>2135</v>
      </c>
      <c r="S15" s="105">
        <v>1899</v>
      </c>
      <c r="T15" s="105">
        <v>2078</v>
      </c>
      <c r="U15" s="105">
        <v>1212</v>
      </c>
      <c r="W15" s="236"/>
      <c r="X15" s="236"/>
      <c r="Y15" s="236"/>
      <c r="Z15" s="236"/>
      <c r="AA15" s="236"/>
      <c r="AB15" s="236"/>
      <c r="AD15" s="236"/>
      <c r="AE15" s="236"/>
      <c r="AF15" s="236"/>
      <c r="AG15" s="236"/>
      <c r="AH15" s="236"/>
      <c r="AI15" s="236"/>
    </row>
    <row r="16" spans="1:35" ht="15" customHeight="1" x14ac:dyDescent="0.2">
      <c r="A16" s="24"/>
      <c r="B16" s="5" t="s">
        <v>12</v>
      </c>
      <c r="C16" s="6">
        <v>-136</v>
      </c>
      <c r="D16" s="6">
        <v>-130</v>
      </c>
      <c r="E16" s="6">
        <v>-149</v>
      </c>
      <c r="F16" s="6">
        <v>-186</v>
      </c>
      <c r="G16" s="7">
        <v>-200</v>
      </c>
      <c r="H16" s="6">
        <f>SLOPE(E16:G16,E$6:G$6)*H$6+INTERCEPT(E16:G16,E$6:G$6)</f>
        <v>-229.33333333333576</v>
      </c>
      <c r="I16" s="6">
        <f>SLOPE(E16:H16,E$6:H$6)*I$6+INTERCEPT(E16:H16,E$6:H$6)</f>
        <v>-254.83333333333576</v>
      </c>
      <c r="J16" s="6">
        <f>SLOPE(F16:I16,F$6:I$6)*J$6+INTERCEPT(F16:I16,F$6:I$6)</f>
        <v>-276.50000000000728</v>
      </c>
      <c r="K16" s="6">
        <f>SLOPE(F16:J16,F$6:J$6)*K$6+INTERCEPT(F16:J16,F$6:J$6)</f>
        <v>-300.08333333334303</v>
      </c>
      <c r="L16" s="24"/>
      <c r="N16" s="234" t="s">
        <v>78</v>
      </c>
      <c r="O16" s="232"/>
      <c r="P16" s="232"/>
      <c r="Q16" s="232">
        <v>7.3499999999999996E-2</v>
      </c>
      <c r="R16" s="232">
        <v>0.1245</v>
      </c>
      <c r="S16" s="233">
        <v>-8.6099999999999996E-2</v>
      </c>
      <c r="T16" s="232">
        <v>0.71460000000000001</v>
      </c>
      <c r="U16" s="234" t="s">
        <v>29</v>
      </c>
      <c r="W16" s="108" t="s">
        <v>127</v>
      </c>
      <c r="X16" s="109">
        <v>1147</v>
      </c>
      <c r="Y16" s="109">
        <v>1136</v>
      </c>
      <c r="Z16" s="108">
        <v>856</v>
      </c>
      <c r="AA16" s="108">
        <v>684</v>
      </c>
      <c r="AB16" s="108">
        <v>422</v>
      </c>
      <c r="AD16" s="108" t="s">
        <v>184</v>
      </c>
      <c r="AE16" s="108" t="s">
        <v>29</v>
      </c>
      <c r="AF16" s="108" t="s">
        <v>29</v>
      </c>
      <c r="AG16" s="108" t="s">
        <v>29</v>
      </c>
      <c r="AH16" s="108" t="s">
        <v>29</v>
      </c>
      <c r="AI16" s="108" t="s">
        <v>29</v>
      </c>
    </row>
    <row r="17" spans="1:35" ht="15" customHeight="1" thickBot="1" x14ac:dyDescent="0.25">
      <c r="A17" s="24"/>
      <c r="B17" s="2" t="s">
        <v>8</v>
      </c>
      <c r="C17" s="1">
        <f>C16/C7</f>
        <v>-1.7998941238750663E-2</v>
      </c>
      <c r="D17" s="1">
        <f t="shared" ref="D17:K17" si="12">D16/D7</f>
        <v>-1.6619790334952696E-2</v>
      </c>
      <c r="E17" s="1">
        <f t="shared" si="12"/>
        <v>-1.7818703659411624E-2</v>
      </c>
      <c r="F17" s="1">
        <f t="shared" si="12"/>
        <v>-1.9220832902759121E-2</v>
      </c>
      <c r="G17" s="3">
        <f t="shared" si="12"/>
        <v>-1.9361084220716359E-2</v>
      </c>
      <c r="H17" s="1">
        <f t="shared" si="12"/>
        <v>-2.0220608983304803E-2</v>
      </c>
      <c r="I17" s="1">
        <f t="shared" si="12"/>
        <v>-2.0287016165708029E-2</v>
      </c>
      <c r="J17" s="1">
        <f t="shared" si="12"/>
        <v>-2.0176125359838284E-2</v>
      </c>
      <c r="K17" s="1">
        <f t="shared" si="12"/>
        <v>-1.9927700978581642E-2</v>
      </c>
      <c r="L17" s="24"/>
      <c r="N17" s="234"/>
      <c r="O17" s="232"/>
      <c r="P17" s="232"/>
      <c r="Q17" s="232"/>
      <c r="R17" s="232"/>
      <c r="S17" s="233"/>
      <c r="T17" s="232"/>
      <c r="U17" s="234"/>
      <c r="W17" s="108" t="s">
        <v>128</v>
      </c>
      <c r="X17" s="108" t="s">
        <v>29</v>
      </c>
      <c r="Y17" s="108" t="s">
        <v>29</v>
      </c>
      <c r="Z17" s="108" t="s">
        <v>29</v>
      </c>
      <c r="AA17" s="108" t="s">
        <v>29</v>
      </c>
      <c r="AB17" s="108" t="s">
        <v>29</v>
      </c>
      <c r="AD17" s="236" t="s">
        <v>185</v>
      </c>
      <c r="AE17" s="232">
        <v>2.8400000000000002E-2</v>
      </c>
      <c r="AF17" s="232">
        <v>4.5699999999999998E-2</v>
      </c>
      <c r="AG17" s="233">
        <v>-0.15110000000000001</v>
      </c>
      <c r="AH17" s="232">
        <v>0.45090000000000002</v>
      </c>
      <c r="AI17" s="236" t="s">
        <v>29</v>
      </c>
    </row>
    <row r="18" spans="1:35" ht="15" customHeight="1" x14ac:dyDescent="0.2">
      <c r="A18" s="24"/>
      <c r="B18" s="5" t="s">
        <v>13</v>
      </c>
      <c r="C18" s="6">
        <v>-72</v>
      </c>
      <c r="D18" s="6">
        <v>-63</v>
      </c>
      <c r="E18" s="6">
        <v>-109</v>
      </c>
      <c r="F18" s="6">
        <v>-97</v>
      </c>
      <c r="G18" s="7">
        <v>238</v>
      </c>
      <c r="H18" s="6">
        <f>H19*H7</f>
        <v>-7.2724100739549463E-2</v>
      </c>
      <c r="I18" s="6">
        <f>I19*I7</f>
        <v>-36.865001216630546</v>
      </c>
      <c r="J18" s="6">
        <f>J19*J7</f>
        <v>-25.158016088707353</v>
      </c>
      <c r="K18" s="6">
        <f>K19*K7</f>
        <v>-12.037360740850573</v>
      </c>
      <c r="L18" s="24"/>
      <c r="N18" s="104" t="s">
        <v>79</v>
      </c>
      <c r="O18" s="106"/>
      <c r="P18" s="104"/>
      <c r="Q18" s="106">
        <v>0.27410000000000001</v>
      </c>
      <c r="R18" s="104" t="s">
        <v>29</v>
      </c>
      <c r="S18" s="104" t="s">
        <v>29</v>
      </c>
      <c r="T18" s="104" t="s">
        <v>29</v>
      </c>
      <c r="U18" s="104" t="s">
        <v>29</v>
      </c>
      <c r="W18" s="236" t="s">
        <v>129</v>
      </c>
      <c r="X18" s="236">
        <v>-109</v>
      </c>
      <c r="Y18" s="236">
        <v>-63</v>
      </c>
      <c r="Z18" s="236">
        <v>-72</v>
      </c>
      <c r="AA18" s="236">
        <v>331</v>
      </c>
      <c r="AB18" s="236">
        <v>-107</v>
      </c>
      <c r="AD18" s="236"/>
      <c r="AE18" s="232"/>
      <c r="AF18" s="232"/>
      <c r="AG18" s="233"/>
      <c r="AH18" s="232"/>
      <c r="AI18" s="236"/>
    </row>
    <row r="19" spans="1:35" ht="15" customHeight="1" thickBot="1" x14ac:dyDescent="0.25">
      <c r="A19" s="24"/>
      <c r="B19" s="2" t="s">
        <v>8</v>
      </c>
      <c r="C19" s="1">
        <f>C18/C7</f>
        <v>-9.5288512440444683E-3</v>
      </c>
      <c r="D19" s="1">
        <f t="shared" ref="D19:G19" si="13">D18/D7</f>
        <v>-8.0542060854001535E-3</v>
      </c>
      <c r="E19" s="1">
        <f t="shared" si="13"/>
        <v>-1.3035159052858169E-2</v>
      </c>
      <c r="F19" s="1">
        <f t="shared" si="13"/>
        <v>-1.0023767696600187E-2</v>
      </c>
      <c r="G19" s="3">
        <f t="shared" si="13"/>
        <v>2.3039690222652467E-2</v>
      </c>
      <c r="H19" s="1">
        <f t="shared" ref="H19" si="14">AVERAGE(E19:G19)</f>
        <v>-6.4121756019631477E-6</v>
      </c>
      <c r="I19" s="1">
        <f>AVERAGE(C19:H19)</f>
        <v>-2.9347843386420785E-3</v>
      </c>
      <c r="J19" s="1">
        <f>AVERAGE(D19:I19)</f>
        <v>-1.8357731877416802E-3</v>
      </c>
      <c r="K19" s="1">
        <f>AVERAGE(E19:J19)</f>
        <v>-7.9936770479860191E-4</v>
      </c>
      <c r="L19" s="24"/>
      <c r="N19" s="104" t="s">
        <v>80</v>
      </c>
      <c r="O19" s="105"/>
      <c r="P19" s="105"/>
      <c r="Q19" s="105">
        <v>1229</v>
      </c>
      <c r="R19" s="105">
        <v>1181</v>
      </c>
      <c r="S19" s="105">
        <v>1039</v>
      </c>
      <c r="T19" s="105">
        <v>1147</v>
      </c>
      <c r="U19" s="104">
        <v>661</v>
      </c>
      <c r="W19" s="236"/>
      <c r="X19" s="236"/>
      <c r="Y19" s="236"/>
      <c r="Z19" s="236"/>
      <c r="AA19" s="236"/>
      <c r="AB19" s="236"/>
      <c r="AD19" s="108" t="s">
        <v>186</v>
      </c>
      <c r="AE19" s="112">
        <v>5.5</v>
      </c>
      <c r="AF19" s="112">
        <v>5.3</v>
      </c>
      <c r="AG19" s="112">
        <v>5.35</v>
      </c>
      <c r="AH19" s="112">
        <v>4.93</v>
      </c>
      <c r="AI19" s="112">
        <v>3.81</v>
      </c>
    </row>
    <row r="20" spans="1:35" ht="15" customHeight="1" x14ac:dyDescent="0.2">
      <c r="A20" s="24"/>
      <c r="B20" s="5" t="s">
        <v>14</v>
      </c>
      <c r="C20" s="6">
        <f>C13+C14-C16-C18</f>
        <v>1396</v>
      </c>
      <c r="D20" s="6">
        <f t="shared" ref="D20:K20" si="15">D13+D14-D16-D18</f>
        <v>1416</v>
      </c>
      <c r="E20" s="6">
        <f t="shared" si="15"/>
        <v>1534</v>
      </c>
      <c r="F20" s="6">
        <f t="shared" si="15"/>
        <v>1837</v>
      </c>
      <c r="G20" s="7">
        <f t="shared" si="15"/>
        <v>1793.1486563223286</v>
      </c>
      <c r="H20" s="6">
        <f t="shared" si="15"/>
        <v>2004.0365619202248</v>
      </c>
      <c r="I20" s="6">
        <f t="shared" si="15"/>
        <v>2283.1959006026705</v>
      </c>
      <c r="J20" s="6">
        <f t="shared" si="15"/>
        <v>2479.9311905130012</v>
      </c>
      <c r="K20" s="6">
        <f t="shared" si="15"/>
        <v>2611.8071038946587</v>
      </c>
      <c r="L20" s="24"/>
      <c r="N20" s="104" t="s">
        <v>81</v>
      </c>
      <c r="O20" s="104"/>
      <c r="P20" s="104"/>
      <c r="Q20" s="104">
        <v>209</v>
      </c>
      <c r="R20" s="104">
        <v>176</v>
      </c>
      <c r="S20" s="104">
        <v>162</v>
      </c>
      <c r="T20" s="104">
        <v>210</v>
      </c>
      <c r="U20" s="104">
        <v>87</v>
      </c>
      <c r="W20" s="236" t="s">
        <v>130</v>
      </c>
      <c r="X20" s="236">
        <v>-52</v>
      </c>
      <c r="Y20" s="236">
        <v>-76</v>
      </c>
      <c r="Z20" s="236">
        <v>315</v>
      </c>
      <c r="AA20" s="236">
        <v>-6</v>
      </c>
      <c r="AB20" s="236">
        <v>-55</v>
      </c>
      <c r="AD20" s="108" t="s">
        <v>131</v>
      </c>
      <c r="AE20" s="109">
        <v>2034</v>
      </c>
      <c r="AF20" s="109">
        <v>1689</v>
      </c>
      <c r="AG20" s="109">
        <v>1642</v>
      </c>
      <c r="AH20" s="109">
        <v>1773</v>
      </c>
      <c r="AI20" s="108">
        <v>845</v>
      </c>
    </row>
    <row r="21" spans="1:35" ht="15" customHeight="1" x14ac:dyDescent="0.2">
      <c r="A21" s="24"/>
      <c r="B21" s="2" t="s">
        <v>0</v>
      </c>
      <c r="C21" s="1"/>
      <c r="D21" s="1"/>
      <c r="E21" s="1"/>
      <c r="F21" s="1"/>
      <c r="G21" s="3"/>
      <c r="H21" s="8">
        <f>H20/(1+C38)^H5</f>
        <v>1908.6062494478331</v>
      </c>
      <c r="I21" s="8">
        <f>I20/(1+C38)^I5</f>
        <v>2070.9259869411976</v>
      </c>
      <c r="J21" s="8">
        <f>J20/(1+C38)^J5</f>
        <v>2142.2578041360553</v>
      </c>
      <c r="K21" s="8">
        <f>K20/(1+C38)^K5</f>
        <v>2148.7401680531539</v>
      </c>
      <c r="L21" s="24"/>
      <c r="N21" s="104" t="s">
        <v>82</v>
      </c>
      <c r="O21" s="105"/>
      <c r="P21" s="105"/>
      <c r="Q21" s="105">
        <v>1020</v>
      </c>
      <c r="R21" s="105">
        <v>1005</v>
      </c>
      <c r="S21" s="104">
        <v>877</v>
      </c>
      <c r="T21" s="104">
        <v>937</v>
      </c>
      <c r="U21" s="104">
        <v>574</v>
      </c>
      <c r="W21" s="236"/>
      <c r="X21" s="236"/>
      <c r="Y21" s="236"/>
      <c r="Z21" s="236"/>
      <c r="AA21" s="236"/>
      <c r="AB21" s="236"/>
      <c r="AD21" s="108" t="s">
        <v>187</v>
      </c>
      <c r="AE21" s="108">
        <v>641</v>
      </c>
      <c r="AF21" s="108">
        <v>616</v>
      </c>
      <c r="AG21" s="108">
        <v>633</v>
      </c>
      <c r="AH21" s="108">
        <v>613</v>
      </c>
      <c r="AI21" s="108">
        <v>225</v>
      </c>
    </row>
    <row r="22" spans="1:35" ht="15" customHeight="1" x14ac:dyDescent="0.2">
      <c r="A22" s="24"/>
      <c r="B22" s="2" t="s">
        <v>6</v>
      </c>
      <c r="C22" s="1"/>
      <c r="D22" s="23" t="s">
        <v>43</v>
      </c>
      <c r="E22" s="1">
        <f>E20/C20-1</f>
        <v>9.885386819484232E-2</v>
      </c>
      <c r="F22" s="1">
        <f>F20/E20-1</f>
        <v>0.19752281616688405</v>
      </c>
      <c r="G22" s="3">
        <f>G20/F20-1</f>
        <v>-2.3871172388498341E-2</v>
      </c>
      <c r="H22" s="1">
        <f>H20/G20-1</f>
        <v>0.11760759759339656</v>
      </c>
      <c r="I22" s="1">
        <f t="shared" ref="I22:K22" si="16">I20/H20-1</f>
        <v>0.1392985257788717</v>
      </c>
      <c r="J22" s="1">
        <f t="shared" si="16"/>
        <v>8.6166627164318443E-2</v>
      </c>
      <c r="K22" s="1">
        <f t="shared" si="16"/>
        <v>5.3177246968040937E-2</v>
      </c>
      <c r="L22" s="24"/>
      <c r="N22" s="237" t="s">
        <v>83</v>
      </c>
      <c r="O22" s="232"/>
      <c r="P22" s="232"/>
      <c r="Q22" s="232">
        <v>4.0599999999999997E-2</v>
      </c>
      <c r="R22" s="232">
        <v>0.13650000000000001</v>
      </c>
      <c r="S22" s="233">
        <v>-9.3600000000000003E-2</v>
      </c>
      <c r="T22" s="232">
        <v>0.73419999999999996</v>
      </c>
      <c r="U22" s="234" t="s">
        <v>29</v>
      </c>
      <c r="W22" s="236" t="s">
        <v>131</v>
      </c>
      <c r="X22" s="236">
        <v>-368</v>
      </c>
      <c r="Y22" s="236">
        <v>-41</v>
      </c>
      <c r="Z22" s="236">
        <v>181</v>
      </c>
      <c r="AA22" s="236">
        <v>256</v>
      </c>
      <c r="AB22" s="236">
        <v>-109</v>
      </c>
      <c r="AD22" s="108" t="s">
        <v>188</v>
      </c>
      <c r="AE22" s="108">
        <v>515</v>
      </c>
      <c r="AF22" s="108">
        <v>316</v>
      </c>
      <c r="AG22" s="108">
        <v>339</v>
      </c>
      <c r="AH22" s="108">
        <v>374</v>
      </c>
      <c r="AI22" s="108">
        <v>154</v>
      </c>
    </row>
    <row r="23" spans="1:35" ht="15" customHeight="1" x14ac:dyDescent="0.2">
      <c r="A23" s="24"/>
      <c r="B23" s="24"/>
      <c r="C23" s="24"/>
      <c r="D23" s="24"/>
      <c r="E23" s="29" t="s">
        <v>44</v>
      </c>
      <c r="F23" s="24"/>
      <c r="G23" s="24"/>
      <c r="H23" s="24"/>
      <c r="I23" s="24"/>
      <c r="J23" s="24"/>
      <c r="K23" s="24"/>
      <c r="L23" s="24"/>
      <c r="N23" s="234"/>
      <c r="O23" s="232"/>
      <c r="P23" s="232"/>
      <c r="Q23" s="232"/>
      <c r="R23" s="232"/>
      <c r="S23" s="233"/>
      <c r="T23" s="232"/>
      <c r="U23" s="234"/>
      <c r="W23" s="236"/>
      <c r="X23" s="236"/>
      <c r="Y23" s="236"/>
      <c r="Z23" s="236"/>
      <c r="AA23" s="236"/>
      <c r="AB23" s="236"/>
      <c r="AD23" s="108" t="s">
        <v>189</v>
      </c>
      <c r="AE23" s="108">
        <v>878</v>
      </c>
      <c r="AF23" s="108">
        <v>757</v>
      </c>
      <c r="AG23" s="108">
        <v>669</v>
      </c>
      <c r="AH23" s="108">
        <v>786</v>
      </c>
      <c r="AI23" s="108">
        <v>466</v>
      </c>
    </row>
    <row r="24" spans="1:35" ht="15" customHeight="1" x14ac:dyDescent="0.2">
      <c r="A24" s="24"/>
      <c r="B24" s="10" t="s">
        <v>15</v>
      </c>
      <c r="C24" s="11">
        <f>(K21*(1+C43))/ABS(C42-C43)</f>
        <v>37922.823252355156</v>
      </c>
      <c r="D24" s="24"/>
      <c r="E24" s="30"/>
      <c r="F24" s="30"/>
      <c r="G24" s="30"/>
      <c r="H24" s="30"/>
      <c r="I24" s="30"/>
      <c r="J24" s="30"/>
      <c r="K24" s="30"/>
      <c r="L24" s="24"/>
      <c r="N24" s="104" t="s">
        <v>84</v>
      </c>
      <c r="O24" s="104"/>
      <c r="P24" s="104"/>
      <c r="Q24" s="104" t="s">
        <v>29</v>
      </c>
      <c r="R24" s="104" t="s">
        <v>29</v>
      </c>
      <c r="S24" s="104" t="s">
        <v>29</v>
      </c>
      <c r="T24" s="104" t="s">
        <v>29</v>
      </c>
      <c r="U24" s="104" t="s">
        <v>29</v>
      </c>
      <c r="W24" s="236" t="s">
        <v>132</v>
      </c>
      <c r="X24" s="236">
        <v>306</v>
      </c>
      <c r="Y24" s="236">
        <v>109</v>
      </c>
      <c r="Z24" s="236">
        <v>-269</v>
      </c>
      <c r="AA24" s="236">
        <v>-144</v>
      </c>
      <c r="AB24" s="236">
        <v>49</v>
      </c>
      <c r="AD24" s="108" t="s">
        <v>190</v>
      </c>
      <c r="AE24" s="108" t="s">
        <v>29</v>
      </c>
      <c r="AF24" s="108" t="s">
        <v>29</v>
      </c>
      <c r="AG24" s="108" t="s">
        <v>29</v>
      </c>
      <c r="AH24" s="108" t="s">
        <v>29</v>
      </c>
      <c r="AI24" s="108" t="s">
        <v>29</v>
      </c>
    </row>
    <row r="25" spans="1:35" ht="15" customHeight="1" x14ac:dyDescent="0.2">
      <c r="A25" s="24"/>
      <c r="B25" s="12" t="s">
        <v>16</v>
      </c>
      <c r="C25" s="13">
        <f>C24/(1+C38)^K5</f>
        <v>31199.200540807713</v>
      </c>
      <c r="D25" s="24"/>
      <c r="E25" s="24"/>
      <c r="F25" s="24"/>
      <c r="G25" s="24"/>
      <c r="H25" s="24"/>
      <c r="I25" s="24"/>
      <c r="J25" s="24"/>
      <c r="K25" s="24"/>
      <c r="L25" s="24"/>
      <c r="N25" s="104" t="s">
        <v>7</v>
      </c>
      <c r="O25" s="105"/>
      <c r="P25" s="104"/>
      <c r="Q25" s="105">
        <v>1063</v>
      </c>
      <c r="R25" s="104">
        <v>954</v>
      </c>
      <c r="S25" s="104">
        <v>860</v>
      </c>
      <c r="T25" s="104">
        <v>931</v>
      </c>
      <c r="U25" s="104">
        <v>551</v>
      </c>
      <c r="W25" s="236"/>
      <c r="X25" s="236"/>
      <c r="Y25" s="236"/>
      <c r="Z25" s="236"/>
      <c r="AA25" s="236"/>
      <c r="AB25" s="236"/>
      <c r="AD25" s="108" t="s">
        <v>191</v>
      </c>
      <c r="AE25" s="108">
        <v>233</v>
      </c>
      <c r="AF25" s="108">
        <v>193</v>
      </c>
      <c r="AG25" s="108">
        <v>227</v>
      </c>
      <c r="AH25" s="108">
        <v>151</v>
      </c>
      <c r="AI25" s="108">
        <v>116</v>
      </c>
    </row>
    <row r="26" spans="1:35" ht="15" customHeight="1" x14ac:dyDescent="0.2">
      <c r="A26" s="24"/>
      <c r="B26" s="12" t="s">
        <v>17</v>
      </c>
      <c r="C26" s="13">
        <f>SUM(H21:K21,C25)</f>
        <v>39469.730749385955</v>
      </c>
      <c r="D26" s="24"/>
      <c r="E26" s="28" t="s">
        <v>45</v>
      </c>
      <c r="F26" s="182">
        <v>45236</v>
      </c>
      <c r="G26" s="21">
        <v>200.4</v>
      </c>
      <c r="H26" s="24"/>
      <c r="I26" s="24"/>
      <c r="J26" s="24"/>
      <c r="K26" s="30"/>
      <c r="L26" s="24"/>
      <c r="N26" s="104" t="s">
        <v>85</v>
      </c>
      <c r="O26" s="104"/>
      <c r="P26" s="104"/>
      <c r="Q26" s="104">
        <v>51</v>
      </c>
      <c r="R26" s="104">
        <v>83</v>
      </c>
      <c r="S26" s="104">
        <v>114</v>
      </c>
      <c r="T26" s="104">
        <v>268</v>
      </c>
      <c r="U26" s="104">
        <v>74</v>
      </c>
      <c r="W26" s="236" t="s">
        <v>133</v>
      </c>
      <c r="X26" s="236">
        <v>7</v>
      </c>
      <c r="Y26" s="236">
        <v>-4</v>
      </c>
      <c r="Z26" s="236">
        <v>57</v>
      </c>
      <c r="AA26" s="236">
        <v>11</v>
      </c>
      <c r="AB26" s="236">
        <v>8</v>
      </c>
      <c r="AD26" s="108" t="s">
        <v>192</v>
      </c>
      <c r="AE26" s="108" t="s">
        <v>29</v>
      </c>
      <c r="AF26" s="108" t="s">
        <v>29</v>
      </c>
      <c r="AG26" s="108" t="s">
        <v>29</v>
      </c>
      <c r="AH26" s="108" t="s">
        <v>29</v>
      </c>
      <c r="AI26" s="108" t="s">
        <v>29</v>
      </c>
    </row>
    <row r="27" spans="1:35" ht="15" customHeight="1" x14ac:dyDescent="0.2">
      <c r="A27" s="24"/>
      <c r="B27" s="12" t="s">
        <v>35</v>
      </c>
      <c r="C27" s="13">
        <v>620</v>
      </c>
      <c r="D27" s="24"/>
      <c r="E27" s="24"/>
      <c r="F27" s="24"/>
      <c r="G27" s="24"/>
      <c r="H27" s="24"/>
      <c r="I27" s="24"/>
      <c r="J27" s="185"/>
      <c r="K27" s="30"/>
      <c r="L27" s="24"/>
      <c r="N27" s="235" t="s">
        <v>86</v>
      </c>
      <c r="O27" s="234"/>
      <c r="P27" s="234"/>
      <c r="Q27" s="234">
        <v>11</v>
      </c>
      <c r="R27" s="234">
        <v>23</v>
      </c>
      <c r="S27" s="234">
        <v>1</v>
      </c>
      <c r="T27" s="234">
        <v>-5</v>
      </c>
      <c r="U27" s="234">
        <v>-3</v>
      </c>
      <c r="W27" s="236"/>
      <c r="X27" s="236"/>
      <c r="Y27" s="236"/>
      <c r="Z27" s="236"/>
      <c r="AA27" s="236"/>
      <c r="AB27" s="236"/>
      <c r="AD27" s="108" t="s">
        <v>193</v>
      </c>
      <c r="AE27" s="108">
        <v>233</v>
      </c>
      <c r="AF27" s="108">
        <v>193</v>
      </c>
      <c r="AG27" s="108">
        <v>227</v>
      </c>
      <c r="AH27" s="108">
        <v>151</v>
      </c>
      <c r="AI27" s="108">
        <v>116</v>
      </c>
    </row>
    <row r="28" spans="1:35" ht="15" customHeight="1" x14ac:dyDescent="0.2">
      <c r="A28" s="24"/>
      <c r="B28" s="12" t="s">
        <v>36</v>
      </c>
      <c r="C28" s="13">
        <v>3449</v>
      </c>
      <c r="D28" s="24"/>
      <c r="E28" s="24"/>
      <c r="F28" s="24"/>
      <c r="G28" s="24"/>
      <c r="H28" s="24"/>
      <c r="I28" s="161"/>
      <c r="J28" s="24"/>
      <c r="K28" s="24"/>
      <c r="L28" s="24"/>
      <c r="N28" s="234"/>
      <c r="O28" s="234"/>
      <c r="P28" s="234"/>
      <c r="Q28" s="234"/>
      <c r="R28" s="234"/>
      <c r="S28" s="234"/>
      <c r="T28" s="234"/>
      <c r="U28" s="234"/>
      <c r="W28" s="236" t="s">
        <v>134</v>
      </c>
      <c r="X28" s="236">
        <v>108</v>
      </c>
      <c r="Y28" s="236">
        <v>84</v>
      </c>
      <c r="Z28" s="236">
        <v>-91</v>
      </c>
      <c r="AA28" s="236">
        <v>-12</v>
      </c>
      <c r="AB28" s="236">
        <v>32</v>
      </c>
      <c r="AD28" s="108" t="s">
        <v>194</v>
      </c>
      <c r="AE28" s="109">
        <v>4327</v>
      </c>
      <c r="AF28" s="109">
        <v>3832</v>
      </c>
      <c r="AG28" s="109">
        <v>3880</v>
      </c>
      <c r="AH28" s="109">
        <v>4192</v>
      </c>
      <c r="AI28" s="109">
        <v>4450</v>
      </c>
    </row>
    <row r="29" spans="1:35" ht="15" customHeight="1" x14ac:dyDescent="0.2">
      <c r="A29" s="24"/>
      <c r="B29" s="12" t="s">
        <v>18</v>
      </c>
      <c r="C29" s="13">
        <f>C26+C27-C28</f>
        <v>36640.730749385955</v>
      </c>
      <c r="D29" s="24"/>
      <c r="E29" s="24"/>
      <c r="F29" s="24"/>
      <c r="G29" s="24"/>
      <c r="H29" s="24"/>
      <c r="I29" s="161"/>
      <c r="J29" s="24"/>
      <c r="K29" s="24"/>
      <c r="L29" s="24"/>
      <c r="N29" s="228" t="s">
        <v>87</v>
      </c>
      <c r="O29" s="104"/>
      <c r="P29" s="104"/>
      <c r="Q29" s="104" t="s">
        <v>29</v>
      </c>
      <c r="R29" s="104" t="s">
        <v>29</v>
      </c>
      <c r="S29" s="104" t="s">
        <v>29</v>
      </c>
      <c r="T29" s="104" t="s">
        <v>29</v>
      </c>
      <c r="U29" s="104" t="s">
        <v>29</v>
      </c>
      <c r="W29" s="236"/>
      <c r="X29" s="236"/>
      <c r="Y29" s="236"/>
      <c r="Z29" s="236"/>
      <c r="AA29" s="236"/>
      <c r="AB29" s="236"/>
      <c r="AD29" s="108" t="s">
        <v>195</v>
      </c>
      <c r="AE29" s="109">
        <v>1429</v>
      </c>
      <c r="AF29" s="109">
        <v>1497</v>
      </c>
      <c r="AG29" s="109">
        <v>1602</v>
      </c>
      <c r="AH29" s="109">
        <v>1656</v>
      </c>
      <c r="AI29" s="108">
        <v>564</v>
      </c>
    </row>
    <row r="30" spans="1:35" ht="15" customHeight="1" x14ac:dyDescent="0.2">
      <c r="A30" s="24"/>
      <c r="B30" s="12" t="s">
        <v>19</v>
      </c>
      <c r="C30" s="13">
        <v>171.89</v>
      </c>
      <c r="D30" s="24"/>
      <c r="E30" s="24"/>
      <c r="F30" s="24"/>
      <c r="G30" s="24"/>
      <c r="H30" s="24"/>
      <c r="I30" s="161"/>
      <c r="J30" s="24"/>
      <c r="K30" s="24"/>
      <c r="L30" s="24"/>
      <c r="N30" s="104" t="s">
        <v>88</v>
      </c>
      <c r="O30" s="104"/>
      <c r="P30" s="104"/>
      <c r="Q30" s="104">
        <v>17</v>
      </c>
      <c r="R30" s="104">
        <v>20</v>
      </c>
      <c r="S30" s="104">
        <v>10</v>
      </c>
      <c r="T30" s="104">
        <v>8</v>
      </c>
      <c r="U30" s="104">
        <v>2</v>
      </c>
      <c r="W30" s="236" t="s">
        <v>135</v>
      </c>
      <c r="X30" s="236">
        <v>-110</v>
      </c>
      <c r="Y30" s="236">
        <v>-135</v>
      </c>
      <c r="Z30" s="236">
        <v>-265</v>
      </c>
      <c r="AA30" s="236">
        <v>227</v>
      </c>
      <c r="AB30" s="236">
        <v>-32</v>
      </c>
      <c r="AD30" s="108" t="s">
        <v>196</v>
      </c>
      <c r="AE30" s="109">
        <v>2479</v>
      </c>
      <c r="AF30" s="109">
        <v>2403</v>
      </c>
      <c r="AG30" s="109">
        <v>2373</v>
      </c>
      <c r="AH30" s="109">
        <v>2216</v>
      </c>
      <c r="AI30" s="109">
        <v>1037</v>
      </c>
    </row>
    <row r="31" spans="1:35" ht="15" customHeight="1" x14ac:dyDescent="0.2">
      <c r="A31" s="24"/>
      <c r="B31" s="183" t="s">
        <v>20</v>
      </c>
      <c r="C31" s="184">
        <f>C29/C30</f>
        <v>213.16383006216742</v>
      </c>
      <c r="D31" s="24"/>
      <c r="E31" s="24"/>
      <c r="F31" s="24"/>
      <c r="G31" s="24"/>
      <c r="H31" s="24"/>
      <c r="I31" s="161"/>
      <c r="J31" s="24"/>
      <c r="K31" s="24"/>
      <c r="L31" s="24"/>
      <c r="N31" s="104" t="s">
        <v>31</v>
      </c>
      <c r="O31" s="104"/>
      <c r="P31" s="104"/>
      <c r="Q31" s="104">
        <v>186</v>
      </c>
      <c r="R31" s="104">
        <v>177</v>
      </c>
      <c r="S31" s="104">
        <v>199</v>
      </c>
      <c r="T31" s="104">
        <v>219</v>
      </c>
      <c r="U31" s="104">
        <v>107</v>
      </c>
      <c r="W31" s="236"/>
      <c r="X31" s="236"/>
      <c r="Y31" s="236"/>
      <c r="Z31" s="236"/>
      <c r="AA31" s="236"/>
      <c r="AB31" s="236"/>
      <c r="AD31" s="108" t="s">
        <v>197</v>
      </c>
      <c r="AE31" s="108">
        <v>783</v>
      </c>
      <c r="AF31" s="108">
        <v>785</v>
      </c>
      <c r="AG31" s="108">
        <v>801</v>
      </c>
      <c r="AH31" s="108">
        <v>774</v>
      </c>
      <c r="AI31" s="108">
        <v>248</v>
      </c>
    </row>
    <row r="32" spans="1:35" ht="15" customHeight="1" x14ac:dyDescent="0.2">
      <c r="A32" s="24"/>
      <c r="B32" s="12" t="s">
        <v>22</v>
      </c>
      <c r="C32" s="16">
        <f>C28/AE103</f>
        <v>0.33990341972996946</v>
      </c>
      <c r="D32" s="24"/>
      <c r="E32" s="24"/>
      <c r="F32" s="24"/>
      <c r="G32" s="24"/>
      <c r="H32" s="30"/>
      <c r="I32" s="30"/>
      <c r="J32" s="30"/>
      <c r="K32" s="30"/>
      <c r="L32" s="24"/>
      <c r="N32" s="234" t="s">
        <v>89</v>
      </c>
      <c r="O32" s="232"/>
      <c r="P32" s="233"/>
      <c r="Q32" s="232">
        <v>5.0799999999999998E-2</v>
      </c>
      <c r="R32" s="233">
        <v>-0.1101</v>
      </c>
      <c r="S32" s="233">
        <v>-9.2200000000000004E-2</v>
      </c>
      <c r="T32" s="232">
        <v>1.0416000000000001</v>
      </c>
      <c r="U32" s="234" t="s">
        <v>29</v>
      </c>
      <c r="W32" s="108" t="s">
        <v>136</v>
      </c>
      <c r="X32" s="109">
        <v>1038</v>
      </c>
      <c r="Y32" s="109">
        <v>1073</v>
      </c>
      <c r="Z32" s="108">
        <v>784</v>
      </c>
      <c r="AA32" s="109">
        <v>1016</v>
      </c>
      <c r="AB32" s="108">
        <v>315</v>
      </c>
      <c r="AD32" s="108" t="s">
        <v>198</v>
      </c>
      <c r="AE32" s="108">
        <v>100</v>
      </c>
      <c r="AF32" s="108">
        <v>96</v>
      </c>
      <c r="AG32" s="108">
        <v>98</v>
      </c>
      <c r="AH32" s="108">
        <v>78</v>
      </c>
      <c r="AI32" s="108">
        <v>39</v>
      </c>
    </row>
    <row r="33" spans="1:35" ht="20" customHeight="1" thickBot="1" x14ac:dyDescent="0.25">
      <c r="A33" s="24"/>
      <c r="B33" s="12" t="s">
        <v>23</v>
      </c>
      <c r="C33" s="16">
        <f>(1-C34)*Q34/C28</f>
        <v>4.2603653232821108E-2</v>
      </c>
      <c r="D33" s="24"/>
      <c r="E33" s="24"/>
      <c r="F33" s="24"/>
      <c r="G33" s="231" t="s">
        <v>285</v>
      </c>
      <c r="H33" s="231"/>
      <c r="I33" s="231"/>
      <c r="J33" s="231"/>
      <c r="K33" s="231"/>
      <c r="L33" s="24"/>
      <c r="N33" s="234"/>
      <c r="O33" s="232"/>
      <c r="P33" s="233"/>
      <c r="Q33" s="232"/>
      <c r="R33" s="233"/>
      <c r="S33" s="233"/>
      <c r="T33" s="232"/>
      <c r="U33" s="234"/>
      <c r="W33" s="236" t="s">
        <v>137</v>
      </c>
      <c r="X33" s="233">
        <v>-3.2599999999999997E-2</v>
      </c>
      <c r="Y33" s="232">
        <v>0.36909999999999998</v>
      </c>
      <c r="Z33" s="233">
        <v>-0.2283</v>
      </c>
      <c r="AA33" s="232">
        <v>2.2271999999999998</v>
      </c>
      <c r="AB33" s="236" t="s">
        <v>29</v>
      </c>
      <c r="AD33" s="108" t="s">
        <v>199</v>
      </c>
      <c r="AE33" s="109">
        <v>1474</v>
      </c>
      <c r="AF33" s="109">
        <v>1433</v>
      </c>
      <c r="AG33" s="109">
        <v>1475</v>
      </c>
      <c r="AH33" s="109">
        <v>1364</v>
      </c>
      <c r="AI33" s="108">
        <v>750</v>
      </c>
    </row>
    <row r="34" spans="1:35" ht="20" customHeight="1" thickTop="1" thickBot="1" x14ac:dyDescent="0.25">
      <c r="A34" s="24"/>
      <c r="B34" s="12" t="s">
        <v>24</v>
      </c>
      <c r="C34" s="16">
        <v>0.21</v>
      </c>
      <c r="D34" s="24"/>
      <c r="E34" s="24"/>
      <c r="F34" s="213"/>
      <c r="G34" s="216">
        <f>H34-0.005</f>
        <v>9.9999999999999985E-3</v>
      </c>
      <c r="H34" s="216">
        <f>I34-0.005</f>
        <v>1.4999999999999999E-2</v>
      </c>
      <c r="I34" s="217">
        <f>C43</f>
        <v>0.02</v>
      </c>
      <c r="J34" s="216">
        <f>I34+0.005</f>
        <v>2.5000000000000001E-2</v>
      </c>
      <c r="K34" s="216">
        <f>J34+0.005</f>
        <v>3.0000000000000002E-2</v>
      </c>
      <c r="L34" s="24"/>
      <c r="N34" s="104" t="s">
        <v>90</v>
      </c>
      <c r="O34" s="104"/>
      <c r="P34" s="104"/>
      <c r="Q34" s="104">
        <v>186</v>
      </c>
      <c r="R34" s="104">
        <v>177</v>
      </c>
      <c r="S34" s="104">
        <v>199</v>
      </c>
      <c r="T34" s="104">
        <v>219</v>
      </c>
      <c r="U34" s="104">
        <v>107</v>
      </c>
      <c r="W34" s="236"/>
      <c r="X34" s="233"/>
      <c r="Y34" s="232"/>
      <c r="Z34" s="233"/>
      <c r="AA34" s="232"/>
      <c r="AB34" s="236"/>
      <c r="AD34" s="108" t="s">
        <v>200</v>
      </c>
      <c r="AE34" s="108">
        <v>122</v>
      </c>
      <c r="AF34" s="108">
        <v>89</v>
      </c>
      <c r="AG34" s="108" t="s">
        <v>29</v>
      </c>
      <c r="AH34" s="108" t="s">
        <v>29</v>
      </c>
      <c r="AI34" s="108" t="s">
        <v>29</v>
      </c>
    </row>
    <row r="35" spans="1:35" ht="20" customHeight="1" x14ac:dyDescent="0.2">
      <c r="A35" s="24"/>
      <c r="B35" s="12" t="s">
        <v>18</v>
      </c>
      <c r="C35" s="18">
        <v>10524</v>
      </c>
      <c r="D35" s="24"/>
      <c r="E35" s="230" t="s">
        <v>284</v>
      </c>
      <c r="F35" s="214">
        <f>F36+0.005</f>
        <v>8.779408766139539E-2</v>
      </c>
      <c r="G35" s="218" t="str">
        <f t="shared" ref="G35:K39" si="17">TEXT((((((($K$21*(1+G$34))/ABS($F35-G$34))/(1+$C$38)^$K$5)+SUM($H$21:$K$21)-$C$28+$C$27)/$C$30/$G$26)-1),"0.0%")
&amp;" / "&amp;
TEXT((1+(((((($K$21*(1+G$34))/ABS($F35-G$34))/(1+$C$38)^$K$5)+SUM($H$21:$K$21)-$C$28+$C$27)/$C$30/$G$26)-1))*$G$26,"$0.00")</f>
        <v>-17.6% / $165.18</v>
      </c>
      <c r="H35" s="219" t="str">
        <f t="shared" si="17"/>
        <v>-12.6% / $175.06</v>
      </c>
      <c r="I35" s="219" t="str">
        <f t="shared" si="17"/>
        <v>-7.0% / $186.39</v>
      </c>
      <c r="J35" s="219" t="str">
        <f t="shared" si="17"/>
        <v>-0.4% / $199.53</v>
      </c>
      <c r="K35" s="220" t="str">
        <f t="shared" si="17"/>
        <v>7.3% / $214.94</v>
      </c>
      <c r="L35" s="24"/>
      <c r="N35" s="104" t="s">
        <v>91</v>
      </c>
      <c r="O35" s="104"/>
      <c r="P35" s="104"/>
      <c r="Q35" s="104" t="s">
        <v>29</v>
      </c>
      <c r="R35" s="104" t="s">
        <v>29</v>
      </c>
      <c r="S35" s="104" t="s">
        <v>29</v>
      </c>
      <c r="T35" s="104" t="s">
        <v>29</v>
      </c>
      <c r="U35" s="104" t="s">
        <v>29</v>
      </c>
      <c r="W35" s="108" t="s">
        <v>138</v>
      </c>
      <c r="X35" s="106">
        <v>0.1241</v>
      </c>
      <c r="Y35" s="106">
        <v>0.13719999999999999</v>
      </c>
      <c r="Z35" s="106">
        <v>0.1037</v>
      </c>
      <c r="AA35" s="106">
        <v>0.12379999999999999</v>
      </c>
      <c r="AB35" s="106">
        <v>7.2099999999999997E-2</v>
      </c>
      <c r="AD35" s="108" t="s">
        <v>201</v>
      </c>
      <c r="AE35" s="109">
        <v>1050</v>
      </c>
      <c r="AF35" s="108">
        <v>906</v>
      </c>
      <c r="AG35" s="108">
        <v>772</v>
      </c>
      <c r="AH35" s="108">
        <v>560</v>
      </c>
      <c r="AI35" s="108">
        <v>473</v>
      </c>
    </row>
    <row r="36" spans="1:35" ht="20" customHeight="1" x14ac:dyDescent="0.2">
      <c r="A36" s="24"/>
      <c r="B36" s="12" t="s">
        <v>25</v>
      </c>
      <c r="C36" s="16">
        <f>C35/C41</f>
        <v>0.75316682172761751</v>
      </c>
      <c r="D36" s="24"/>
      <c r="E36" s="230"/>
      <c r="F36" s="214">
        <f>F37+0.005</f>
        <v>8.2794087661395385E-2</v>
      </c>
      <c r="G36" s="221" t="str">
        <f t="shared" si="17"/>
        <v>-13.0% / $174.35</v>
      </c>
      <c r="H36" s="222" t="str">
        <f t="shared" si="17"/>
        <v>-7.4% / $185.63</v>
      </c>
      <c r="I36" s="222" t="str">
        <f t="shared" si="17"/>
        <v>-0.8% / $198.71</v>
      </c>
      <c r="J36" s="222" t="str">
        <f t="shared" si="17"/>
        <v>6.8% / $214.05</v>
      </c>
      <c r="K36" s="223" t="str">
        <f t="shared" si="17"/>
        <v>15.9% / $232.30</v>
      </c>
      <c r="L36" s="24"/>
      <c r="N36" s="104" t="s">
        <v>32</v>
      </c>
      <c r="O36" s="104"/>
      <c r="P36" s="104"/>
      <c r="Q36" s="104">
        <v>854</v>
      </c>
      <c r="R36" s="104">
        <v>737</v>
      </c>
      <c r="S36" s="104">
        <v>557</v>
      </c>
      <c r="T36" s="104">
        <v>447</v>
      </c>
      <c r="U36" s="104">
        <v>368</v>
      </c>
      <c r="W36" s="236" t="s">
        <v>139</v>
      </c>
      <c r="X36" s="236">
        <v>-149</v>
      </c>
      <c r="Y36" s="236">
        <v>-130</v>
      </c>
      <c r="Z36" s="236">
        <v>-136</v>
      </c>
      <c r="AA36" s="236">
        <v>-185</v>
      </c>
      <c r="AB36" s="236">
        <v>-93</v>
      </c>
      <c r="AD36" s="108" t="s">
        <v>202</v>
      </c>
      <c r="AE36" s="108">
        <v>105</v>
      </c>
      <c r="AF36" s="108">
        <v>96</v>
      </c>
      <c r="AG36" s="108">
        <v>200</v>
      </c>
      <c r="AH36" s="108" t="s">
        <v>29</v>
      </c>
      <c r="AI36" s="108" t="s">
        <v>29</v>
      </c>
    </row>
    <row r="37" spans="1:35" ht="20" customHeight="1" x14ac:dyDescent="0.2">
      <c r="A37" s="24"/>
      <c r="B37" s="20" t="s">
        <v>42</v>
      </c>
      <c r="C37" s="16">
        <f>C38+C39*C40</f>
        <v>8.8100000000000012E-2</v>
      </c>
      <c r="D37" s="24"/>
      <c r="E37" s="230"/>
      <c r="F37" s="215">
        <f>C42</f>
        <v>7.7794087661395381E-2</v>
      </c>
      <c r="G37" s="221" t="str">
        <f t="shared" si="17"/>
        <v>-7.7% / $184.87</v>
      </c>
      <c r="H37" s="222" t="str">
        <f t="shared" si="17"/>
        <v>-1.3% / $197.89</v>
      </c>
      <c r="I37" s="224" t="str">
        <f>TEXT((((((($K$21*(1+I$34))/ABS($F37-I$34))/(1+$C$38)^$K$5)+SUM($H$21:$K$21)-$C$28+$C$27)/$C$30/$G$26)-1),"0.0%")
&amp;" / "&amp;
TEXT((1+(((((($K$21*(1+I$34))/ABS($F37-I$34))/(1+$C$38)^$K$5)+SUM($H$21:$K$21)-$C$28+$C$27)/$C$30/$G$26)-1))*$G$26,"$0.00")</f>
        <v>6.4% / $213.16</v>
      </c>
      <c r="J37" s="222" t="str">
        <f t="shared" si="17"/>
        <v>15.4% / $231.33</v>
      </c>
      <c r="K37" s="223" t="str">
        <f t="shared" si="17"/>
        <v>26.4% / $253.29</v>
      </c>
      <c r="L37" s="24"/>
      <c r="N37" s="104" t="s">
        <v>92</v>
      </c>
      <c r="O37" s="106"/>
      <c r="P37" s="106"/>
      <c r="Q37" s="106">
        <v>0.1588</v>
      </c>
      <c r="R37" s="106">
        <v>0.32269999999999999</v>
      </c>
      <c r="S37" s="106">
        <v>0.24709999999999999</v>
      </c>
      <c r="T37" s="106">
        <v>0.2155</v>
      </c>
      <c r="U37" s="104" t="s">
        <v>29</v>
      </c>
      <c r="W37" s="236"/>
      <c r="X37" s="236"/>
      <c r="Y37" s="236"/>
      <c r="Z37" s="236"/>
      <c r="AA37" s="236"/>
      <c r="AB37" s="236"/>
      <c r="AD37" s="108" t="s">
        <v>203</v>
      </c>
      <c r="AE37" s="108">
        <v>105</v>
      </c>
      <c r="AF37" s="108">
        <v>96</v>
      </c>
      <c r="AG37" s="108">
        <v>100</v>
      </c>
      <c r="AH37" s="108" t="s">
        <v>29</v>
      </c>
      <c r="AI37" s="108" t="s">
        <v>29</v>
      </c>
    </row>
    <row r="38" spans="1:35" ht="20" customHeight="1" x14ac:dyDescent="0.2">
      <c r="A38" s="24"/>
      <c r="B38" s="12" t="s">
        <v>26</v>
      </c>
      <c r="C38" s="16">
        <v>0.05</v>
      </c>
      <c r="D38" s="181" t="s">
        <v>280</v>
      </c>
      <c r="E38" s="230"/>
      <c r="F38" s="214">
        <f>F37-0.005</f>
        <v>7.2794087661395376E-2</v>
      </c>
      <c r="G38" s="221" t="str">
        <f t="shared" si="17"/>
        <v>-1.7% / $197.07</v>
      </c>
      <c r="H38" s="222" t="str">
        <f t="shared" si="17"/>
        <v>5.9% / $212.27</v>
      </c>
      <c r="I38" s="222" t="str">
        <f t="shared" si="17"/>
        <v>14.9% / $230.35</v>
      </c>
      <c r="J38" s="222" t="str">
        <f t="shared" si="17"/>
        <v>25.9% / $252.22</v>
      </c>
      <c r="K38" s="223" t="str">
        <f t="shared" si="17"/>
        <v>39.3% / $279.19</v>
      </c>
      <c r="L38" s="24"/>
      <c r="N38" s="229" t="s">
        <v>93</v>
      </c>
      <c r="O38" s="106"/>
      <c r="P38" s="104"/>
      <c r="Q38" s="106">
        <v>0.1021</v>
      </c>
      <c r="R38" s="104" t="s">
        <v>29</v>
      </c>
      <c r="S38" s="104" t="s">
        <v>29</v>
      </c>
      <c r="T38" s="104" t="s">
        <v>29</v>
      </c>
      <c r="U38" s="104" t="s">
        <v>29</v>
      </c>
      <c r="W38" s="236" t="s">
        <v>140</v>
      </c>
      <c r="X38" s="236">
        <v>-149</v>
      </c>
      <c r="Y38" s="236">
        <v>-130</v>
      </c>
      <c r="Z38" s="236">
        <v>-136</v>
      </c>
      <c r="AA38" s="236">
        <v>-185</v>
      </c>
      <c r="AB38" s="236">
        <v>-93</v>
      </c>
      <c r="AD38" s="108" t="s">
        <v>204</v>
      </c>
      <c r="AE38" s="108" t="s">
        <v>29</v>
      </c>
      <c r="AF38" s="108" t="s">
        <v>29</v>
      </c>
      <c r="AG38" s="108">
        <v>100</v>
      </c>
      <c r="AH38" s="108" t="s">
        <v>29</v>
      </c>
      <c r="AI38" s="108" t="s">
        <v>29</v>
      </c>
    </row>
    <row r="39" spans="1:35" ht="20" customHeight="1" x14ac:dyDescent="0.2">
      <c r="A39" s="24"/>
      <c r="B39" s="12" t="s">
        <v>27</v>
      </c>
      <c r="C39" s="17">
        <v>1.27</v>
      </c>
      <c r="D39" s="180"/>
      <c r="E39" s="230"/>
      <c r="F39" s="214">
        <f>F38-0.005</f>
        <v>6.7794087661395372E-2</v>
      </c>
      <c r="G39" s="225" t="str">
        <f t="shared" si="17"/>
        <v>5.5% / $211.38</v>
      </c>
      <c r="H39" s="226" t="str">
        <f t="shared" si="17"/>
        <v>14.5% / $229.38</v>
      </c>
      <c r="I39" s="226" t="str">
        <f t="shared" si="17"/>
        <v>25.3% / $251.14</v>
      </c>
      <c r="J39" s="226" t="str">
        <f t="shared" si="17"/>
        <v>38.7% / $277.99</v>
      </c>
      <c r="K39" s="227" t="str">
        <f t="shared" si="17"/>
        <v>55.7% / $311.94</v>
      </c>
      <c r="L39" s="24"/>
      <c r="N39" s="104" t="s">
        <v>67</v>
      </c>
      <c r="O39" s="104"/>
      <c r="P39" s="104"/>
      <c r="Q39" s="104">
        <v>213</v>
      </c>
      <c r="R39" s="104">
        <v>172</v>
      </c>
      <c r="S39" s="104">
        <v>145</v>
      </c>
      <c r="T39" s="104">
        <v>120</v>
      </c>
      <c r="U39" s="104">
        <v>76</v>
      </c>
      <c r="W39" s="236"/>
      <c r="X39" s="236"/>
      <c r="Y39" s="236"/>
      <c r="Z39" s="236"/>
      <c r="AA39" s="236"/>
      <c r="AB39" s="236"/>
      <c r="AD39" s="108" t="s">
        <v>205</v>
      </c>
      <c r="AE39" s="108">
        <v>162</v>
      </c>
      <c r="AF39" s="108">
        <v>153</v>
      </c>
      <c r="AG39" s="108">
        <v>101</v>
      </c>
      <c r="AH39" s="108">
        <v>109</v>
      </c>
      <c r="AI39" s="108" t="s">
        <v>29</v>
      </c>
    </row>
    <row r="40" spans="1:35" ht="15" customHeight="1" x14ac:dyDescent="0.2">
      <c r="A40" s="24"/>
      <c r="B40" s="20" t="s">
        <v>281</v>
      </c>
      <c r="C40" s="16">
        <f>D40-C38</f>
        <v>0.03</v>
      </c>
      <c r="D40" s="33">
        <v>0.08</v>
      </c>
      <c r="E40" s="160"/>
      <c r="F40" s="24"/>
      <c r="G40" s="24"/>
      <c r="H40" s="24"/>
      <c r="I40" s="24"/>
      <c r="J40" s="24"/>
      <c r="K40" s="24"/>
      <c r="L40" s="24"/>
      <c r="N40" s="234" t="s">
        <v>94</v>
      </c>
      <c r="O40" s="234"/>
      <c r="P40" s="234"/>
      <c r="Q40" s="234">
        <v>40</v>
      </c>
      <c r="R40" s="234">
        <v>-54</v>
      </c>
      <c r="S40" s="234">
        <v>23</v>
      </c>
      <c r="T40" s="234">
        <v>6</v>
      </c>
      <c r="U40" s="234">
        <v>13</v>
      </c>
      <c r="W40" s="108" t="s">
        <v>141</v>
      </c>
      <c r="X40" s="108" t="s">
        <v>29</v>
      </c>
      <c r="Y40" s="108" t="s">
        <v>29</v>
      </c>
      <c r="Z40" s="108" t="s">
        <v>29</v>
      </c>
      <c r="AA40" s="108" t="s">
        <v>29</v>
      </c>
      <c r="AB40" s="108" t="s">
        <v>29</v>
      </c>
      <c r="AD40" s="108" t="s">
        <v>206</v>
      </c>
      <c r="AE40" s="109">
        <v>11910</v>
      </c>
      <c r="AF40" s="109">
        <v>12292</v>
      </c>
      <c r="AG40" s="109">
        <v>12354</v>
      </c>
      <c r="AH40" s="109">
        <v>12465</v>
      </c>
      <c r="AI40" s="109">
        <v>3526</v>
      </c>
    </row>
    <row r="41" spans="1:35" ht="15" customHeight="1" x14ac:dyDescent="0.2">
      <c r="A41" s="24"/>
      <c r="B41" s="12" t="s">
        <v>28</v>
      </c>
      <c r="C41" s="18">
        <f>C28+C35</f>
        <v>13973</v>
      </c>
      <c r="D41" s="24"/>
      <c r="E41" s="24"/>
      <c r="F41" s="24"/>
      <c r="G41" s="24"/>
      <c r="H41" s="24"/>
      <c r="I41" s="24"/>
      <c r="J41" s="24"/>
      <c r="K41" s="24"/>
      <c r="L41" s="24"/>
      <c r="N41" s="234"/>
      <c r="O41" s="234"/>
      <c r="P41" s="234"/>
      <c r="Q41" s="234"/>
      <c r="R41" s="234"/>
      <c r="S41" s="234"/>
      <c r="T41" s="234"/>
      <c r="U41" s="234"/>
      <c r="W41" s="236" t="s">
        <v>142</v>
      </c>
      <c r="X41" s="233">
        <v>-0.1462</v>
      </c>
      <c r="Y41" s="232">
        <v>4.6899999999999997E-2</v>
      </c>
      <c r="Z41" s="232">
        <v>0.26390000000000002</v>
      </c>
      <c r="AA41" s="233">
        <v>-0.98599999999999999</v>
      </c>
      <c r="AB41" s="236" t="s">
        <v>29</v>
      </c>
      <c r="AD41" s="108" t="s">
        <v>207</v>
      </c>
      <c r="AE41" s="109">
        <v>8508</v>
      </c>
      <c r="AF41" s="109">
        <v>8587</v>
      </c>
      <c r="AG41" s="109">
        <v>8485</v>
      </c>
      <c r="AH41" s="109">
        <v>8361</v>
      </c>
      <c r="AI41" s="109">
        <v>2397</v>
      </c>
    </row>
    <row r="42" spans="1:35" ht="15" customHeight="1" x14ac:dyDescent="0.2">
      <c r="A42" s="24"/>
      <c r="B42" s="19" t="s">
        <v>41</v>
      </c>
      <c r="C42" s="22">
        <f>(C36*C37)+(C32*C33*(1-C34))</f>
        <v>7.7794087661395381E-2</v>
      </c>
      <c r="D42" s="24" t="s">
        <v>286</v>
      </c>
      <c r="E42" s="24"/>
      <c r="G42" s="24"/>
      <c r="H42" s="24"/>
      <c r="I42" s="24"/>
      <c r="J42" s="24"/>
      <c r="K42" s="24"/>
      <c r="L42" s="24"/>
      <c r="N42" s="104" t="s">
        <v>95</v>
      </c>
      <c r="O42" s="104"/>
      <c r="P42" s="104"/>
      <c r="Q42" s="104">
        <v>137</v>
      </c>
      <c r="R42" s="104">
        <v>138</v>
      </c>
      <c r="S42" s="104">
        <v>92</v>
      </c>
      <c r="T42" s="104">
        <v>141</v>
      </c>
      <c r="U42" s="104">
        <v>68</v>
      </c>
      <c r="W42" s="236"/>
      <c r="X42" s="233"/>
      <c r="Y42" s="232"/>
      <c r="Z42" s="232"/>
      <c r="AA42" s="233"/>
      <c r="AB42" s="236"/>
      <c r="AD42" s="108" t="s">
        <v>208</v>
      </c>
      <c r="AE42" s="109">
        <v>3402</v>
      </c>
      <c r="AF42" s="109">
        <v>3705</v>
      </c>
      <c r="AG42" s="109">
        <v>3869</v>
      </c>
      <c r="AH42" s="109">
        <v>4104</v>
      </c>
      <c r="AI42" s="109">
        <v>1130</v>
      </c>
    </row>
    <row r="43" spans="1:35" ht="15" customHeight="1" x14ac:dyDescent="0.2">
      <c r="A43" s="24"/>
      <c r="B43" s="14" t="s">
        <v>3</v>
      </c>
      <c r="C43" s="22">
        <v>0.02</v>
      </c>
      <c r="E43" s="24"/>
      <c r="F43" s="24"/>
      <c r="G43" s="24"/>
      <c r="H43" s="24"/>
      <c r="I43" s="24"/>
      <c r="J43" s="24"/>
      <c r="K43" s="24"/>
      <c r="L43" s="24"/>
      <c r="M43" s="179"/>
      <c r="N43" s="104" t="s">
        <v>96</v>
      </c>
      <c r="O43" s="104"/>
      <c r="P43" s="104"/>
      <c r="Q43" s="104">
        <v>29</v>
      </c>
      <c r="R43" s="104">
        <v>97</v>
      </c>
      <c r="S43" s="104">
        <v>35</v>
      </c>
      <c r="T43" s="104">
        <v>23</v>
      </c>
      <c r="U43" s="104">
        <v>6</v>
      </c>
      <c r="W43" s="236" t="s">
        <v>143</v>
      </c>
      <c r="X43" s="233">
        <v>-1.78E-2</v>
      </c>
      <c r="Y43" s="233">
        <v>-1.66E-2</v>
      </c>
      <c r="Z43" s="233">
        <v>-1.8100000000000002E-2</v>
      </c>
      <c r="AA43" s="233">
        <v>-2.2599999999999999E-2</v>
      </c>
      <c r="AB43" s="233">
        <v>-2.1399999999999999E-2</v>
      </c>
      <c r="AD43" s="108" t="s">
        <v>209</v>
      </c>
      <c r="AE43" s="108">
        <v>583</v>
      </c>
      <c r="AF43" s="108">
        <v>584</v>
      </c>
      <c r="AG43" s="108">
        <v>418</v>
      </c>
      <c r="AH43" s="108">
        <v>522</v>
      </c>
      <c r="AI43" s="108">
        <v>109</v>
      </c>
    </row>
    <row r="44" spans="1:35" ht="15" customHeight="1" x14ac:dyDescent="0.2">
      <c r="A44" s="24"/>
      <c r="B44" s="24"/>
      <c r="C44" s="30"/>
      <c r="D44" s="24"/>
      <c r="E44" s="24"/>
      <c r="F44" s="24"/>
      <c r="G44" s="24"/>
      <c r="H44" s="24"/>
      <c r="I44" s="24"/>
      <c r="J44" s="24"/>
      <c r="K44" s="24"/>
      <c r="L44" s="24"/>
      <c r="M44" s="179"/>
      <c r="N44" s="234" t="s">
        <v>97</v>
      </c>
      <c r="O44" s="234"/>
      <c r="P44" s="234"/>
      <c r="Q44" s="234">
        <v>7</v>
      </c>
      <c r="R44" s="234">
        <v>-9</v>
      </c>
      <c r="S44" s="234">
        <v>-5</v>
      </c>
      <c r="T44" s="234">
        <v>-50</v>
      </c>
      <c r="U44" s="234">
        <v>-11</v>
      </c>
      <c r="W44" s="236"/>
      <c r="X44" s="233"/>
      <c r="Y44" s="233"/>
      <c r="Z44" s="233"/>
      <c r="AA44" s="233"/>
      <c r="AB44" s="233"/>
      <c r="AD44" s="108" t="s">
        <v>210</v>
      </c>
      <c r="AE44" s="108" t="s">
        <v>29</v>
      </c>
      <c r="AF44" s="108" t="s">
        <v>29</v>
      </c>
      <c r="AG44" s="108" t="s">
        <v>29</v>
      </c>
      <c r="AH44" s="108" t="s">
        <v>29</v>
      </c>
      <c r="AI44" s="108" t="s">
        <v>29</v>
      </c>
    </row>
    <row r="45" spans="1:35" ht="15" customHeight="1" x14ac:dyDescent="0.2">
      <c r="A45" s="24"/>
      <c r="L45" s="24"/>
      <c r="N45" s="234"/>
      <c r="O45" s="234"/>
      <c r="P45" s="234"/>
      <c r="Q45" s="234"/>
      <c r="R45" s="234"/>
      <c r="S45" s="234"/>
      <c r="T45" s="234"/>
      <c r="U45" s="234"/>
      <c r="W45" s="236" t="s">
        <v>144</v>
      </c>
      <c r="X45" s="236">
        <v>-89</v>
      </c>
      <c r="Y45" s="236">
        <v>-435</v>
      </c>
      <c r="Z45" s="236">
        <v>-40</v>
      </c>
      <c r="AA45" s="238">
        <v>-2996</v>
      </c>
      <c r="AB45" s="236">
        <v>-51</v>
      </c>
      <c r="AD45" s="108" t="s">
        <v>211</v>
      </c>
      <c r="AE45" s="108">
        <v>583</v>
      </c>
      <c r="AF45" s="108">
        <v>584</v>
      </c>
      <c r="AG45" s="108">
        <v>418</v>
      </c>
      <c r="AH45" s="108">
        <v>522</v>
      </c>
      <c r="AI45" s="108">
        <v>109</v>
      </c>
    </row>
    <row r="46" spans="1:35" ht="15" customHeight="1" x14ac:dyDescent="0.2">
      <c r="C46" s="15"/>
      <c r="N46" s="104" t="s">
        <v>98</v>
      </c>
      <c r="O46" s="104"/>
      <c r="P46" s="104"/>
      <c r="Q46" s="104" t="s">
        <v>29</v>
      </c>
      <c r="R46" s="104" t="s">
        <v>29</v>
      </c>
      <c r="S46" s="104" t="s">
        <v>29</v>
      </c>
      <c r="T46" s="104" t="s">
        <v>29</v>
      </c>
      <c r="U46" s="104" t="s">
        <v>29</v>
      </c>
      <c r="W46" s="236"/>
      <c r="X46" s="236"/>
      <c r="Y46" s="236"/>
      <c r="Z46" s="236"/>
      <c r="AA46" s="238"/>
      <c r="AB46" s="236"/>
      <c r="AD46" s="108" t="s">
        <v>212</v>
      </c>
      <c r="AE46" s="109">
        <v>18516</v>
      </c>
      <c r="AF46" s="109">
        <v>18454</v>
      </c>
      <c r="AG46" s="109">
        <v>18455</v>
      </c>
      <c r="AH46" s="109">
        <v>18944</v>
      </c>
      <c r="AI46" s="109">
        <v>8649</v>
      </c>
    </row>
    <row r="47" spans="1:35" ht="15" customHeight="1" x14ac:dyDescent="0.2">
      <c r="N47" s="104" t="s">
        <v>99</v>
      </c>
      <c r="O47" s="104"/>
      <c r="P47" s="104"/>
      <c r="Q47" s="104" t="s">
        <v>29</v>
      </c>
      <c r="R47" s="104" t="s">
        <v>29</v>
      </c>
      <c r="S47" s="104" t="s">
        <v>29</v>
      </c>
      <c r="T47" s="104" t="s">
        <v>29</v>
      </c>
      <c r="U47" s="104" t="s">
        <v>29</v>
      </c>
      <c r="W47" s="108" t="s">
        <v>145</v>
      </c>
      <c r="X47" s="108">
        <v>3</v>
      </c>
      <c r="Y47" s="108">
        <v>25</v>
      </c>
      <c r="Z47" s="108">
        <v>21</v>
      </c>
      <c r="AA47" s="108">
        <v>4</v>
      </c>
      <c r="AB47" s="108">
        <v>11</v>
      </c>
      <c r="AD47" s="236" t="s">
        <v>213</v>
      </c>
      <c r="AE47" s="232">
        <v>3.3999999999999998E-3</v>
      </c>
      <c r="AF47" s="233">
        <v>0</v>
      </c>
      <c r="AG47" s="233">
        <v>-2.58E-2</v>
      </c>
      <c r="AH47" s="232">
        <v>1.1902999999999999</v>
      </c>
      <c r="AI47" s="236" t="s">
        <v>29</v>
      </c>
    </row>
    <row r="48" spans="1:35" ht="15" customHeight="1" x14ac:dyDescent="0.2">
      <c r="N48" s="234" t="s">
        <v>100</v>
      </c>
      <c r="O48" s="234"/>
      <c r="P48" s="234"/>
      <c r="Q48" s="234" t="s">
        <v>29</v>
      </c>
      <c r="R48" s="234">
        <v>-2</v>
      </c>
      <c r="S48" s="234">
        <v>-1</v>
      </c>
      <c r="T48" s="234">
        <v>-1</v>
      </c>
      <c r="U48" s="234">
        <v>-1</v>
      </c>
      <c r="W48" s="108" t="s">
        <v>146</v>
      </c>
      <c r="X48" s="108" t="s">
        <v>29</v>
      </c>
      <c r="Y48" s="108" t="s">
        <v>29</v>
      </c>
      <c r="Z48" s="108" t="s">
        <v>29</v>
      </c>
      <c r="AA48" s="108" t="s">
        <v>29</v>
      </c>
      <c r="AB48" s="108" t="s">
        <v>29</v>
      </c>
      <c r="AD48" s="236"/>
      <c r="AE48" s="232"/>
      <c r="AF48" s="233"/>
      <c r="AG48" s="233"/>
      <c r="AH48" s="232"/>
      <c r="AI48" s="236"/>
    </row>
    <row r="49" spans="14:35" ht="15" customHeight="1" x14ac:dyDescent="0.2">
      <c r="N49" s="234"/>
      <c r="O49" s="234"/>
      <c r="P49" s="234"/>
      <c r="Q49" s="234"/>
      <c r="R49" s="234"/>
      <c r="S49" s="234"/>
      <c r="T49" s="234"/>
      <c r="U49" s="234"/>
      <c r="W49" s="108" t="s">
        <v>147</v>
      </c>
      <c r="X49" s="108" t="s">
        <v>29</v>
      </c>
      <c r="Y49" s="108" t="s">
        <v>29</v>
      </c>
      <c r="Z49" s="108" t="s">
        <v>29</v>
      </c>
      <c r="AA49" s="108" t="s">
        <v>29</v>
      </c>
      <c r="AB49" s="108" t="s">
        <v>29</v>
      </c>
      <c r="AD49" s="108" t="s">
        <v>214</v>
      </c>
      <c r="AE49" s="112">
        <v>0.45</v>
      </c>
      <c r="AF49" s="108" t="s">
        <v>29</v>
      </c>
      <c r="AG49" s="108" t="s">
        <v>29</v>
      </c>
      <c r="AH49" s="108" t="s">
        <v>29</v>
      </c>
      <c r="AI49" s="108" t="s">
        <v>29</v>
      </c>
    </row>
    <row r="50" spans="14:35" ht="15" customHeight="1" x14ac:dyDescent="0.2">
      <c r="N50" s="104" t="s">
        <v>101</v>
      </c>
      <c r="O50" s="104"/>
      <c r="P50" s="104"/>
      <c r="Q50" s="104">
        <v>641</v>
      </c>
      <c r="R50" s="104">
        <v>563</v>
      </c>
      <c r="S50" s="104">
        <v>411</v>
      </c>
      <c r="T50" s="104">
        <v>326</v>
      </c>
      <c r="U50" s="104">
        <v>291</v>
      </c>
      <c r="W50" s="108" t="s">
        <v>148</v>
      </c>
      <c r="X50" s="108" t="s">
        <v>29</v>
      </c>
      <c r="Y50" s="108" t="s">
        <v>29</v>
      </c>
      <c r="Z50" s="108" t="s">
        <v>29</v>
      </c>
      <c r="AA50" s="108" t="s">
        <v>29</v>
      </c>
      <c r="AB50" s="108" t="s">
        <v>29</v>
      </c>
      <c r="AD50" s="108" t="s">
        <v>215</v>
      </c>
      <c r="AE50" s="106">
        <v>3.4200000000000001E-2</v>
      </c>
      <c r="AF50" s="108" t="s">
        <v>29</v>
      </c>
      <c r="AG50" s="108" t="s">
        <v>29</v>
      </c>
      <c r="AH50" s="108" t="s">
        <v>29</v>
      </c>
      <c r="AI50" s="108" t="s">
        <v>29</v>
      </c>
    </row>
    <row r="51" spans="14:35" ht="16" customHeight="1" x14ac:dyDescent="0.2">
      <c r="N51" s="234" t="s">
        <v>102</v>
      </c>
      <c r="O51" s="234"/>
      <c r="P51" s="234"/>
      <c r="Q51" s="234">
        <v>8</v>
      </c>
      <c r="R51" s="234">
        <v>7</v>
      </c>
      <c r="S51" s="234">
        <v>-2</v>
      </c>
      <c r="T51" s="234">
        <v>0</v>
      </c>
      <c r="U51" s="234">
        <v>-3</v>
      </c>
      <c r="W51" s="236" t="s">
        <v>149</v>
      </c>
      <c r="X51" s="236" t="s">
        <v>29</v>
      </c>
      <c r="Y51" s="236" t="s">
        <v>29</v>
      </c>
      <c r="Z51" s="236" t="s">
        <v>29</v>
      </c>
      <c r="AA51" s="236" t="s">
        <v>29</v>
      </c>
      <c r="AB51" s="236">
        <v>-14</v>
      </c>
      <c r="AD51" s="108" t="s">
        <v>216</v>
      </c>
      <c r="AE51" s="108">
        <v>312</v>
      </c>
      <c r="AF51" s="108">
        <v>62</v>
      </c>
      <c r="AG51" s="108">
        <v>504</v>
      </c>
      <c r="AH51" s="108">
        <v>150</v>
      </c>
      <c r="AI51" s="108">
        <v>64</v>
      </c>
    </row>
    <row r="52" spans="14:35" ht="15" customHeight="1" x14ac:dyDescent="0.2">
      <c r="N52" s="234"/>
      <c r="O52" s="234"/>
      <c r="P52" s="234"/>
      <c r="Q52" s="234"/>
      <c r="R52" s="234"/>
      <c r="S52" s="234"/>
      <c r="T52" s="234"/>
      <c r="U52" s="234"/>
      <c r="W52" s="236"/>
      <c r="X52" s="236"/>
      <c r="Y52" s="236"/>
      <c r="Z52" s="236"/>
      <c r="AA52" s="236"/>
      <c r="AB52" s="236"/>
      <c r="AD52" s="108" t="s">
        <v>217</v>
      </c>
      <c r="AE52" s="108">
        <v>61</v>
      </c>
      <c r="AF52" s="108">
        <v>60</v>
      </c>
      <c r="AG52" s="108">
        <v>56</v>
      </c>
      <c r="AH52" s="108">
        <v>54</v>
      </c>
      <c r="AI52" s="108" t="s">
        <v>29</v>
      </c>
    </row>
    <row r="53" spans="14:35" ht="15" customHeight="1" x14ac:dyDescent="0.2">
      <c r="N53" s="104" t="s">
        <v>33</v>
      </c>
      <c r="O53" s="104"/>
      <c r="P53" s="104"/>
      <c r="Q53" s="104">
        <v>633</v>
      </c>
      <c r="R53" s="104">
        <v>556</v>
      </c>
      <c r="S53" s="104">
        <v>413</v>
      </c>
      <c r="T53" s="104">
        <v>326</v>
      </c>
      <c r="U53" s="104">
        <v>294</v>
      </c>
      <c r="W53" s="108" t="s">
        <v>150</v>
      </c>
      <c r="X53" s="108" t="s">
        <v>29</v>
      </c>
      <c r="Y53" s="108" t="s">
        <v>29</v>
      </c>
      <c r="Z53" s="108" t="s">
        <v>29</v>
      </c>
      <c r="AA53" s="108" t="s">
        <v>29</v>
      </c>
      <c r="AB53" s="108" t="s">
        <v>29</v>
      </c>
      <c r="AD53" s="108" t="s">
        <v>218</v>
      </c>
      <c r="AE53" s="108">
        <v>251</v>
      </c>
      <c r="AF53" s="108">
        <v>2</v>
      </c>
      <c r="AG53" s="108">
        <v>447</v>
      </c>
      <c r="AH53" s="108">
        <v>96</v>
      </c>
      <c r="AI53" s="108">
        <v>64</v>
      </c>
    </row>
    <row r="54" spans="14:35" ht="15" customHeight="1" x14ac:dyDescent="0.2">
      <c r="N54" s="104" t="s">
        <v>68</v>
      </c>
      <c r="O54" s="106"/>
      <c r="P54" s="106"/>
      <c r="Q54" s="106">
        <v>0.13850000000000001</v>
      </c>
      <c r="R54" s="106">
        <v>0.34560000000000002</v>
      </c>
      <c r="S54" s="106">
        <v>0.26869999999999999</v>
      </c>
      <c r="T54" s="106">
        <v>0.1075</v>
      </c>
      <c r="U54" s="104" t="s">
        <v>29</v>
      </c>
      <c r="W54" s="236" t="s">
        <v>151</v>
      </c>
      <c r="X54" s="236">
        <v>-235</v>
      </c>
      <c r="Y54" s="236">
        <v>-540</v>
      </c>
      <c r="Z54" s="236">
        <v>-155</v>
      </c>
      <c r="AA54" s="238">
        <v>-3178</v>
      </c>
      <c r="AB54" s="236">
        <v>-147</v>
      </c>
      <c r="AD54" s="108" t="s">
        <v>132</v>
      </c>
      <c r="AE54" s="109">
        <v>1301</v>
      </c>
      <c r="AF54" s="109">
        <v>1012</v>
      </c>
      <c r="AG54" s="108">
        <v>909</v>
      </c>
      <c r="AH54" s="109">
        <v>1158</v>
      </c>
      <c r="AI54" s="108">
        <v>589</v>
      </c>
    </row>
    <row r="55" spans="14:35" ht="15" customHeight="1" x14ac:dyDescent="0.2">
      <c r="N55" s="104" t="s">
        <v>103</v>
      </c>
      <c r="O55" s="106"/>
      <c r="P55" s="104"/>
      <c r="Q55" s="106">
        <v>7.5700000000000003E-2</v>
      </c>
      <c r="R55" s="104" t="s">
        <v>29</v>
      </c>
      <c r="S55" s="104" t="s">
        <v>29</v>
      </c>
      <c r="T55" s="104" t="s">
        <v>29</v>
      </c>
      <c r="U55" s="104" t="s">
        <v>29</v>
      </c>
      <c r="W55" s="236"/>
      <c r="X55" s="236"/>
      <c r="Y55" s="236"/>
      <c r="Z55" s="236"/>
      <c r="AA55" s="238"/>
      <c r="AB55" s="236"/>
      <c r="AD55" s="236" t="s">
        <v>219</v>
      </c>
      <c r="AE55" s="232">
        <v>0.28560000000000002</v>
      </c>
      <c r="AF55" s="232">
        <v>0.1128</v>
      </c>
      <c r="AG55" s="233">
        <v>-0.21429999999999999</v>
      </c>
      <c r="AH55" s="232">
        <v>0.9637</v>
      </c>
      <c r="AI55" s="236" t="s">
        <v>29</v>
      </c>
    </row>
    <row r="56" spans="14:35" ht="15" customHeight="1" x14ac:dyDescent="0.2">
      <c r="N56" s="104" t="s">
        <v>104</v>
      </c>
      <c r="O56" s="104"/>
      <c r="P56" s="104"/>
      <c r="Q56" s="104" t="s">
        <v>29</v>
      </c>
      <c r="R56" s="104" t="s">
        <v>29</v>
      </c>
      <c r="S56" s="104" t="s">
        <v>29</v>
      </c>
      <c r="T56" s="104" t="s">
        <v>29</v>
      </c>
      <c r="U56" s="104" t="s">
        <v>29</v>
      </c>
      <c r="W56" s="236" t="s">
        <v>152</v>
      </c>
      <c r="X56" s="232">
        <v>0.56479999999999997</v>
      </c>
      <c r="Y56" s="233">
        <v>-2.4748999999999999</v>
      </c>
      <c r="Z56" s="232">
        <v>0.95109999999999995</v>
      </c>
      <c r="AA56" s="233">
        <v>-20.575600000000001</v>
      </c>
      <c r="AB56" s="236" t="s">
        <v>29</v>
      </c>
      <c r="AD56" s="236"/>
      <c r="AE56" s="232"/>
      <c r="AF56" s="232"/>
      <c r="AG56" s="233"/>
      <c r="AH56" s="232"/>
      <c r="AI56" s="236"/>
    </row>
    <row r="57" spans="14:35" ht="15" customHeight="1" x14ac:dyDescent="0.2">
      <c r="N57" s="104" t="s">
        <v>105</v>
      </c>
      <c r="O57" s="104"/>
      <c r="P57" s="104"/>
      <c r="Q57" s="104" t="s">
        <v>29</v>
      </c>
      <c r="R57" s="104" t="s">
        <v>29</v>
      </c>
      <c r="S57" s="104" t="s">
        <v>29</v>
      </c>
      <c r="T57" s="104" t="s">
        <v>29</v>
      </c>
      <c r="U57" s="104" t="s">
        <v>29</v>
      </c>
      <c r="W57" s="236"/>
      <c r="X57" s="232"/>
      <c r="Y57" s="233"/>
      <c r="Z57" s="232"/>
      <c r="AA57" s="233"/>
      <c r="AB57" s="236"/>
      <c r="AD57" s="108" t="s">
        <v>220</v>
      </c>
      <c r="AE57" s="109">
        <v>1854</v>
      </c>
      <c r="AF57" s="109">
        <v>1836</v>
      </c>
      <c r="AG57" s="109">
        <v>1813</v>
      </c>
      <c r="AH57" s="109">
        <v>1951</v>
      </c>
      <c r="AI57" s="108">
        <v>993</v>
      </c>
    </row>
    <row r="58" spans="14:35" ht="15" customHeight="1" x14ac:dyDescent="0.2">
      <c r="N58" s="104" t="s">
        <v>106</v>
      </c>
      <c r="O58" s="104"/>
      <c r="P58" s="104"/>
      <c r="Q58" s="104" t="s">
        <v>29</v>
      </c>
      <c r="R58" s="104" t="s">
        <v>29</v>
      </c>
      <c r="S58" s="104" t="s">
        <v>29</v>
      </c>
      <c r="T58" s="104" t="s">
        <v>29</v>
      </c>
      <c r="U58" s="104" t="s">
        <v>29</v>
      </c>
      <c r="W58" s="236" t="s">
        <v>153</v>
      </c>
      <c r="X58" s="233">
        <v>-2.81E-2</v>
      </c>
      <c r="Y58" s="233">
        <v>-6.9000000000000006E-2</v>
      </c>
      <c r="Z58" s="233">
        <v>-2.06E-2</v>
      </c>
      <c r="AA58" s="233">
        <v>-0.38750000000000001</v>
      </c>
      <c r="AB58" s="233">
        <v>-3.3799999999999997E-2</v>
      </c>
      <c r="AD58" s="108" t="s">
        <v>221</v>
      </c>
      <c r="AE58" s="108" t="s">
        <v>29</v>
      </c>
      <c r="AF58" s="108" t="s">
        <v>29</v>
      </c>
      <c r="AG58" s="108" t="s">
        <v>29</v>
      </c>
      <c r="AH58" s="108" t="s">
        <v>29</v>
      </c>
      <c r="AI58" s="108" t="s">
        <v>29</v>
      </c>
    </row>
    <row r="59" spans="14:35" ht="15" customHeight="1" x14ac:dyDescent="0.2">
      <c r="N59" s="104" t="s">
        <v>107</v>
      </c>
      <c r="O59" s="104"/>
      <c r="P59" s="104"/>
      <c r="Q59" s="104" t="s">
        <v>29</v>
      </c>
      <c r="R59" s="104" t="s">
        <v>29</v>
      </c>
      <c r="S59" s="104" t="s">
        <v>29</v>
      </c>
      <c r="T59" s="104" t="s">
        <v>29</v>
      </c>
      <c r="U59" s="104" t="s">
        <v>29</v>
      </c>
      <c r="W59" s="236"/>
      <c r="X59" s="233"/>
      <c r="Y59" s="233"/>
      <c r="Z59" s="233"/>
      <c r="AA59" s="233"/>
      <c r="AB59" s="233"/>
      <c r="AD59" s="108" t="s">
        <v>222</v>
      </c>
      <c r="AE59" s="108">
        <v>300</v>
      </c>
      <c r="AF59" s="108">
        <v>335</v>
      </c>
      <c r="AG59" s="108">
        <v>242</v>
      </c>
      <c r="AH59" s="108">
        <v>344</v>
      </c>
      <c r="AI59" s="108">
        <v>173</v>
      </c>
    </row>
    <row r="60" spans="14:35" ht="15" customHeight="1" x14ac:dyDescent="0.2">
      <c r="N60" s="104" t="s">
        <v>108</v>
      </c>
      <c r="O60" s="104"/>
      <c r="P60" s="104"/>
      <c r="Q60" s="104">
        <v>633</v>
      </c>
      <c r="R60" s="104">
        <v>556</v>
      </c>
      <c r="S60" s="104">
        <v>413</v>
      </c>
      <c r="T60" s="104">
        <v>326</v>
      </c>
      <c r="U60" s="104">
        <v>294</v>
      </c>
      <c r="W60" s="236" t="s">
        <v>154</v>
      </c>
      <c r="X60" s="236">
        <v>-111</v>
      </c>
      <c r="Y60" s="236">
        <v>-92</v>
      </c>
      <c r="Z60" s="236">
        <v>-93</v>
      </c>
      <c r="AA60" s="236">
        <v>-82</v>
      </c>
      <c r="AB60" s="236">
        <v>-46</v>
      </c>
      <c r="AD60" s="108" t="s">
        <v>223</v>
      </c>
      <c r="AE60" s="109">
        <v>1554</v>
      </c>
      <c r="AF60" s="109">
        <v>1501</v>
      </c>
      <c r="AG60" s="109">
        <v>1571</v>
      </c>
      <c r="AH60" s="109">
        <v>1607</v>
      </c>
      <c r="AI60" s="108">
        <v>820</v>
      </c>
    </row>
    <row r="61" spans="14:35" ht="15" customHeight="1" x14ac:dyDescent="0.2">
      <c r="N61" s="104" t="s">
        <v>69</v>
      </c>
      <c r="O61" s="104"/>
      <c r="P61" s="104"/>
      <c r="Q61" s="104" t="s">
        <v>29</v>
      </c>
      <c r="R61" s="104" t="s">
        <v>29</v>
      </c>
      <c r="S61" s="104" t="s">
        <v>29</v>
      </c>
      <c r="T61" s="104">
        <v>0</v>
      </c>
      <c r="U61" s="104" t="s">
        <v>29</v>
      </c>
      <c r="W61" s="236"/>
      <c r="X61" s="236"/>
      <c r="Y61" s="236"/>
      <c r="Z61" s="236"/>
      <c r="AA61" s="236"/>
      <c r="AB61" s="236"/>
      <c r="AD61" s="108" t="s">
        <v>224</v>
      </c>
      <c r="AE61" s="109">
        <v>3467</v>
      </c>
      <c r="AF61" s="109">
        <v>2910</v>
      </c>
      <c r="AG61" s="109">
        <v>3226</v>
      </c>
      <c r="AH61" s="109">
        <v>3258</v>
      </c>
      <c r="AI61" s="109">
        <v>1647</v>
      </c>
    </row>
    <row r="62" spans="14:35" ht="15" customHeight="1" x14ac:dyDescent="0.2">
      <c r="N62" s="104" t="s">
        <v>109</v>
      </c>
      <c r="O62" s="104"/>
      <c r="P62" s="104"/>
      <c r="Q62" s="104">
        <v>633</v>
      </c>
      <c r="R62" s="104">
        <v>556</v>
      </c>
      <c r="S62" s="104">
        <v>413</v>
      </c>
      <c r="T62" s="104">
        <v>325</v>
      </c>
      <c r="U62" s="104">
        <v>294</v>
      </c>
      <c r="W62" s="236" t="s">
        <v>155</v>
      </c>
      <c r="X62" s="236">
        <v>-111</v>
      </c>
      <c r="Y62" s="236">
        <v>-92</v>
      </c>
      <c r="Z62" s="236">
        <v>-93</v>
      </c>
      <c r="AA62" s="236">
        <v>-82</v>
      </c>
      <c r="AB62" s="236">
        <v>-46</v>
      </c>
      <c r="AD62" s="108" t="s">
        <v>225</v>
      </c>
      <c r="AE62" s="109">
        <v>4327</v>
      </c>
      <c r="AF62" s="109">
        <v>3832</v>
      </c>
      <c r="AG62" s="109">
        <v>3880</v>
      </c>
      <c r="AH62" s="109">
        <v>4192</v>
      </c>
      <c r="AI62" s="109">
        <v>4450</v>
      </c>
    </row>
    <row r="63" spans="14:35" ht="16" customHeight="1" x14ac:dyDescent="0.2">
      <c r="N63" s="104" t="s">
        <v>110</v>
      </c>
      <c r="O63" s="104"/>
      <c r="P63" s="104"/>
      <c r="Q63" s="104">
        <v>3.46</v>
      </c>
      <c r="R63" s="104">
        <v>2.96</v>
      </c>
      <c r="S63" s="104">
        <v>2.17</v>
      </c>
      <c r="T63" s="104">
        <v>1.84</v>
      </c>
      <c r="U63" s="104">
        <v>3.05</v>
      </c>
      <c r="W63" s="236"/>
      <c r="X63" s="236"/>
      <c r="Y63" s="236"/>
      <c r="Z63" s="236"/>
      <c r="AA63" s="236"/>
      <c r="AB63" s="236"/>
      <c r="AD63" s="108" t="s">
        <v>226</v>
      </c>
      <c r="AE63" s="109">
        <v>18516</v>
      </c>
      <c r="AF63" s="109">
        <v>18454</v>
      </c>
      <c r="AG63" s="109">
        <v>18455</v>
      </c>
      <c r="AH63" s="109">
        <v>18944</v>
      </c>
      <c r="AI63" s="109">
        <v>8649</v>
      </c>
    </row>
    <row r="64" spans="14:35" ht="15" customHeight="1" x14ac:dyDescent="0.2">
      <c r="N64" s="234" t="s">
        <v>111</v>
      </c>
      <c r="O64" s="232"/>
      <c r="P64" s="232"/>
      <c r="Q64" s="232">
        <v>0.17150000000000001</v>
      </c>
      <c r="R64" s="232">
        <v>0.36199999999999999</v>
      </c>
      <c r="S64" s="232">
        <v>0.18140000000000001</v>
      </c>
      <c r="T64" s="233">
        <v>-0.39739999999999998</v>
      </c>
      <c r="U64" s="234" t="s">
        <v>29</v>
      </c>
      <c r="W64" s="108" t="s">
        <v>69</v>
      </c>
      <c r="X64" s="108" t="s">
        <v>29</v>
      </c>
      <c r="Y64" s="108" t="s">
        <v>29</v>
      </c>
      <c r="Z64" s="108" t="s">
        <v>29</v>
      </c>
      <c r="AA64" s="108" t="s">
        <v>29</v>
      </c>
      <c r="AB64" s="108" t="s">
        <v>29</v>
      </c>
      <c r="AD64" s="108" t="s">
        <v>227</v>
      </c>
      <c r="AE64" s="109">
        <v>2034</v>
      </c>
      <c r="AF64" s="109">
        <v>1689</v>
      </c>
      <c r="AG64" s="109">
        <v>1642</v>
      </c>
      <c r="AH64" s="109">
        <v>1773</v>
      </c>
      <c r="AI64" s="108">
        <v>845</v>
      </c>
    </row>
    <row r="65" spans="14:35" ht="15" customHeight="1" x14ac:dyDescent="0.2">
      <c r="N65" s="234"/>
      <c r="O65" s="232"/>
      <c r="P65" s="232"/>
      <c r="Q65" s="232"/>
      <c r="R65" s="232"/>
      <c r="S65" s="232"/>
      <c r="T65" s="233"/>
      <c r="U65" s="234"/>
      <c r="W65" s="236" t="s">
        <v>156</v>
      </c>
      <c r="X65" s="236">
        <v>-473</v>
      </c>
      <c r="Y65" s="236">
        <v>-300</v>
      </c>
      <c r="Z65" s="236">
        <v>-207</v>
      </c>
      <c r="AA65" s="236">
        <v>1</v>
      </c>
      <c r="AB65" s="236">
        <v>10</v>
      </c>
      <c r="AD65" s="108" t="s">
        <v>228</v>
      </c>
      <c r="AE65" s="108">
        <v>541</v>
      </c>
      <c r="AF65" s="108">
        <v>473</v>
      </c>
      <c r="AG65" s="108">
        <v>599</v>
      </c>
      <c r="AH65" s="108">
        <v>604</v>
      </c>
      <c r="AI65" s="109">
        <v>2342</v>
      </c>
    </row>
    <row r="66" spans="14:35" ht="16" customHeight="1" x14ac:dyDescent="0.2">
      <c r="N66" s="104" t="s">
        <v>112</v>
      </c>
      <c r="O66" s="104"/>
      <c r="P66" s="104"/>
      <c r="Q66" s="104">
        <v>182</v>
      </c>
      <c r="R66" s="104">
        <v>188</v>
      </c>
      <c r="S66" s="104">
        <v>190</v>
      </c>
      <c r="T66" s="104">
        <v>171</v>
      </c>
      <c r="U66" s="104">
        <v>96</v>
      </c>
      <c r="W66" s="236"/>
      <c r="X66" s="236"/>
      <c r="Y66" s="236"/>
      <c r="Z66" s="236"/>
      <c r="AA66" s="236"/>
      <c r="AB66" s="236"/>
      <c r="AD66" s="108" t="s">
        <v>229</v>
      </c>
      <c r="AE66" s="112">
        <v>1.25</v>
      </c>
      <c r="AF66" s="112">
        <v>1.32</v>
      </c>
      <c r="AG66" s="112">
        <v>1.2</v>
      </c>
      <c r="AH66" s="112">
        <v>1.29</v>
      </c>
      <c r="AI66" s="112">
        <v>2.7</v>
      </c>
    </row>
    <row r="67" spans="14:35" ht="15" customHeight="1" x14ac:dyDescent="0.2">
      <c r="N67" s="104" t="s">
        <v>113</v>
      </c>
      <c r="O67" s="104"/>
      <c r="P67" s="104"/>
      <c r="Q67" s="104">
        <v>3.46</v>
      </c>
      <c r="R67" s="104">
        <v>2.96</v>
      </c>
      <c r="S67" s="104">
        <v>2.17</v>
      </c>
      <c r="T67" s="104">
        <v>1.84</v>
      </c>
      <c r="U67" s="104">
        <v>3.05</v>
      </c>
      <c r="W67" s="236" t="s">
        <v>157</v>
      </c>
      <c r="X67" s="236">
        <v>-473</v>
      </c>
      <c r="Y67" s="236">
        <v>-300</v>
      </c>
      <c r="Z67" s="236">
        <v>-207</v>
      </c>
      <c r="AA67" s="236" t="s">
        <v>29</v>
      </c>
      <c r="AB67" s="236" t="s">
        <v>29</v>
      </c>
      <c r="AD67" s="108" t="s">
        <v>230</v>
      </c>
      <c r="AE67" s="112">
        <v>0.66</v>
      </c>
      <c r="AF67" s="112">
        <v>0.74</v>
      </c>
      <c r="AG67" s="112">
        <v>0.69</v>
      </c>
      <c r="AH67" s="112">
        <v>0.74</v>
      </c>
      <c r="AI67" s="112">
        <v>2.19</v>
      </c>
    </row>
    <row r="68" spans="14:35" ht="15" customHeight="1" x14ac:dyDescent="0.2">
      <c r="N68" s="234" t="s">
        <v>114</v>
      </c>
      <c r="O68" s="232"/>
      <c r="P68" s="232"/>
      <c r="Q68" s="232">
        <v>0.17150000000000001</v>
      </c>
      <c r="R68" s="232">
        <v>0.36199999999999999</v>
      </c>
      <c r="S68" s="232">
        <v>0.18140000000000001</v>
      </c>
      <c r="T68" s="233">
        <v>-0.39750000000000002</v>
      </c>
      <c r="U68" s="234" t="s">
        <v>29</v>
      </c>
      <c r="W68" s="236"/>
      <c r="X68" s="236"/>
      <c r="Y68" s="236"/>
      <c r="Z68" s="236"/>
      <c r="AA68" s="236"/>
      <c r="AB68" s="236"/>
      <c r="AD68" s="108" t="s">
        <v>231</v>
      </c>
      <c r="AE68" s="112">
        <v>0.16</v>
      </c>
      <c r="AF68" s="112">
        <v>0.16</v>
      </c>
      <c r="AG68" s="112">
        <v>0.19</v>
      </c>
      <c r="AH68" s="112">
        <v>0.19</v>
      </c>
      <c r="AI68" s="112">
        <v>1.42</v>
      </c>
    </row>
    <row r="69" spans="14:35" ht="15" customHeight="1" x14ac:dyDescent="0.2">
      <c r="N69" s="234"/>
      <c r="O69" s="232"/>
      <c r="P69" s="232"/>
      <c r="Q69" s="232"/>
      <c r="R69" s="232"/>
      <c r="S69" s="232"/>
      <c r="T69" s="233"/>
      <c r="U69" s="234"/>
      <c r="W69" s="108" t="s">
        <v>158</v>
      </c>
      <c r="X69" s="108" t="s">
        <v>29</v>
      </c>
      <c r="Y69" s="108" t="s">
        <v>29</v>
      </c>
      <c r="Z69" s="108" t="s">
        <v>29</v>
      </c>
      <c r="AA69" s="108">
        <v>1</v>
      </c>
      <c r="AB69" s="108">
        <v>10</v>
      </c>
      <c r="AD69" s="108" t="s">
        <v>232</v>
      </c>
      <c r="AE69" s="109">
        <v>4024</v>
      </c>
      <c r="AF69" s="109">
        <v>4314</v>
      </c>
      <c r="AG69" s="109">
        <v>4031</v>
      </c>
      <c r="AH69" s="109">
        <v>4553</v>
      </c>
      <c r="AI69" s="109">
        <v>3793</v>
      </c>
    </row>
    <row r="70" spans="14:35" ht="15" customHeight="1" x14ac:dyDescent="0.2">
      <c r="N70" s="104" t="s">
        <v>115</v>
      </c>
      <c r="O70" s="104"/>
      <c r="P70" s="104"/>
      <c r="Q70" s="104">
        <v>183</v>
      </c>
      <c r="R70" s="104">
        <v>188</v>
      </c>
      <c r="S70" s="104">
        <v>190</v>
      </c>
      <c r="T70" s="104">
        <v>177</v>
      </c>
      <c r="U70" s="104">
        <v>96</v>
      </c>
      <c r="W70" s="108" t="s">
        <v>159</v>
      </c>
      <c r="X70" s="108" t="s">
        <v>29</v>
      </c>
      <c r="Y70" s="108" t="s">
        <v>29</v>
      </c>
      <c r="Z70" s="108" t="s">
        <v>29</v>
      </c>
      <c r="AA70" s="108" t="s">
        <v>29</v>
      </c>
      <c r="AB70" s="108" t="s">
        <v>29</v>
      </c>
      <c r="AD70" s="108" t="s">
        <v>233</v>
      </c>
      <c r="AE70" s="109">
        <v>3751</v>
      </c>
      <c r="AF70" s="109">
        <v>4056</v>
      </c>
      <c r="AG70" s="109">
        <v>3791</v>
      </c>
      <c r="AH70" s="109">
        <v>4333</v>
      </c>
      <c r="AI70" s="109">
        <v>3793</v>
      </c>
    </row>
    <row r="71" spans="14:35" ht="15" customHeight="1" x14ac:dyDescent="0.2">
      <c r="N71" s="104" t="s">
        <v>30</v>
      </c>
      <c r="O71" s="105"/>
      <c r="P71" s="105"/>
      <c r="Q71" s="105">
        <v>1542</v>
      </c>
      <c r="R71" s="105">
        <v>1445</v>
      </c>
      <c r="S71" s="105">
        <v>1333</v>
      </c>
      <c r="T71" s="105">
        <v>1333</v>
      </c>
      <c r="U71" s="104">
        <v>660</v>
      </c>
      <c r="W71" s="108" t="s">
        <v>160</v>
      </c>
      <c r="X71" s="108" t="s">
        <v>29</v>
      </c>
      <c r="Y71" s="108" t="s">
        <v>29</v>
      </c>
      <c r="Z71" s="108" t="s">
        <v>29</v>
      </c>
      <c r="AA71" s="108">
        <v>1</v>
      </c>
      <c r="AB71" s="108">
        <v>10</v>
      </c>
      <c r="AD71" s="108" t="s">
        <v>234</v>
      </c>
      <c r="AE71" s="109">
        <v>3751</v>
      </c>
      <c r="AF71" s="109">
        <v>4056</v>
      </c>
      <c r="AG71" s="109">
        <v>3791</v>
      </c>
      <c r="AH71" s="109">
        <v>4333</v>
      </c>
      <c r="AI71" s="109">
        <v>3793</v>
      </c>
    </row>
    <row r="72" spans="14:35" ht="15" customHeight="1" x14ac:dyDescent="0.2">
      <c r="N72" s="104" t="s">
        <v>116</v>
      </c>
      <c r="O72" s="106"/>
      <c r="P72" s="106"/>
      <c r="Q72" s="106">
        <v>6.7100000000000007E-2</v>
      </c>
      <c r="R72" s="106">
        <v>8.4199999999999997E-2</v>
      </c>
      <c r="S72" s="106">
        <v>2.0000000000000001E-4</v>
      </c>
      <c r="T72" s="106">
        <v>1.0190999999999999</v>
      </c>
      <c r="U72" s="104" t="s">
        <v>29</v>
      </c>
      <c r="W72" s="236" t="s">
        <v>161</v>
      </c>
      <c r="X72" s="236">
        <v>-30</v>
      </c>
      <c r="Y72" s="236">
        <v>-161</v>
      </c>
      <c r="Z72" s="236">
        <v>-199</v>
      </c>
      <c r="AA72" s="236">
        <v>559</v>
      </c>
      <c r="AB72" s="238">
        <v>2027</v>
      </c>
      <c r="AD72" s="108" t="s">
        <v>235</v>
      </c>
      <c r="AE72" s="108" t="s">
        <v>29</v>
      </c>
      <c r="AF72" s="108" t="s">
        <v>29</v>
      </c>
      <c r="AG72" s="108" t="s">
        <v>29</v>
      </c>
      <c r="AH72" s="108" t="s">
        <v>29</v>
      </c>
      <c r="AI72" s="108" t="s">
        <v>29</v>
      </c>
    </row>
    <row r="73" spans="14:35" ht="15" customHeight="1" x14ac:dyDescent="0.2">
      <c r="N73" s="104" t="s">
        <v>48</v>
      </c>
      <c r="O73" s="106"/>
      <c r="P73" s="104"/>
      <c r="Q73" s="106">
        <v>0.18440000000000001</v>
      </c>
      <c r="R73" s="104" t="s">
        <v>29</v>
      </c>
      <c r="S73" s="104" t="s">
        <v>29</v>
      </c>
      <c r="T73" s="104" t="s">
        <v>29</v>
      </c>
      <c r="U73" s="104" t="s">
        <v>29</v>
      </c>
      <c r="W73" s="236"/>
      <c r="X73" s="236"/>
      <c r="Y73" s="236"/>
      <c r="Z73" s="236"/>
      <c r="AA73" s="236"/>
      <c r="AB73" s="238"/>
      <c r="AD73" s="108" t="s">
        <v>236</v>
      </c>
      <c r="AE73" s="108" t="s">
        <v>29</v>
      </c>
      <c r="AF73" s="108" t="s">
        <v>29</v>
      </c>
      <c r="AG73" s="108">
        <v>1</v>
      </c>
      <c r="AH73" s="108">
        <v>1</v>
      </c>
      <c r="AI73" s="108" t="s">
        <v>29</v>
      </c>
    </row>
    <row r="74" spans="14:35" ht="15" customHeight="1" x14ac:dyDescent="0.2">
      <c r="N74" s="104" t="s">
        <v>7</v>
      </c>
      <c r="O74" s="105"/>
      <c r="P74" s="104"/>
      <c r="Q74" s="105">
        <v>1063</v>
      </c>
      <c r="R74" s="104">
        <v>954</v>
      </c>
      <c r="S74" s="104">
        <v>860</v>
      </c>
      <c r="T74" s="104">
        <v>931</v>
      </c>
      <c r="U74" s="104">
        <v>551</v>
      </c>
      <c r="W74" s="108" t="s">
        <v>162</v>
      </c>
      <c r="X74" s="108" t="s">
        <v>29</v>
      </c>
      <c r="Y74" s="108" t="s">
        <v>29</v>
      </c>
      <c r="Z74" s="108" t="s">
        <v>29</v>
      </c>
      <c r="AA74" s="108" t="s">
        <v>29</v>
      </c>
      <c r="AB74" s="108" t="s">
        <v>29</v>
      </c>
      <c r="AD74" s="108" t="s">
        <v>237</v>
      </c>
      <c r="AE74" s="108">
        <v>57</v>
      </c>
      <c r="AF74" s="108">
        <v>77</v>
      </c>
      <c r="AG74" s="108">
        <v>114</v>
      </c>
      <c r="AH74" s="108">
        <v>405</v>
      </c>
      <c r="AI74" s="108">
        <v>114</v>
      </c>
    </row>
    <row r="75" spans="14:35" ht="15" customHeight="1" x14ac:dyDescent="0.2">
      <c r="W75" s="236" t="s">
        <v>163</v>
      </c>
      <c r="X75" s="236">
        <v>-30</v>
      </c>
      <c r="Y75" s="236">
        <v>-161</v>
      </c>
      <c r="Z75" s="236">
        <v>-199</v>
      </c>
      <c r="AA75" s="236">
        <v>559</v>
      </c>
      <c r="AB75" s="238">
        <v>2027</v>
      </c>
      <c r="AD75" s="108" t="s">
        <v>124</v>
      </c>
      <c r="AE75" s="108">
        <v>326</v>
      </c>
      <c r="AF75" s="108">
        <v>288</v>
      </c>
      <c r="AG75" s="108">
        <v>168</v>
      </c>
      <c r="AH75" s="108">
        <v>145</v>
      </c>
      <c r="AI75" s="108">
        <v>198</v>
      </c>
    </row>
    <row r="76" spans="14:35" ht="15" customHeight="1" x14ac:dyDescent="0.2">
      <c r="W76" s="236"/>
      <c r="X76" s="236"/>
      <c r="Y76" s="236"/>
      <c r="Z76" s="236"/>
      <c r="AA76" s="236"/>
      <c r="AB76" s="238"/>
      <c r="AD76" s="108" t="s">
        <v>238</v>
      </c>
      <c r="AE76" s="108">
        <v>326</v>
      </c>
      <c r="AF76" s="108">
        <v>288</v>
      </c>
      <c r="AG76" s="108">
        <v>168</v>
      </c>
      <c r="AH76" s="108">
        <v>145</v>
      </c>
      <c r="AI76" s="108">
        <v>198</v>
      </c>
    </row>
    <row r="77" spans="14:35" ht="15" customHeight="1" x14ac:dyDescent="0.2">
      <c r="W77" s="108" t="s">
        <v>164</v>
      </c>
      <c r="X77" s="109">
        <v>6087</v>
      </c>
      <c r="Y77" s="109">
        <v>5391</v>
      </c>
      <c r="Z77" s="109">
        <v>3878</v>
      </c>
      <c r="AA77" s="109">
        <v>3982</v>
      </c>
      <c r="AB77" s="109">
        <v>3481</v>
      </c>
      <c r="AD77" s="108" t="s">
        <v>239</v>
      </c>
      <c r="AE77" s="108" t="s">
        <v>29</v>
      </c>
      <c r="AF77" s="108" t="s">
        <v>29</v>
      </c>
      <c r="AG77" s="108" t="s">
        <v>29</v>
      </c>
      <c r="AH77" s="108" t="s">
        <v>29</v>
      </c>
      <c r="AI77" s="108" t="s">
        <v>29</v>
      </c>
    </row>
    <row r="78" spans="14:35" ht="15" customHeight="1" x14ac:dyDescent="0.2">
      <c r="W78" s="236" t="s">
        <v>165</v>
      </c>
      <c r="X78" s="238">
        <v>-6117</v>
      </c>
      <c r="Y78" s="238">
        <v>-5552</v>
      </c>
      <c r="Z78" s="238">
        <v>-4077</v>
      </c>
      <c r="AA78" s="238">
        <v>-3424</v>
      </c>
      <c r="AB78" s="238">
        <v>-1454</v>
      </c>
      <c r="AD78" s="108" t="s">
        <v>240</v>
      </c>
      <c r="AE78" s="108">
        <v>495</v>
      </c>
      <c r="AF78" s="108">
        <v>626</v>
      </c>
      <c r="AG78" s="108">
        <v>763</v>
      </c>
      <c r="AH78" s="108">
        <v>590</v>
      </c>
      <c r="AI78" s="108">
        <v>29</v>
      </c>
    </row>
    <row r="79" spans="14:35" ht="15" customHeight="1" x14ac:dyDescent="0.2">
      <c r="W79" s="236"/>
      <c r="X79" s="238"/>
      <c r="Y79" s="238"/>
      <c r="Z79" s="238"/>
      <c r="AA79" s="238"/>
      <c r="AB79" s="238"/>
      <c r="AD79" s="108" t="s">
        <v>241</v>
      </c>
      <c r="AE79" s="108" t="s">
        <v>29</v>
      </c>
      <c r="AF79" s="108" t="s">
        <v>29</v>
      </c>
      <c r="AG79" s="108" t="s">
        <v>29</v>
      </c>
      <c r="AH79" s="108" t="s">
        <v>29</v>
      </c>
      <c r="AI79" s="108" t="s">
        <v>29</v>
      </c>
    </row>
    <row r="80" spans="14:35" ht="15" customHeight="1" x14ac:dyDescent="0.2">
      <c r="W80" s="236" t="s">
        <v>126</v>
      </c>
      <c r="X80" s="236">
        <v>-94</v>
      </c>
      <c r="Y80" s="236">
        <v>-100</v>
      </c>
      <c r="Z80" s="236">
        <v>-120</v>
      </c>
      <c r="AA80" s="236">
        <v>-16</v>
      </c>
      <c r="AB80" s="236">
        <v>-12</v>
      </c>
      <c r="AD80" s="108" t="s">
        <v>242</v>
      </c>
      <c r="AE80" s="108">
        <v>409</v>
      </c>
      <c r="AF80" s="108">
        <v>538</v>
      </c>
      <c r="AG80" s="108">
        <v>683</v>
      </c>
      <c r="AH80" s="108">
        <v>513</v>
      </c>
      <c r="AI80" s="108">
        <v>29</v>
      </c>
    </row>
    <row r="81" spans="23:35" ht="15" customHeight="1" x14ac:dyDescent="0.2">
      <c r="W81" s="236"/>
      <c r="X81" s="236"/>
      <c r="Y81" s="236"/>
      <c r="Z81" s="236"/>
      <c r="AA81" s="236"/>
      <c r="AB81" s="236"/>
      <c r="AD81" s="108" t="s">
        <v>243</v>
      </c>
      <c r="AE81" s="108">
        <v>86</v>
      </c>
      <c r="AF81" s="108">
        <v>88</v>
      </c>
      <c r="AG81" s="108">
        <v>80</v>
      </c>
      <c r="AH81" s="108">
        <v>77</v>
      </c>
      <c r="AI81" s="108" t="s">
        <v>29</v>
      </c>
    </row>
    <row r="82" spans="23:35" ht="15" customHeight="1" x14ac:dyDescent="0.2">
      <c r="W82" s="236" t="s">
        <v>149</v>
      </c>
      <c r="X82" s="236">
        <v>-101</v>
      </c>
      <c r="Y82" s="236">
        <v>-100</v>
      </c>
      <c r="Z82" s="236">
        <v>-120</v>
      </c>
      <c r="AA82" s="236">
        <v>-16</v>
      </c>
      <c r="AB82" s="236">
        <v>-12</v>
      </c>
      <c r="AD82" s="108" t="s">
        <v>244</v>
      </c>
      <c r="AE82" s="109">
        <v>8369</v>
      </c>
      <c r="AF82" s="109">
        <v>8215</v>
      </c>
      <c r="AG82" s="109">
        <v>8302</v>
      </c>
      <c r="AH82" s="109">
        <v>8951</v>
      </c>
      <c r="AI82" s="109">
        <v>5780</v>
      </c>
    </row>
    <row r="83" spans="23:35" ht="15" customHeight="1" x14ac:dyDescent="0.2">
      <c r="W83" s="236"/>
      <c r="X83" s="236"/>
      <c r="Y83" s="236"/>
      <c r="Z83" s="236"/>
      <c r="AA83" s="236"/>
      <c r="AB83" s="236"/>
      <c r="AD83" s="108" t="s">
        <v>245</v>
      </c>
      <c r="AE83" s="108" t="s">
        <v>29</v>
      </c>
      <c r="AF83" s="108" t="s">
        <v>29</v>
      </c>
      <c r="AG83" s="108" t="s">
        <v>29</v>
      </c>
      <c r="AH83" s="108" t="s">
        <v>29</v>
      </c>
      <c r="AI83" s="108" t="s">
        <v>29</v>
      </c>
    </row>
    <row r="84" spans="23:35" ht="15" customHeight="1" x14ac:dyDescent="0.2">
      <c r="W84" s="108" t="s">
        <v>150</v>
      </c>
      <c r="X84" s="108">
        <v>7</v>
      </c>
      <c r="Y84" s="108" t="s">
        <v>29</v>
      </c>
      <c r="Z84" s="108" t="s">
        <v>29</v>
      </c>
      <c r="AA84" s="108" t="s">
        <v>29</v>
      </c>
      <c r="AB84" s="108" t="s">
        <v>29</v>
      </c>
      <c r="AD84" s="108" t="s">
        <v>246</v>
      </c>
      <c r="AE84" s="106">
        <v>0.45200000000000001</v>
      </c>
      <c r="AF84" s="106">
        <v>0.44519999999999998</v>
      </c>
      <c r="AG84" s="106">
        <v>0.44990000000000002</v>
      </c>
      <c r="AH84" s="106">
        <v>0.47249999999999998</v>
      </c>
      <c r="AI84" s="106">
        <v>0.66830000000000001</v>
      </c>
    </row>
    <row r="85" spans="23:35" ht="15" customHeight="1" x14ac:dyDescent="0.2">
      <c r="W85" s="236" t="s">
        <v>166</v>
      </c>
      <c r="X85" s="236">
        <v>-708</v>
      </c>
      <c r="Y85" s="236">
        <v>-653</v>
      </c>
      <c r="Z85" s="236">
        <v>-619</v>
      </c>
      <c r="AA85" s="236">
        <v>462</v>
      </c>
      <c r="AB85" s="238">
        <v>1978</v>
      </c>
      <c r="AD85" s="108" t="s">
        <v>247</v>
      </c>
      <c r="AE85" s="109">
        <v>10102</v>
      </c>
      <c r="AF85" s="109">
        <v>10201</v>
      </c>
      <c r="AG85" s="109">
        <v>10122</v>
      </c>
      <c r="AH85" s="109">
        <v>9957</v>
      </c>
      <c r="AI85" s="109">
        <v>2865</v>
      </c>
    </row>
    <row r="86" spans="23:35" ht="15" customHeight="1" x14ac:dyDescent="0.2">
      <c r="W86" s="236"/>
      <c r="X86" s="236"/>
      <c r="Y86" s="236"/>
      <c r="Z86" s="236"/>
      <c r="AA86" s="236"/>
      <c r="AB86" s="238"/>
      <c r="AD86" s="108" t="s">
        <v>248</v>
      </c>
      <c r="AE86" s="108">
        <v>2</v>
      </c>
      <c r="AF86" s="108">
        <v>2</v>
      </c>
      <c r="AG86" s="108">
        <v>2</v>
      </c>
      <c r="AH86" s="108">
        <v>2</v>
      </c>
      <c r="AI86" s="108">
        <v>1</v>
      </c>
    </row>
    <row r="87" spans="23:35" ht="15" customHeight="1" x14ac:dyDescent="0.2">
      <c r="W87" s="236" t="s">
        <v>167</v>
      </c>
      <c r="X87" s="233">
        <v>-8.4199999999999997E-2</v>
      </c>
      <c r="Y87" s="233">
        <v>-5.4899999999999997E-2</v>
      </c>
      <c r="Z87" s="233">
        <v>-2.3412999999999999</v>
      </c>
      <c r="AA87" s="233">
        <v>-0.76670000000000005</v>
      </c>
      <c r="AB87" s="236" t="s">
        <v>29</v>
      </c>
      <c r="AD87" s="108" t="s">
        <v>249</v>
      </c>
      <c r="AE87" s="109">
        <v>7953</v>
      </c>
      <c r="AF87" s="109">
        <v>7916</v>
      </c>
      <c r="AG87" s="109">
        <v>7881</v>
      </c>
      <c r="AH87" s="109">
        <v>7877</v>
      </c>
      <c r="AI87" s="108">
        <v>915</v>
      </c>
    </row>
    <row r="88" spans="23:35" ht="15" customHeight="1" x14ac:dyDescent="0.2">
      <c r="W88" s="236"/>
      <c r="X88" s="233"/>
      <c r="Y88" s="233"/>
      <c r="Z88" s="233"/>
      <c r="AA88" s="233"/>
      <c r="AB88" s="236"/>
      <c r="AD88" s="108" t="s">
        <v>250</v>
      </c>
      <c r="AE88" s="109">
        <v>4577</v>
      </c>
      <c r="AF88" s="109">
        <v>4055</v>
      </c>
      <c r="AG88" s="109">
        <v>3589</v>
      </c>
      <c r="AH88" s="109">
        <v>3267</v>
      </c>
      <c r="AI88" s="109">
        <v>3022</v>
      </c>
    </row>
    <row r="89" spans="23:35" ht="15" customHeight="1" x14ac:dyDescent="0.2">
      <c r="W89" s="236" t="s">
        <v>168</v>
      </c>
      <c r="X89" s="233">
        <v>-8.4699999999999998E-2</v>
      </c>
      <c r="Y89" s="233">
        <v>-8.3500000000000005E-2</v>
      </c>
      <c r="Z89" s="233">
        <v>-8.1900000000000001E-2</v>
      </c>
      <c r="AA89" s="232">
        <v>5.6300000000000003E-2</v>
      </c>
      <c r="AB89" s="232">
        <v>0.45329999999999998</v>
      </c>
      <c r="AD89" s="108" t="s">
        <v>251</v>
      </c>
      <c r="AE89" s="108" t="s">
        <v>29</v>
      </c>
      <c r="AF89" s="108" t="s">
        <v>29</v>
      </c>
      <c r="AG89" s="108" t="s">
        <v>29</v>
      </c>
      <c r="AH89" s="108" t="s">
        <v>29</v>
      </c>
      <c r="AI89" s="108" t="s">
        <v>29</v>
      </c>
    </row>
    <row r="90" spans="23:35" ht="15" customHeight="1" x14ac:dyDescent="0.2">
      <c r="W90" s="236"/>
      <c r="X90" s="233"/>
      <c r="Y90" s="233"/>
      <c r="Z90" s="233"/>
      <c r="AA90" s="232"/>
      <c r="AB90" s="232"/>
      <c r="AD90" s="236" t="s">
        <v>252</v>
      </c>
      <c r="AE90" s="236">
        <v>-596</v>
      </c>
      <c r="AF90" s="236">
        <v>-396</v>
      </c>
      <c r="AG90" s="236">
        <v>-260</v>
      </c>
      <c r="AH90" s="236">
        <v>-309</v>
      </c>
      <c r="AI90" s="236">
        <v>-202</v>
      </c>
    </row>
    <row r="91" spans="23:35" ht="15" customHeight="1" x14ac:dyDescent="0.2">
      <c r="W91" s="236" t="s">
        <v>169</v>
      </c>
      <c r="X91" s="236">
        <v>-27</v>
      </c>
      <c r="Y91" s="236">
        <v>-6</v>
      </c>
      <c r="Z91" s="236">
        <v>-15</v>
      </c>
      <c r="AA91" s="236">
        <v>-37</v>
      </c>
      <c r="AB91" s="236">
        <v>-37</v>
      </c>
      <c r="AD91" s="236"/>
      <c r="AE91" s="236"/>
      <c r="AF91" s="236"/>
      <c r="AG91" s="236"/>
      <c r="AH91" s="236"/>
      <c r="AI91" s="236"/>
    </row>
    <row r="92" spans="23:35" ht="15" customHeight="1" x14ac:dyDescent="0.2">
      <c r="W92" s="236"/>
      <c r="X92" s="236"/>
      <c r="Y92" s="236"/>
      <c r="Z92" s="236"/>
      <c r="AA92" s="236"/>
      <c r="AB92" s="236"/>
      <c r="AD92" s="108" t="s">
        <v>253</v>
      </c>
      <c r="AE92" s="108" t="s">
        <v>29</v>
      </c>
      <c r="AF92" s="108" t="s">
        <v>29</v>
      </c>
      <c r="AG92" s="108" t="s">
        <v>29</v>
      </c>
      <c r="AH92" s="108" t="s">
        <v>29</v>
      </c>
      <c r="AI92" s="108" t="s">
        <v>29</v>
      </c>
    </row>
    <row r="93" spans="23:35" ht="15" customHeight="1" x14ac:dyDescent="0.2">
      <c r="W93" s="108" t="s">
        <v>170</v>
      </c>
      <c r="X93" s="108" t="s">
        <v>29</v>
      </c>
      <c r="Y93" s="108" t="s">
        <v>29</v>
      </c>
      <c r="Z93" s="108" t="s">
        <v>29</v>
      </c>
      <c r="AA93" s="108" t="s">
        <v>29</v>
      </c>
      <c r="AB93" s="108" t="s">
        <v>29</v>
      </c>
      <c r="AD93" s="108" t="s">
        <v>254</v>
      </c>
      <c r="AE93" s="108" t="s">
        <v>29</v>
      </c>
      <c r="AF93" s="108" t="s">
        <v>29</v>
      </c>
      <c r="AG93" s="108" t="s">
        <v>29</v>
      </c>
      <c r="AH93" s="108" t="s">
        <v>29</v>
      </c>
      <c r="AI93" s="108" t="s">
        <v>29</v>
      </c>
    </row>
    <row r="94" spans="23:35" ht="15" customHeight="1" x14ac:dyDescent="0.2">
      <c r="W94" s="236" t="s">
        <v>171</v>
      </c>
      <c r="X94" s="236">
        <v>68</v>
      </c>
      <c r="Y94" s="236">
        <v>-126</v>
      </c>
      <c r="Z94" s="236">
        <v>-6</v>
      </c>
      <c r="AA94" s="238">
        <v>-1738</v>
      </c>
      <c r="AB94" s="238">
        <v>2109</v>
      </c>
      <c r="AD94" s="236" t="s">
        <v>255</v>
      </c>
      <c r="AE94" s="236">
        <v>-65</v>
      </c>
      <c r="AF94" s="236">
        <v>-70</v>
      </c>
      <c r="AG94" s="236">
        <v>-79</v>
      </c>
      <c r="AH94" s="236">
        <v>-74</v>
      </c>
      <c r="AI94" s="236">
        <v>-54</v>
      </c>
    </row>
    <row r="95" spans="23:35" ht="15" customHeight="1" x14ac:dyDescent="0.2">
      <c r="W95" s="236"/>
      <c r="X95" s="236"/>
      <c r="Y95" s="236"/>
      <c r="Z95" s="236"/>
      <c r="AA95" s="238"/>
      <c r="AB95" s="238"/>
      <c r="AD95" s="236"/>
      <c r="AE95" s="236"/>
      <c r="AF95" s="236"/>
      <c r="AG95" s="236"/>
      <c r="AH95" s="236"/>
      <c r="AI95" s="236"/>
    </row>
    <row r="96" spans="23:35" ht="15" customHeight="1" x14ac:dyDescent="0.2">
      <c r="W96" s="108" t="s">
        <v>172</v>
      </c>
      <c r="X96" s="108">
        <v>889</v>
      </c>
      <c r="Y96" s="108">
        <v>943</v>
      </c>
      <c r="Z96" s="108">
        <v>647</v>
      </c>
      <c r="AA96" s="108">
        <v>830</v>
      </c>
      <c r="AB96" s="108">
        <v>221</v>
      </c>
      <c r="AD96" s="108" t="s">
        <v>256</v>
      </c>
      <c r="AE96" s="108" t="s">
        <v>29</v>
      </c>
      <c r="AF96" s="108" t="s">
        <v>29</v>
      </c>
      <c r="AG96" s="108" t="s">
        <v>29</v>
      </c>
      <c r="AH96" s="108" t="s">
        <v>29</v>
      </c>
      <c r="AI96" s="108" t="s">
        <v>29</v>
      </c>
    </row>
    <row r="97" spans="23:35" ht="15" customHeight="1" x14ac:dyDescent="0.2">
      <c r="W97" s="236" t="s">
        <v>173</v>
      </c>
      <c r="X97" s="233">
        <v>-5.7299999999999997E-2</v>
      </c>
      <c r="Y97" s="232">
        <v>0.45679999999999998</v>
      </c>
      <c r="Z97" s="233">
        <v>-0.2203</v>
      </c>
      <c r="AA97" s="232">
        <v>2.7504</v>
      </c>
      <c r="AB97" s="236" t="s">
        <v>29</v>
      </c>
      <c r="AD97" s="236" t="s">
        <v>257</v>
      </c>
      <c r="AE97" s="238">
        <v>-1769</v>
      </c>
      <c r="AF97" s="238">
        <v>-1306</v>
      </c>
      <c r="AG97" s="238">
        <v>-1010</v>
      </c>
      <c r="AH97" s="236">
        <v>-807</v>
      </c>
      <c r="AI97" s="236">
        <v>-816</v>
      </c>
    </row>
    <row r="98" spans="23:35" ht="15" customHeight="1" x14ac:dyDescent="0.2">
      <c r="W98" s="236"/>
      <c r="X98" s="233"/>
      <c r="Y98" s="232"/>
      <c r="Z98" s="233"/>
      <c r="AA98" s="232"/>
      <c r="AB98" s="236"/>
      <c r="AD98" s="236"/>
      <c r="AE98" s="238"/>
      <c r="AF98" s="238"/>
      <c r="AG98" s="238"/>
      <c r="AH98" s="236"/>
      <c r="AI98" s="236"/>
    </row>
    <row r="99" spans="23:35" ht="15" customHeight="1" x14ac:dyDescent="0.2">
      <c r="W99" s="108" t="s">
        <v>174</v>
      </c>
      <c r="X99" s="106">
        <v>4.2599999999999999E-2</v>
      </c>
      <c r="Y99" s="108" t="s">
        <v>29</v>
      </c>
      <c r="Z99" s="108" t="s">
        <v>29</v>
      </c>
      <c r="AA99" s="108" t="s">
        <v>29</v>
      </c>
      <c r="AB99" s="108" t="s">
        <v>29</v>
      </c>
      <c r="AD99" s="108" t="s">
        <v>258</v>
      </c>
      <c r="AE99" s="106">
        <v>0.54559999999999997</v>
      </c>
      <c r="AF99" s="106">
        <v>0.55279999999999996</v>
      </c>
      <c r="AG99" s="106">
        <v>0.54849999999999999</v>
      </c>
      <c r="AH99" s="106">
        <v>0.52559999999999996</v>
      </c>
      <c r="AI99" s="106">
        <v>0.33129999999999998</v>
      </c>
    </row>
    <row r="100" spans="23:35" ht="15" customHeight="1" x14ac:dyDescent="0.2">
      <c r="W100" s="107"/>
      <c r="X100" s="107"/>
      <c r="Y100" s="107"/>
      <c r="Z100" s="107"/>
      <c r="AA100" s="107"/>
      <c r="AB100" s="107"/>
      <c r="AD100" s="108" t="s">
        <v>259</v>
      </c>
      <c r="AE100" s="109">
        <v>10102</v>
      </c>
      <c r="AF100" s="109">
        <v>10201</v>
      </c>
      <c r="AG100" s="109">
        <v>10122</v>
      </c>
      <c r="AH100" s="109">
        <v>9957</v>
      </c>
      <c r="AI100" s="109">
        <v>2865</v>
      </c>
    </row>
    <row r="101" spans="23:35" ht="15" customHeight="1" x14ac:dyDescent="0.2">
      <c r="W101" s="107"/>
      <c r="X101" s="107"/>
      <c r="Y101" s="107"/>
      <c r="Z101" s="107"/>
      <c r="AA101" s="107"/>
      <c r="AB101" s="107"/>
      <c r="AD101" s="108" t="s">
        <v>260</v>
      </c>
      <c r="AE101" s="106">
        <v>0.54559999999999997</v>
      </c>
      <c r="AF101" s="106">
        <v>0.55279999999999996</v>
      </c>
      <c r="AG101" s="106">
        <v>0.54849999999999999</v>
      </c>
      <c r="AH101" s="106">
        <v>0.52559999999999996</v>
      </c>
      <c r="AI101" s="106">
        <v>0.33129999999999998</v>
      </c>
    </row>
    <row r="102" spans="23:35" ht="15" customHeight="1" x14ac:dyDescent="0.2">
      <c r="W102" s="107"/>
      <c r="X102" s="107"/>
      <c r="Y102" s="107"/>
      <c r="Z102" s="107"/>
      <c r="AA102" s="107"/>
      <c r="AB102" s="107"/>
      <c r="AD102" s="108" t="s">
        <v>261</v>
      </c>
      <c r="AE102" s="108">
        <v>45</v>
      </c>
      <c r="AF102" s="108">
        <v>38</v>
      </c>
      <c r="AG102" s="108">
        <v>30</v>
      </c>
      <c r="AH102" s="108">
        <v>37</v>
      </c>
      <c r="AI102" s="108">
        <v>4</v>
      </c>
    </row>
    <row r="103" spans="23:35" ht="15" customHeight="1" x14ac:dyDescent="0.2">
      <c r="W103" s="107"/>
      <c r="X103" s="107"/>
      <c r="Y103" s="107"/>
      <c r="Z103" s="107"/>
      <c r="AA103" s="107"/>
      <c r="AB103" s="107"/>
      <c r="AD103" s="108" t="s">
        <v>262</v>
      </c>
      <c r="AE103" s="109">
        <v>10147</v>
      </c>
      <c r="AF103" s="109">
        <v>10239</v>
      </c>
      <c r="AG103" s="109">
        <v>10153</v>
      </c>
      <c r="AH103" s="109">
        <v>9994</v>
      </c>
      <c r="AI103" s="109">
        <v>2869</v>
      </c>
    </row>
    <row r="104" spans="23:35" ht="15" customHeight="1" x14ac:dyDescent="0.2">
      <c r="W104" s="107"/>
      <c r="X104" s="107"/>
      <c r="Y104" s="107"/>
      <c r="Z104" s="107"/>
      <c r="AA104" s="107"/>
      <c r="AB104" s="107"/>
      <c r="AD104" s="108" t="s">
        <v>263</v>
      </c>
      <c r="AE104" s="109">
        <v>18516</v>
      </c>
      <c r="AF104" s="109">
        <v>18454</v>
      </c>
      <c r="AG104" s="109">
        <v>18455</v>
      </c>
      <c r="AH104" s="109">
        <v>18944</v>
      </c>
      <c r="AI104" s="109">
        <v>8649</v>
      </c>
    </row>
  </sheetData>
  <mergeCells count="356">
    <mergeCell ref="O64:O65"/>
    <mergeCell ref="P64:P65"/>
    <mergeCell ref="O68:O69"/>
    <mergeCell ref="P68:P69"/>
    <mergeCell ref="AD97:AD98"/>
    <mergeCell ref="AE97:AE98"/>
    <mergeCell ref="AF97:AF98"/>
    <mergeCell ref="AG97:AG98"/>
    <mergeCell ref="AH97:AH98"/>
    <mergeCell ref="W97:W98"/>
    <mergeCell ref="X97:X98"/>
    <mergeCell ref="Y97:Y98"/>
    <mergeCell ref="Z97:Z98"/>
    <mergeCell ref="AA97:AA98"/>
    <mergeCell ref="AB91:AB92"/>
    <mergeCell ref="W94:W95"/>
    <mergeCell ref="X94:X95"/>
    <mergeCell ref="Y94:Y95"/>
    <mergeCell ref="Z94:Z95"/>
    <mergeCell ref="AA94:AA95"/>
    <mergeCell ref="AB94:AB95"/>
    <mergeCell ref="W91:W92"/>
    <mergeCell ref="X91:X92"/>
    <mergeCell ref="Y91:Y92"/>
    <mergeCell ref="AI97:AI98"/>
    <mergeCell ref="AD94:AD95"/>
    <mergeCell ref="AE94:AE95"/>
    <mergeCell ref="AF94:AF95"/>
    <mergeCell ref="AG94:AG95"/>
    <mergeCell ref="AH94:AH95"/>
    <mergeCell ref="AI94:AI95"/>
    <mergeCell ref="AD90:AD91"/>
    <mergeCell ref="AE90:AE91"/>
    <mergeCell ref="AF90:AF91"/>
    <mergeCell ref="AG90:AG91"/>
    <mergeCell ref="AH90:AH91"/>
    <mergeCell ref="AI90:AI91"/>
    <mergeCell ref="AD55:AD56"/>
    <mergeCell ref="AE55:AE56"/>
    <mergeCell ref="AF55:AF56"/>
    <mergeCell ref="AG55:AG56"/>
    <mergeCell ref="AH55:AH56"/>
    <mergeCell ref="AI55:AI56"/>
    <mergeCell ref="AD47:AD48"/>
    <mergeCell ref="AE47:AE48"/>
    <mergeCell ref="AF47:AF48"/>
    <mergeCell ref="AG47:AG48"/>
    <mergeCell ref="AH47:AH48"/>
    <mergeCell ref="AI47:AI48"/>
    <mergeCell ref="AD17:AD18"/>
    <mergeCell ref="AE17:AE18"/>
    <mergeCell ref="AF17:AF18"/>
    <mergeCell ref="AG17:AG18"/>
    <mergeCell ref="AH17:AH18"/>
    <mergeCell ref="AI17:AI18"/>
    <mergeCell ref="AD8:AD9"/>
    <mergeCell ref="AE8:AE9"/>
    <mergeCell ref="AF8:AF9"/>
    <mergeCell ref="AG8:AG9"/>
    <mergeCell ref="AH8:AH9"/>
    <mergeCell ref="AI8:AI9"/>
    <mergeCell ref="AD14:AD15"/>
    <mergeCell ref="AE14:AE15"/>
    <mergeCell ref="AF14:AF15"/>
    <mergeCell ref="AG14:AG15"/>
    <mergeCell ref="AH14:AH15"/>
    <mergeCell ref="AI14:AI15"/>
    <mergeCell ref="Z91:Z92"/>
    <mergeCell ref="AA91:AA92"/>
    <mergeCell ref="AB97:AB98"/>
    <mergeCell ref="W89:W90"/>
    <mergeCell ref="X89:X90"/>
    <mergeCell ref="Y89:Y90"/>
    <mergeCell ref="Z89:Z90"/>
    <mergeCell ref="AA89:AA90"/>
    <mergeCell ref="AB89:AB90"/>
    <mergeCell ref="W87:W88"/>
    <mergeCell ref="X87:X88"/>
    <mergeCell ref="Y87:Y88"/>
    <mergeCell ref="Z87:Z88"/>
    <mergeCell ref="AA87:AA88"/>
    <mergeCell ref="AB87:AB88"/>
    <mergeCell ref="W85:W86"/>
    <mergeCell ref="X85:X86"/>
    <mergeCell ref="Y85:Y86"/>
    <mergeCell ref="Z85:Z86"/>
    <mergeCell ref="AA85:AA86"/>
    <mergeCell ref="AB85:AB86"/>
    <mergeCell ref="W82:W83"/>
    <mergeCell ref="X82:X83"/>
    <mergeCell ref="Y82:Y83"/>
    <mergeCell ref="Z82:Z83"/>
    <mergeCell ref="AA82:AA83"/>
    <mergeCell ref="AB82:AB83"/>
    <mergeCell ref="W80:W81"/>
    <mergeCell ref="X80:X81"/>
    <mergeCell ref="Y80:Y81"/>
    <mergeCell ref="Z80:Z81"/>
    <mergeCell ref="AA80:AA81"/>
    <mergeCell ref="AB80:AB81"/>
    <mergeCell ref="W78:W79"/>
    <mergeCell ref="X78:X79"/>
    <mergeCell ref="Y78:Y79"/>
    <mergeCell ref="Z78:Z79"/>
    <mergeCell ref="AA78:AA79"/>
    <mergeCell ref="AB78:AB79"/>
    <mergeCell ref="W75:W76"/>
    <mergeCell ref="X75:X76"/>
    <mergeCell ref="Y75:Y76"/>
    <mergeCell ref="Z75:Z76"/>
    <mergeCell ref="AA75:AA76"/>
    <mergeCell ref="AB75:AB76"/>
    <mergeCell ref="AB67:AB68"/>
    <mergeCell ref="W72:W73"/>
    <mergeCell ref="X72:X73"/>
    <mergeCell ref="Y72:Y73"/>
    <mergeCell ref="Z72:Z73"/>
    <mergeCell ref="AA72:AA73"/>
    <mergeCell ref="AB72:AB73"/>
    <mergeCell ref="W67:W68"/>
    <mergeCell ref="X67:X68"/>
    <mergeCell ref="Y67:Y68"/>
    <mergeCell ref="Z67:Z68"/>
    <mergeCell ref="AA67:AA68"/>
    <mergeCell ref="W65:W66"/>
    <mergeCell ref="X65:X66"/>
    <mergeCell ref="Y65:Y66"/>
    <mergeCell ref="Z65:Z66"/>
    <mergeCell ref="AA65:AA66"/>
    <mergeCell ref="AB65:AB66"/>
    <mergeCell ref="W62:W63"/>
    <mergeCell ref="X62:X63"/>
    <mergeCell ref="Y62:Y63"/>
    <mergeCell ref="Z62:Z63"/>
    <mergeCell ref="AA62:AA63"/>
    <mergeCell ref="AB62:AB63"/>
    <mergeCell ref="W60:W61"/>
    <mergeCell ref="X60:X61"/>
    <mergeCell ref="Y60:Y61"/>
    <mergeCell ref="Z60:Z61"/>
    <mergeCell ref="AA60:AA61"/>
    <mergeCell ref="AB60:AB61"/>
    <mergeCell ref="AB56:AB57"/>
    <mergeCell ref="W58:W59"/>
    <mergeCell ref="X58:X59"/>
    <mergeCell ref="Y58:Y59"/>
    <mergeCell ref="Z58:Z59"/>
    <mergeCell ref="AA58:AA59"/>
    <mergeCell ref="AB58:AB59"/>
    <mergeCell ref="W56:W57"/>
    <mergeCell ref="X56:X57"/>
    <mergeCell ref="Y56:Y57"/>
    <mergeCell ref="Z56:Z57"/>
    <mergeCell ref="AA56:AA57"/>
    <mergeCell ref="W54:W55"/>
    <mergeCell ref="X54:X55"/>
    <mergeCell ref="Y54:Y55"/>
    <mergeCell ref="Z54:Z55"/>
    <mergeCell ref="AA54:AA55"/>
    <mergeCell ref="AB54:AB55"/>
    <mergeCell ref="W51:W52"/>
    <mergeCell ref="X51:X52"/>
    <mergeCell ref="Y51:Y52"/>
    <mergeCell ref="Z51:Z52"/>
    <mergeCell ref="AA51:AA52"/>
    <mergeCell ref="AB51:AB52"/>
    <mergeCell ref="W45:W46"/>
    <mergeCell ref="X45:X46"/>
    <mergeCell ref="Y45:Y46"/>
    <mergeCell ref="Z45:Z46"/>
    <mergeCell ref="AA45:AA46"/>
    <mergeCell ref="AB45:AB46"/>
    <mergeCell ref="W43:W44"/>
    <mergeCell ref="X43:X44"/>
    <mergeCell ref="Y43:Y44"/>
    <mergeCell ref="Z43:Z44"/>
    <mergeCell ref="AA43:AA44"/>
    <mergeCell ref="AB43:AB44"/>
    <mergeCell ref="W41:W42"/>
    <mergeCell ref="X41:X42"/>
    <mergeCell ref="Y41:Y42"/>
    <mergeCell ref="Z41:Z42"/>
    <mergeCell ref="AA41:AA42"/>
    <mergeCell ref="AB41:AB42"/>
    <mergeCell ref="W38:W39"/>
    <mergeCell ref="X38:X39"/>
    <mergeCell ref="Y38:Y39"/>
    <mergeCell ref="Z38:Z39"/>
    <mergeCell ref="AA38:AA39"/>
    <mergeCell ref="AB38:AB39"/>
    <mergeCell ref="W36:W37"/>
    <mergeCell ref="X36:X37"/>
    <mergeCell ref="Y36:Y37"/>
    <mergeCell ref="Z36:Z37"/>
    <mergeCell ref="AA36:AA37"/>
    <mergeCell ref="AB36:AB37"/>
    <mergeCell ref="W33:W34"/>
    <mergeCell ref="X33:X34"/>
    <mergeCell ref="Y33:Y34"/>
    <mergeCell ref="Z33:Z34"/>
    <mergeCell ref="AA33:AA34"/>
    <mergeCell ref="AB33:AB34"/>
    <mergeCell ref="W30:W31"/>
    <mergeCell ref="X30:X31"/>
    <mergeCell ref="Y30:Y31"/>
    <mergeCell ref="Z30:Z31"/>
    <mergeCell ref="AA30:AA31"/>
    <mergeCell ref="AB30:AB31"/>
    <mergeCell ref="W28:W29"/>
    <mergeCell ref="X28:X29"/>
    <mergeCell ref="Y28:Y29"/>
    <mergeCell ref="Z28:Z29"/>
    <mergeCell ref="AA28:AA29"/>
    <mergeCell ref="AB28:AB29"/>
    <mergeCell ref="AB22:AB23"/>
    <mergeCell ref="W20:W21"/>
    <mergeCell ref="X20:X21"/>
    <mergeCell ref="Y20:Y21"/>
    <mergeCell ref="Z20:Z21"/>
    <mergeCell ref="AA20:AA21"/>
    <mergeCell ref="W26:W27"/>
    <mergeCell ref="X26:X27"/>
    <mergeCell ref="Y26:Y27"/>
    <mergeCell ref="Z26:Z27"/>
    <mergeCell ref="AA26:AA27"/>
    <mergeCell ref="AB26:AB27"/>
    <mergeCell ref="W24:W25"/>
    <mergeCell ref="X24:X25"/>
    <mergeCell ref="Y24:Y25"/>
    <mergeCell ref="Z24:Z25"/>
    <mergeCell ref="AA24:AA25"/>
    <mergeCell ref="AB24:AB25"/>
    <mergeCell ref="AB20:AB21"/>
    <mergeCell ref="X11:X12"/>
    <mergeCell ref="Y11:Y12"/>
    <mergeCell ref="Z11:Z12"/>
    <mergeCell ref="AA11:AA12"/>
    <mergeCell ref="W22:W23"/>
    <mergeCell ref="X22:X23"/>
    <mergeCell ref="Y22:Y23"/>
    <mergeCell ref="Z22:Z23"/>
    <mergeCell ref="AA22:AA23"/>
    <mergeCell ref="W9:W10"/>
    <mergeCell ref="X9:X10"/>
    <mergeCell ref="Y9:Y10"/>
    <mergeCell ref="Z9:Z10"/>
    <mergeCell ref="AA9:AA10"/>
    <mergeCell ref="AB9:AB10"/>
    <mergeCell ref="U5:U6"/>
    <mergeCell ref="N22:N23"/>
    <mergeCell ref="Q22:Q23"/>
    <mergeCell ref="R22:R23"/>
    <mergeCell ref="W18:W19"/>
    <mergeCell ref="X18:X19"/>
    <mergeCell ref="Y18:Y19"/>
    <mergeCell ref="Z18:Z19"/>
    <mergeCell ref="AA18:AA19"/>
    <mergeCell ref="AB18:AB19"/>
    <mergeCell ref="AB11:AB12"/>
    <mergeCell ref="W14:W15"/>
    <mergeCell ref="X14:X15"/>
    <mergeCell ref="Y14:Y15"/>
    <mergeCell ref="Z14:Z15"/>
    <mergeCell ref="AA14:AA15"/>
    <mergeCell ref="AB14:AB15"/>
    <mergeCell ref="W11:W12"/>
    <mergeCell ref="N5:N6"/>
    <mergeCell ref="Q5:Q6"/>
    <mergeCell ref="R5:R6"/>
    <mergeCell ref="S5:S6"/>
    <mergeCell ref="T5:T6"/>
    <mergeCell ref="U13:U14"/>
    <mergeCell ref="N16:N17"/>
    <mergeCell ref="Q16:Q17"/>
    <mergeCell ref="R16:R17"/>
    <mergeCell ref="S16:S17"/>
    <mergeCell ref="T16:T17"/>
    <mergeCell ref="U16:U17"/>
    <mergeCell ref="N13:N14"/>
    <mergeCell ref="Q13:Q14"/>
    <mergeCell ref="R13:R14"/>
    <mergeCell ref="S13:S14"/>
    <mergeCell ref="T13:T14"/>
    <mergeCell ref="O5:O6"/>
    <mergeCell ref="P5:P6"/>
    <mergeCell ref="O13:O14"/>
    <mergeCell ref="P13:P14"/>
    <mergeCell ref="O16:O17"/>
    <mergeCell ref="P16:P17"/>
    <mergeCell ref="S22:S23"/>
    <mergeCell ref="T22:T23"/>
    <mergeCell ref="U22:U23"/>
    <mergeCell ref="U27:U28"/>
    <mergeCell ref="N32:N33"/>
    <mergeCell ref="Q32:Q33"/>
    <mergeCell ref="R32:R33"/>
    <mergeCell ref="S32:S33"/>
    <mergeCell ref="T32:T33"/>
    <mergeCell ref="N27:N28"/>
    <mergeCell ref="Q27:Q28"/>
    <mergeCell ref="R27:R28"/>
    <mergeCell ref="S27:S28"/>
    <mergeCell ref="T27:T28"/>
    <mergeCell ref="O22:O23"/>
    <mergeCell ref="P22:P23"/>
    <mergeCell ref="O27:O28"/>
    <mergeCell ref="P27:P28"/>
    <mergeCell ref="O32:O33"/>
    <mergeCell ref="P32:P33"/>
    <mergeCell ref="N44:N45"/>
    <mergeCell ref="Q44:Q45"/>
    <mergeCell ref="R44:R45"/>
    <mergeCell ref="N51:N52"/>
    <mergeCell ref="Q51:Q52"/>
    <mergeCell ref="R51:R52"/>
    <mergeCell ref="S51:S52"/>
    <mergeCell ref="T51:T52"/>
    <mergeCell ref="U32:U33"/>
    <mergeCell ref="S40:S41"/>
    <mergeCell ref="T40:T41"/>
    <mergeCell ref="U40:U41"/>
    <mergeCell ref="Q40:Q41"/>
    <mergeCell ref="R40:R41"/>
    <mergeCell ref="N40:N41"/>
    <mergeCell ref="O40:O41"/>
    <mergeCell ref="P40:P41"/>
    <mergeCell ref="O44:O45"/>
    <mergeCell ref="P44:P45"/>
    <mergeCell ref="O48:O49"/>
    <mergeCell ref="P48:P49"/>
    <mergeCell ref="O51:O52"/>
    <mergeCell ref="P51:P52"/>
    <mergeCell ref="E35:E39"/>
    <mergeCell ref="G33:K33"/>
    <mergeCell ref="S64:S65"/>
    <mergeCell ref="T64:T65"/>
    <mergeCell ref="U64:U65"/>
    <mergeCell ref="N68:N69"/>
    <mergeCell ref="Q68:Q69"/>
    <mergeCell ref="R68:R69"/>
    <mergeCell ref="S68:S69"/>
    <mergeCell ref="T68:T69"/>
    <mergeCell ref="U68:U69"/>
    <mergeCell ref="N64:N65"/>
    <mergeCell ref="Q64:Q65"/>
    <mergeCell ref="R64:R65"/>
    <mergeCell ref="U51:U52"/>
    <mergeCell ref="S44:S45"/>
    <mergeCell ref="T44:T45"/>
    <mergeCell ref="U44:U45"/>
    <mergeCell ref="N48:N49"/>
    <mergeCell ref="Q48:Q49"/>
    <mergeCell ref="R48:R49"/>
    <mergeCell ref="S48:S49"/>
    <mergeCell ref="T48:T49"/>
    <mergeCell ref="U48:U49"/>
  </mergeCells>
  <conditionalFormatting sqref="C8:K8 C10:K10 C12:K12 C15:K15 C17:K17 C19:K19 E22:K22">
    <cfRule type="expression" dxfId="1" priority="5">
      <formula>C8&gt;0</formula>
    </cfRule>
    <cfRule type="expression" dxfId="0" priority="6">
      <formula>C8&lt;0</formula>
    </cfRule>
  </conditionalFormatting>
  <conditionalFormatting sqref="G35:K39">
    <cfRule type="colorScale" priority="1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F04-4261-40E9-8867-CFBF0DCA1268}">
  <sheetPr>
    <pageSetUpPr fitToPage="1"/>
  </sheetPr>
  <dimension ref="A1:AE40"/>
  <sheetViews>
    <sheetView tabSelected="1" view="pageBreakPreview" topLeftCell="A2" zoomScale="115" zoomScaleNormal="94" zoomScaleSheetLayoutView="100" workbookViewId="0">
      <selection activeCell="P24" sqref="P24"/>
    </sheetView>
  </sheetViews>
  <sheetFormatPr baseColWidth="10" defaultColWidth="10.83203125" defaultRowHeight="15" customHeight="1" x14ac:dyDescent="0.2"/>
  <cols>
    <col min="1" max="1" width="5.83203125" style="24" customWidth="1"/>
    <col min="2" max="4" width="10.83203125" style="24" customWidth="1"/>
    <col min="5" max="5" width="14.5" style="24" bestFit="1" customWidth="1"/>
    <col min="6" max="6" width="13.5" style="24" bestFit="1" customWidth="1"/>
    <col min="7" max="14" width="10.83203125" style="24" customWidth="1"/>
    <col min="15" max="15" width="5.83203125" style="24" customWidth="1"/>
    <col min="16" max="16384" width="10.83203125" style="24"/>
  </cols>
  <sheetData>
    <row r="1" spans="1:16" ht="15" customHeight="1" x14ac:dyDescent="0.2">
      <c r="M1" s="31"/>
      <c r="N1" s="31"/>
      <c r="O1" s="31"/>
      <c r="P1" s="31"/>
    </row>
    <row r="2" spans="1:16" ht="24" x14ac:dyDescent="0.2">
      <c r="B2" s="26" t="s">
        <v>265</v>
      </c>
      <c r="D2"/>
      <c r="G2" s="25" t="s">
        <v>117</v>
      </c>
      <c r="M2" s="31"/>
      <c r="N2" s="31"/>
      <c r="O2" s="31"/>
      <c r="P2" s="31"/>
    </row>
    <row r="3" spans="1:16" ht="24" customHeight="1" x14ac:dyDescent="0.2">
      <c r="G3" s="25" t="s">
        <v>118</v>
      </c>
      <c r="M3" s="31"/>
      <c r="N3" s="31"/>
      <c r="O3" s="31"/>
      <c r="P3" s="31"/>
    </row>
    <row r="4" spans="1:16" ht="15" customHeight="1" x14ac:dyDescent="0.2">
      <c r="F4" s="25"/>
      <c r="M4" s="31"/>
      <c r="N4" s="31"/>
      <c r="O4" s="31"/>
      <c r="P4" s="31"/>
    </row>
    <row r="5" spans="1:16" ht="15" customHeight="1" x14ac:dyDescent="0.2">
      <c r="A5" s="31"/>
      <c r="B5" s="31"/>
      <c r="C5" s="31"/>
      <c r="D5" s="31"/>
      <c r="E5" s="87" t="s">
        <v>57</v>
      </c>
      <c r="F5" s="88" t="s">
        <v>58</v>
      </c>
      <c r="G5" s="89" t="s">
        <v>21</v>
      </c>
      <c r="H5" s="31"/>
      <c r="I5" s="31"/>
      <c r="J5" s="31"/>
      <c r="K5" s="31"/>
      <c r="L5" s="31"/>
      <c r="M5" s="31"/>
      <c r="N5" s="31"/>
      <c r="O5" s="31"/>
      <c r="P5" s="31"/>
    </row>
    <row r="6" spans="1:16" ht="15" customHeight="1" thickBot="1" x14ac:dyDescent="0.25">
      <c r="A6" s="32"/>
      <c r="B6" s="94">
        <v>45236</v>
      </c>
      <c r="C6" s="93" t="s">
        <v>63</v>
      </c>
      <c r="D6" s="82">
        <f>DCF!G26</f>
        <v>200.4</v>
      </c>
      <c r="E6" s="90">
        <v>5.99</v>
      </c>
      <c r="F6" s="91">
        <f>DCF!C27</f>
        <v>620</v>
      </c>
      <c r="G6" s="92">
        <f>DCF!C28</f>
        <v>3449</v>
      </c>
      <c r="H6" s="31"/>
      <c r="I6" s="31"/>
      <c r="J6" s="31"/>
      <c r="K6" s="31"/>
      <c r="L6" s="31"/>
      <c r="M6" s="31"/>
      <c r="N6" s="31"/>
      <c r="O6" s="31"/>
      <c r="P6" s="31"/>
    </row>
    <row r="7" spans="1:16" ht="15" customHeight="1" thickBot="1" x14ac:dyDescent="0.25">
      <c r="A7" s="32"/>
      <c r="B7" s="31"/>
      <c r="C7" s="31"/>
      <c r="D7" s="32"/>
      <c r="E7" s="32"/>
      <c r="F7" s="32"/>
      <c r="G7" s="32"/>
      <c r="H7" s="242" t="s">
        <v>64</v>
      </c>
      <c r="I7" s="243"/>
      <c r="J7" s="244"/>
      <c r="K7" s="242" t="s">
        <v>65</v>
      </c>
      <c r="L7" s="244"/>
      <c r="M7" s="242" t="s">
        <v>66</v>
      </c>
      <c r="N7" s="244"/>
      <c r="O7" s="31"/>
      <c r="P7" s="31"/>
    </row>
    <row r="8" spans="1:16" ht="16" thickBot="1" x14ac:dyDescent="0.25">
      <c r="A8" s="32"/>
      <c r="B8" s="36" t="s">
        <v>1</v>
      </c>
      <c r="C8" s="37" t="s">
        <v>62</v>
      </c>
      <c r="D8" s="38" t="s">
        <v>20</v>
      </c>
      <c r="E8" s="38" t="s">
        <v>359</v>
      </c>
      <c r="F8" s="38" t="s">
        <v>17</v>
      </c>
      <c r="G8" s="38" t="s">
        <v>61</v>
      </c>
      <c r="H8" s="39">
        <v>2022</v>
      </c>
      <c r="I8" s="38">
        <v>2023</v>
      </c>
      <c r="J8" s="40">
        <v>2024</v>
      </c>
      <c r="K8" s="39">
        <v>2023</v>
      </c>
      <c r="L8" s="40">
        <v>2024</v>
      </c>
      <c r="M8" s="38">
        <v>2023</v>
      </c>
      <c r="N8" s="40">
        <v>2024</v>
      </c>
      <c r="O8" s="31"/>
      <c r="P8" s="31"/>
    </row>
    <row r="9" spans="1:16" ht="15" customHeight="1" thickBot="1" x14ac:dyDescent="0.25">
      <c r="A9" s="32"/>
      <c r="B9" s="83" t="s">
        <v>266</v>
      </c>
      <c r="C9" s="41" t="s">
        <v>267</v>
      </c>
      <c r="D9" s="42">
        <f>DCF!G26</f>
        <v>200.4</v>
      </c>
      <c r="E9" s="43">
        <f>DCF!C30</f>
        <v>171.89</v>
      </c>
      <c r="F9" s="44">
        <f>DCF!C26</f>
        <v>39469.730749385955</v>
      </c>
      <c r="G9" s="44">
        <f>E9*D9</f>
        <v>34446.756000000001</v>
      </c>
      <c r="H9" s="45">
        <f>DCF!E7</f>
        <v>8362</v>
      </c>
      <c r="I9" s="44">
        <f>DCF!F7</f>
        <v>9677</v>
      </c>
      <c r="J9" s="46">
        <f>DCF!G7</f>
        <v>10330</v>
      </c>
      <c r="K9" s="45">
        <f>DCF!F9+DCF!F14</f>
        <v>1787</v>
      </c>
      <c r="L9" s="46">
        <f>DCF!G9+DCF!G14</f>
        <v>2095</v>
      </c>
      <c r="M9" s="44">
        <f>DCF!Q53</f>
        <v>633</v>
      </c>
      <c r="N9" s="46">
        <v>815</v>
      </c>
      <c r="O9" s="31"/>
      <c r="P9" s="31"/>
    </row>
    <row r="10" spans="1:16" ht="15" customHeight="1" x14ac:dyDescent="0.2">
      <c r="A10" s="32"/>
      <c r="B10" s="84" t="s">
        <v>269</v>
      </c>
      <c r="C10" s="47" t="s">
        <v>268</v>
      </c>
      <c r="D10" s="48">
        <v>65.209999999999994</v>
      </c>
      <c r="E10" s="49">
        <v>31.34</v>
      </c>
      <c r="F10" s="50">
        <v>2570</v>
      </c>
      <c r="G10" s="50">
        <v>2044</v>
      </c>
      <c r="H10" s="51">
        <v>2977</v>
      </c>
      <c r="I10" s="50">
        <v>3944</v>
      </c>
      <c r="J10" s="52">
        <v>3544</v>
      </c>
      <c r="K10" s="51">
        <v>276</v>
      </c>
      <c r="L10" s="52">
        <v>433</v>
      </c>
      <c r="M10" s="50">
        <v>62</v>
      </c>
      <c r="N10" s="52">
        <v>160</v>
      </c>
      <c r="O10" s="31"/>
      <c r="P10" s="31"/>
    </row>
    <row r="11" spans="1:16" ht="15" customHeight="1" x14ac:dyDescent="0.2">
      <c r="A11" s="32"/>
      <c r="B11" s="85" t="s">
        <v>271</v>
      </c>
      <c r="C11" s="53" t="s">
        <v>270</v>
      </c>
      <c r="D11" s="54">
        <v>36.880000000000003</v>
      </c>
      <c r="E11" s="55">
        <v>1950</v>
      </c>
      <c r="F11" s="56">
        <v>3420</v>
      </c>
      <c r="G11" s="56">
        <v>71120</v>
      </c>
      <c r="H11" s="57">
        <v>14853</v>
      </c>
      <c r="I11" s="56">
        <v>14657</v>
      </c>
      <c r="J11" s="58">
        <v>14681</v>
      </c>
      <c r="K11" s="57">
        <v>7656</v>
      </c>
      <c r="L11" s="58">
        <v>7311</v>
      </c>
      <c r="M11" s="56">
        <v>4166</v>
      </c>
      <c r="N11" s="58">
        <v>3715</v>
      </c>
      <c r="O11" s="31"/>
      <c r="P11" s="31"/>
    </row>
    <row r="12" spans="1:16" ht="15" customHeight="1" x14ac:dyDescent="0.2">
      <c r="A12" s="32"/>
      <c r="B12" s="85" t="s">
        <v>273</v>
      </c>
      <c r="C12" s="53" t="s">
        <v>272</v>
      </c>
      <c r="D12" s="54">
        <v>37</v>
      </c>
      <c r="E12" s="55">
        <v>82.16</v>
      </c>
      <c r="F12" s="56">
        <v>8340</v>
      </c>
      <c r="G12" s="56">
        <v>2870</v>
      </c>
      <c r="H12" s="57">
        <v>1977</v>
      </c>
      <c r="I12" s="56">
        <v>2983</v>
      </c>
      <c r="J12" s="58">
        <v>3247</v>
      </c>
      <c r="K12" s="57">
        <v>707</v>
      </c>
      <c r="L12" s="58">
        <v>822</v>
      </c>
      <c r="M12" s="56">
        <v>106</v>
      </c>
      <c r="N12" s="58">
        <v>172</v>
      </c>
      <c r="O12" s="31"/>
      <c r="P12" s="31"/>
    </row>
    <row r="13" spans="1:16" ht="15" customHeight="1" x14ac:dyDescent="0.2">
      <c r="A13" s="32"/>
      <c r="B13" s="85" t="s">
        <v>275</v>
      </c>
      <c r="C13" s="53" t="s">
        <v>274</v>
      </c>
      <c r="D13" s="54">
        <v>112.32</v>
      </c>
      <c r="E13" s="55">
        <v>628</v>
      </c>
      <c r="F13" s="56">
        <v>88800</v>
      </c>
      <c r="G13" s="56">
        <v>73710</v>
      </c>
      <c r="H13" s="57">
        <v>17107</v>
      </c>
      <c r="I13" s="56">
        <v>16828</v>
      </c>
      <c r="J13" s="58">
        <v>17159</v>
      </c>
      <c r="K13" s="57">
        <v>9027</v>
      </c>
      <c r="L13" s="58">
        <v>8941</v>
      </c>
      <c r="M13" s="56">
        <v>5625</v>
      </c>
      <c r="N13" s="58">
        <v>5432</v>
      </c>
      <c r="O13" s="31"/>
      <c r="P13" s="31"/>
    </row>
    <row r="14" spans="1:16" ht="15" customHeight="1" x14ac:dyDescent="0.2">
      <c r="A14" s="32"/>
      <c r="B14" s="113" t="s">
        <v>278</v>
      </c>
      <c r="C14" s="114" t="s">
        <v>279</v>
      </c>
      <c r="D14" s="115">
        <v>280.06</v>
      </c>
      <c r="E14" s="116">
        <v>244</v>
      </c>
      <c r="F14" s="117">
        <v>104410</v>
      </c>
      <c r="G14" s="117">
        <v>73190</v>
      </c>
      <c r="H14" s="118">
        <v>93512</v>
      </c>
      <c r="I14" s="117">
        <v>90155</v>
      </c>
      <c r="J14" s="119">
        <v>87693</v>
      </c>
      <c r="K14" s="118">
        <v>10233</v>
      </c>
      <c r="L14" s="119">
        <v>10868</v>
      </c>
      <c r="M14" s="117">
        <v>3972</v>
      </c>
      <c r="N14" s="119">
        <v>4331</v>
      </c>
      <c r="O14" s="31"/>
      <c r="P14" s="31"/>
    </row>
    <row r="15" spans="1:16" ht="15" customHeight="1" thickBot="1" x14ac:dyDescent="0.25">
      <c r="A15" s="32"/>
      <c r="B15" s="86" t="s">
        <v>277</v>
      </c>
      <c r="C15" s="59" t="s">
        <v>276</v>
      </c>
      <c r="D15" s="60">
        <v>277</v>
      </c>
      <c r="E15" s="61">
        <v>226</v>
      </c>
      <c r="F15" s="62">
        <v>73120</v>
      </c>
      <c r="G15" s="62">
        <v>56180</v>
      </c>
      <c r="H15" s="63">
        <v>12745</v>
      </c>
      <c r="I15" s="62">
        <v>12156</v>
      </c>
      <c r="J15" s="64">
        <v>12172</v>
      </c>
      <c r="K15" s="63">
        <v>4340</v>
      </c>
      <c r="L15" s="64">
        <v>5196</v>
      </c>
      <c r="M15" s="62">
        <v>1827</v>
      </c>
      <c r="N15" s="64">
        <v>2416</v>
      </c>
      <c r="O15" s="31"/>
      <c r="P15" s="31"/>
    </row>
    <row r="16" spans="1:16" ht="15" customHeight="1" thickBot="1" x14ac:dyDescent="0.25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81"/>
      <c r="N16" s="81"/>
      <c r="O16" s="31"/>
      <c r="P16" s="31"/>
    </row>
    <row r="17" spans="1:31" ht="15" customHeight="1" x14ac:dyDescent="0.2">
      <c r="A17" s="32"/>
      <c r="B17" s="32"/>
      <c r="C17" s="242" t="s">
        <v>47</v>
      </c>
      <c r="D17" s="244"/>
      <c r="E17" s="242" t="s">
        <v>48</v>
      </c>
      <c r="F17" s="244"/>
      <c r="G17" s="242" t="s">
        <v>49</v>
      </c>
      <c r="H17" s="244"/>
      <c r="I17" s="242" t="s">
        <v>50</v>
      </c>
      <c r="J17" s="244"/>
      <c r="K17" s="242" t="s">
        <v>51</v>
      </c>
      <c r="L17" s="244"/>
      <c r="M17" s="242" t="s">
        <v>52</v>
      </c>
      <c r="N17" s="244"/>
      <c r="O17" s="31"/>
      <c r="P17" s="31"/>
    </row>
    <row r="18" spans="1:31" ht="15" customHeight="1" thickBot="1" x14ac:dyDescent="0.25">
      <c r="A18" s="32"/>
      <c r="B18" s="32"/>
      <c r="C18" s="34">
        <v>2022</v>
      </c>
      <c r="D18" s="35">
        <v>2023</v>
      </c>
      <c r="E18" s="34">
        <v>2022</v>
      </c>
      <c r="F18" s="35">
        <v>2023</v>
      </c>
      <c r="G18" s="34">
        <v>2022</v>
      </c>
      <c r="H18" s="35">
        <v>2023</v>
      </c>
      <c r="I18" s="34">
        <v>2022</v>
      </c>
      <c r="J18" s="35">
        <v>2023</v>
      </c>
      <c r="K18" s="34">
        <v>2022</v>
      </c>
      <c r="L18" s="35">
        <v>2023</v>
      </c>
      <c r="M18" s="34">
        <v>2022</v>
      </c>
      <c r="N18" s="35">
        <v>2023</v>
      </c>
      <c r="O18" s="31"/>
      <c r="P18" s="31"/>
      <c r="Q18" s="33"/>
    </row>
    <row r="19" spans="1:31" ht="15" customHeight="1" thickBot="1" x14ac:dyDescent="0.25">
      <c r="A19" s="32"/>
      <c r="B19" s="83" t="str">
        <f>B9</f>
        <v>WAB</v>
      </c>
      <c r="C19" s="65">
        <f t="shared" ref="C19:D25" si="0">I9/H9-1</f>
        <v>0.15725902894044497</v>
      </c>
      <c r="D19" s="66">
        <f t="shared" si="0"/>
        <v>6.7479590782267174E-2</v>
      </c>
      <c r="E19" s="65">
        <f t="shared" ref="E19:F25" si="1">K9/I9</f>
        <v>0.18466466880231477</v>
      </c>
      <c r="F19" s="66">
        <f>L9/J9</f>
        <v>0.20280735721200388</v>
      </c>
      <c r="G19" s="65">
        <f t="shared" ref="G19:H25" si="2">M9/I9</f>
        <v>6.5412834556164104E-2</v>
      </c>
      <c r="H19" s="66">
        <f>N9/J9</f>
        <v>7.8896418199419172E-2</v>
      </c>
      <c r="I19" s="67">
        <f t="shared" ref="I19:L25" si="3">$F9/I9</f>
        <v>4.0787155884453812</v>
      </c>
      <c r="J19" s="68">
        <f t="shared" si="3"/>
        <v>3.8208839060392985</v>
      </c>
      <c r="K19" s="67">
        <f t="shared" si="3"/>
        <v>22.087146474194714</v>
      </c>
      <c r="L19" s="68">
        <f>$F9/L9</f>
        <v>18.8399669448143</v>
      </c>
      <c r="M19" s="67">
        <f>$G9/M9</f>
        <v>54.418255924170616</v>
      </c>
      <c r="N19" s="68">
        <f t="shared" ref="M19:N25" si="4">$G9/N9</f>
        <v>42.265958282208594</v>
      </c>
      <c r="O19" s="32"/>
      <c r="P19" s="32"/>
      <c r="Q19" s="100"/>
      <c r="R19" s="32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</row>
    <row r="20" spans="1:31" ht="15" customHeight="1" x14ac:dyDescent="0.2">
      <c r="A20" s="32"/>
      <c r="B20" s="84" t="str">
        <f>B10</f>
        <v>GBX</v>
      </c>
      <c r="C20" s="69">
        <f t="shared" si="0"/>
        <v>0.32482364796775287</v>
      </c>
      <c r="D20" s="70">
        <f t="shared" si="0"/>
        <v>-0.10141987829614607</v>
      </c>
      <c r="E20" s="69">
        <f t="shared" si="1"/>
        <v>6.9979716024340777E-2</v>
      </c>
      <c r="F20" s="70">
        <f t="shared" si="1"/>
        <v>0.1221783295711061</v>
      </c>
      <c r="G20" s="69">
        <f t="shared" si="2"/>
        <v>1.5720081135902637E-2</v>
      </c>
      <c r="H20" s="70">
        <f t="shared" si="2"/>
        <v>4.5146726862302484E-2</v>
      </c>
      <c r="I20" s="71">
        <f>$F10/I10</f>
        <v>0.6516227180527383</v>
      </c>
      <c r="J20" s="72">
        <f t="shared" si="3"/>
        <v>0.72516930022573367</v>
      </c>
      <c r="K20" s="71">
        <f>$F10/K10</f>
        <v>9.3115942028985508</v>
      </c>
      <c r="L20" s="72">
        <f t="shared" si="3"/>
        <v>5.9353348729792144</v>
      </c>
      <c r="M20" s="71">
        <f t="shared" si="4"/>
        <v>32.967741935483872</v>
      </c>
      <c r="N20" s="72">
        <f t="shared" si="4"/>
        <v>12.775</v>
      </c>
      <c r="O20" s="31"/>
      <c r="P20" s="31"/>
      <c r="S20" s="32"/>
      <c r="T20" s="32"/>
      <c r="U20" s="32"/>
      <c r="AE20" s="80"/>
    </row>
    <row r="21" spans="1:31" ht="15" customHeight="1" x14ac:dyDescent="0.2">
      <c r="A21" s="32"/>
      <c r="B21" s="85" t="str">
        <f>B11</f>
        <v>CSX</v>
      </c>
      <c r="C21" s="69">
        <f t="shared" si="0"/>
        <v>-1.3195987342624393E-2</v>
      </c>
      <c r="D21" s="70">
        <f t="shared" si="0"/>
        <v>1.6374428600669511E-3</v>
      </c>
      <c r="E21" s="69">
        <f t="shared" si="1"/>
        <v>0.52234427236132908</v>
      </c>
      <c r="F21" s="70">
        <f t="shared" si="1"/>
        <v>0.49799060009536134</v>
      </c>
      <c r="G21" s="69">
        <f t="shared" si="2"/>
        <v>0.28423278979327282</v>
      </c>
      <c r="H21" s="70">
        <f t="shared" si="2"/>
        <v>0.25304815748246035</v>
      </c>
      <c r="I21" s="71">
        <f t="shared" si="3"/>
        <v>0.23333560755952787</v>
      </c>
      <c r="J21" s="72">
        <f t="shared" si="3"/>
        <v>0.23295415843607384</v>
      </c>
      <c r="K21" s="71">
        <f t="shared" si="3"/>
        <v>0.44670846394984326</v>
      </c>
      <c r="L21" s="72">
        <f t="shared" si="3"/>
        <v>0.46778826425933523</v>
      </c>
      <c r="M21" s="71">
        <f t="shared" si="4"/>
        <v>17.071531445031205</v>
      </c>
      <c r="N21" s="72">
        <f t="shared" si="4"/>
        <v>19.144010767160161</v>
      </c>
      <c r="O21" s="31"/>
      <c r="P21" s="31"/>
      <c r="T21" s="32"/>
      <c r="U21" s="32"/>
    </row>
    <row r="22" spans="1:31" ht="15" customHeight="1" x14ac:dyDescent="0.2">
      <c r="A22" s="32"/>
      <c r="B22" s="85" t="str">
        <f t="shared" ref="B22:B24" si="5">B12</f>
        <v>TRN</v>
      </c>
      <c r="C22" s="69">
        <f t="shared" si="0"/>
        <v>0.50885179564997474</v>
      </c>
      <c r="D22" s="70">
        <f t="shared" si="0"/>
        <v>8.8501508548441077E-2</v>
      </c>
      <c r="E22" s="69">
        <f t="shared" si="1"/>
        <v>0.23700972175662086</v>
      </c>
      <c r="F22" s="70">
        <f t="shared" si="1"/>
        <v>0.25315676008623345</v>
      </c>
      <c r="G22" s="69">
        <f t="shared" si="2"/>
        <v>3.5534696614146835E-2</v>
      </c>
      <c r="H22" s="70">
        <f t="shared" si="2"/>
        <v>5.2971974129966119E-2</v>
      </c>
      <c r="I22" s="71">
        <f t="shared" si="3"/>
        <v>2.7958431109621187</v>
      </c>
      <c r="J22" s="72">
        <f t="shared" si="3"/>
        <v>2.5685247921157992</v>
      </c>
      <c r="K22" s="71">
        <f t="shared" si="3"/>
        <v>11.796322489391796</v>
      </c>
      <c r="L22" s="72">
        <f t="shared" si="3"/>
        <v>10.145985401459853</v>
      </c>
      <c r="M22" s="71">
        <f t="shared" si="4"/>
        <v>27.075471698113208</v>
      </c>
      <c r="N22" s="72">
        <f t="shared" si="4"/>
        <v>16.686046511627907</v>
      </c>
      <c r="O22" s="31"/>
      <c r="P22" s="31"/>
      <c r="T22" s="80"/>
      <c r="U22" s="80"/>
    </row>
    <row r="23" spans="1:31" ht="15" customHeight="1" x14ac:dyDescent="0.2">
      <c r="A23" s="32"/>
      <c r="B23" s="85" t="str">
        <f t="shared" si="5"/>
        <v>CNI</v>
      </c>
      <c r="C23" s="69">
        <f t="shared" si="0"/>
        <v>-1.6309113228502925E-2</v>
      </c>
      <c r="D23" s="70">
        <f t="shared" si="0"/>
        <v>1.9669598288566625E-2</v>
      </c>
      <c r="E23" s="69">
        <f t="shared" si="1"/>
        <v>0.53642738293320658</v>
      </c>
      <c r="F23" s="70">
        <f t="shared" si="1"/>
        <v>0.52106766128562265</v>
      </c>
      <c r="G23" s="69">
        <f t="shared" si="2"/>
        <v>0.33426432136914663</v>
      </c>
      <c r="H23" s="70">
        <f t="shared" si="2"/>
        <v>0.31656856460166677</v>
      </c>
      <c r="I23" s="71">
        <f t="shared" si="3"/>
        <v>5.276919420014262</v>
      </c>
      <c r="J23" s="72">
        <f t="shared" si="3"/>
        <v>5.1751267556384404</v>
      </c>
      <c r="K23" s="71">
        <f t="shared" si="3"/>
        <v>9.8371552010634762</v>
      </c>
      <c r="L23" s="72">
        <f t="shared" si="3"/>
        <v>9.9317749692428148</v>
      </c>
      <c r="M23" s="71">
        <f t="shared" si="4"/>
        <v>13.103999999999999</v>
      </c>
      <c r="N23" s="72">
        <f t="shared" si="4"/>
        <v>13.56958762886598</v>
      </c>
      <c r="O23" s="31"/>
      <c r="P23" s="31"/>
      <c r="T23" s="80"/>
      <c r="U23" s="80"/>
    </row>
    <row r="24" spans="1:31" ht="15" customHeight="1" x14ac:dyDescent="0.2">
      <c r="A24" s="32"/>
      <c r="B24" s="85" t="str">
        <f t="shared" si="5"/>
        <v>FDX</v>
      </c>
      <c r="C24" s="69">
        <f t="shared" si="0"/>
        <v>-3.5899135939772453E-2</v>
      </c>
      <c r="D24" s="70">
        <f t="shared" si="0"/>
        <v>-2.7308524208307872E-2</v>
      </c>
      <c r="E24" s="69">
        <f t="shared" si="1"/>
        <v>0.11350451999334479</v>
      </c>
      <c r="F24" s="70">
        <f t="shared" si="1"/>
        <v>0.12393235492000501</v>
      </c>
      <c r="G24" s="69">
        <f t="shared" si="2"/>
        <v>4.4057456602517885E-2</v>
      </c>
      <c r="H24" s="70">
        <f t="shared" si="2"/>
        <v>4.9388206584333981E-2</v>
      </c>
      <c r="I24" s="71">
        <f t="shared" si="3"/>
        <v>1.1581165770062669</v>
      </c>
      <c r="J24" s="72">
        <f t="shared" si="3"/>
        <v>1.1906309511591575</v>
      </c>
      <c r="K24" s="71">
        <f t="shared" si="3"/>
        <v>10.203263949965796</v>
      </c>
      <c r="L24" s="72">
        <f t="shared" si="3"/>
        <v>9.6071034228928962</v>
      </c>
      <c r="M24" s="71">
        <f t="shared" si="4"/>
        <v>18.426485397784493</v>
      </c>
      <c r="N24" s="72">
        <f t="shared" si="4"/>
        <v>16.899099515123527</v>
      </c>
      <c r="O24" s="31"/>
      <c r="P24" s="31"/>
      <c r="T24" s="80"/>
      <c r="U24" s="80"/>
    </row>
    <row r="25" spans="1:31" ht="15" customHeight="1" thickBot="1" x14ac:dyDescent="0.25">
      <c r="A25" s="32"/>
      <c r="B25" s="86" t="str">
        <f>B15</f>
        <v>NSC</v>
      </c>
      <c r="C25" s="73">
        <f t="shared" si="0"/>
        <v>-4.6214201647704956E-2</v>
      </c>
      <c r="D25" s="74">
        <f t="shared" si="0"/>
        <v>1.3162224415925738E-3</v>
      </c>
      <c r="E25" s="73">
        <f t="shared" si="1"/>
        <v>0.35702533728200064</v>
      </c>
      <c r="F25" s="74">
        <f t="shared" si="1"/>
        <v>0.42688136707196844</v>
      </c>
      <c r="G25" s="73">
        <f t="shared" si="2"/>
        <v>0.15029615004935834</v>
      </c>
      <c r="H25" s="74">
        <f t="shared" si="2"/>
        <v>0.19848833388103845</v>
      </c>
      <c r="I25" s="75">
        <f t="shared" si="3"/>
        <v>6.0151365580783152</v>
      </c>
      <c r="J25" s="76">
        <f t="shared" si="3"/>
        <v>6.0072297075254681</v>
      </c>
      <c r="K25" s="75">
        <f t="shared" si="3"/>
        <v>16.847926267281107</v>
      </c>
      <c r="L25" s="76">
        <f t="shared" si="3"/>
        <v>14.072363356428022</v>
      </c>
      <c r="M25" s="75">
        <f t="shared" si="4"/>
        <v>30.749863163656268</v>
      </c>
      <c r="N25" s="76">
        <f t="shared" si="4"/>
        <v>23.253311258278146</v>
      </c>
      <c r="O25" s="31"/>
      <c r="P25" s="31"/>
      <c r="T25" s="80"/>
      <c r="U25" s="80"/>
    </row>
    <row r="26" spans="1:31" ht="15" customHeight="1" thickBot="1" x14ac:dyDescent="0.25">
      <c r="A26" s="32"/>
      <c r="B26" s="77"/>
      <c r="C26" s="78"/>
      <c r="D26" s="78"/>
      <c r="E26" s="78"/>
      <c r="F26" s="78"/>
      <c r="G26" s="78"/>
      <c r="H26" s="78"/>
      <c r="I26" s="79"/>
      <c r="J26" s="79"/>
      <c r="K26" s="79"/>
      <c r="L26" s="79"/>
      <c r="M26" s="79"/>
      <c r="N26" s="79"/>
      <c r="O26" s="31"/>
      <c r="P26" s="31"/>
      <c r="T26" s="80"/>
      <c r="U26" s="80"/>
    </row>
    <row r="27" spans="1:31" ht="15" customHeight="1" thickBot="1" x14ac:dyDescent="0.25">
      <c r="A27" s="31"/>
      <c r="B27" s="95"/>
      <c r="C27" s="239" t="s">
        <v>55</v>
      </c>
      <c r="D27" s="240"/>
      <c r="E27" s="241"/>
      <c r="F27" s="239" t="s">
        <v>17</v>
      </c>
      <c r="G27" s="240"/>
      <c r="H27" s="241"/>
      <c r="I27" s="239" t="s">
        <v>18</v>
      </c>
      <c r="J27" s="240"/>
      <c r="K27" s="241"/>
      <c r="L27" s="239" t="s">
        <v>2</v>
      </c>
      <c r="M27" s="240"/>
      <c r="N27" s="241"/>
      <c r="O27" s="31"/>
      <c r="P27" s="31"/>
      <c r="Q27" s="31"/>
    </row>
    <row r="28" spans="1:31" ht="15" customHeight="1" x14ac:dyDescent="0.2">
      <c r="A28" s="31"/>
      <c r="B28" s="31"/>
      <c r="C28" s="96" t="s">
        <v>5</v>
      </c>
      <c r="D28" s="97" t="s">
        <v>30</v>
      </c>
      <c r="E28" s="98" t="s">
        <v>56</v>
      </c>
      <c r="F28" s="97" t="s">
        <v>5</v>
      </c>
      <c r="G28" s="97" t="s">
        <v>30</v>
      </c>
      <c r="H28" s="99" t="s">
        <v>33</v>
      </c>
      <c r="I28" s="97" t="s">
        <v>5</v>
      </c>
      <c r="J28" s="97" t="s">
        <v>30</v>
      </c>
      <c r="K28" s="99" t="s">
        <v>33</v>
      </c>
      <c r="L28" s="159" t="s">
        <v>5</v>
      </c>
      <c r="M28" s="97" t="s">
        <v>30</v>
      </c>
      <c r="N28" s="99" t="s">
        <v>33</v>
      </c>
      <c r="O28" s="31"/>
      <c r="P28" s="31"/>
      <c r="Q28" s="31"/>
    </row>
    <row r="29" spans="1:31" ht="15" customHeight="1" x14ac:dyDescent="0.2">
      <c r="A29" s="31"/>
      <c r="B29" s="135" t="s">
        <v>59</v>
      </c>
      <c r="C29" s="120">
        <f>MIN(J19:J25)</f>
        <v>0.23295415843607384</v>
      </c>
      <c r="D29" s="121">
        <f>MIN(L19:L25)</f>
        <v>0.46778826425933523</v>
      </c>
      <c r="E29" s="122">
        <f>MIN(N19:N25)</f>
        <v>12.775</v>
      </c>
      <c r="F29" s="123">
        <f>C29*$J$9</f>
        <v>2406.4164566446429</v>
      </c>
      <c r="G29" s="123">
        <f>D29*$L$9</f>
        <v>980.01641362330736</v>
      </c>
      <c r="H29" s="124">
        <f>N$9*E29</f>
        <v>10411.625</v>
      </c>
      <c r="I29" s="123">
        <f>F29+F$6-G$6</f>
        <v>-422.58354335535705</v>
      </c>
      <c r="J29" s="123">
        <f t="shared" ref="J29:J34" si="6">G29+G$6-F$6</f>
        <v>3809.016413623307</v>
      </c>
      <c r="K29" s="124">
        <f>H29+G$6-F$6</f>
        <v>13240.625</v>
      </c>
      <c r="L29" s="143">
        <f t="shared" ref="L29:L34" si="7">I29/E$9</f>
        <v>-2.4584533326857705</v>
      </c>
      <c r="M29" s="144">
        <f t="shared" ref="M29:M34" si="8">J29/E$9</f>
        <v>22.159616112765764</v>
      </c>
      <c r="N29" s="145">
        <f t="shared" ref="N29:N34" si="9">K29/E$9</f>
        <v>77.029641049508413</v>
      </c>
      <c r="O29" s="31"/>
      <c r="P29" s="31"/>
      <c r="Q29" s="31"/>
    </row>
    <row r="30" spans="1:31" ht="15" customHeight="1" x14ac:dyDescent="0.2">
      <c r="A30" s="31"/>
      <c r="B30" s="148" t="s">
        <v>282</v>
      </c>
      <c r="C30" s="149">
        <f>QUARTILE(J19:J25,1)</f>
        <v>0.95790012569244554</v>
      </c>
      <c r="D30" s="150">
        <f>QUARTILE(L19:L25,1)</f>
        <v>7.7712191479360548</v>
      </c>
      <c r="E30" s="151">
        <f>QUARTILE(N19:N25,1)</f>
        <v>15.127817070246945</v>
      </c>
      <c r="F30" s="152">
        <f>C30*$J$9</f>
        <v>9895.1082984029617</v>
      </c>
      <c r="G30" s="153">
        <f>D30*$L$9</f>
        <v>16280.704114926035</v>
      </c>
      <c r="H30" s="154">
        <f t="shared" ref="H30:H33" si="10">N$9*E30</f>
        <v>12329.17091225126</v>
      </c>
      <c r="I30" s="153">
        <f t="shared" ref="I30:I34" si="11">F30+F$6-G$6</f>
        <v>7066.1082984029617</v>
      </c>
      <c r="J30" s="153">
        <f t="shared" si="6"/>
        <v>19109.704114926033</v>
      </c>
      <c r="K30" s="154">
        <f t="shared" ref="K30" si="12">H30+G$6-F$6</f>
        <v>15158.17091225126</v>
      </c>
      <c r="L30" s="247">
        <f t="shared" si="7"/>
        <v>41.108315192291364</v>
      </c>
      <c r="M30" s="156">
        <f t="shared" si="8"/>
        <v>111.17403057144706</v>
      </c>
      <c r="N30" s="157">
        <f t="shared" si="9"/>
        <v>88.185298227071158</v>
      </c>
      <c r="O30" s="31"/>
      <c r="P30" s="31"/>
      <c r="Q30" s="31"/>
    </row>
    <row r="31" spans="1:31" ht="15" customHeight="1" x14ac:dyDescent="0.2">
      <c r="A31" s="31"/>
      <c r="B31" s="155" t="s">
        <v>53</v>
      </c>
      <c r="C31" s="149">
        <f>AVERAGE(J19:J25)</f>
        <v>2.8172170815914241</v>
      </c>
      <c r="D31" s="150">
        <f>AVERAGE(L19:L25)</f>
        <v>9.8571881760109203</v>
      </c>
      <c r="E31" s="151">
        <f>AVERAGE(N19:N25)</f>
        <v>20.656144851894901</v>
      </c>
      <c r="F31" s="153">
        <f t="shared" ref="F31:F34" si="13">C31*$J$9</f>
        <v>29101.852452839412</v>
      </c>
      <c r="G31" s="153">
        <f t="shared" ref="G31:G34" si="14">D31*$L$9</f>
        <v>20650.809228742877</v>
      </c>
      <c r="H31" s="154">
        <f t="shared" si="10"/>
        <v>16834.758054294343</v>
      </c>
      <c r="I31" s="153">
        <f t="shared" si="11"/>
        <v>26272.852452839412</v>
      </c>
      <c r="J31" s="153">
        <f t="shared" si="6"/>
        <v>23479.809228742877</v>
      </c>
      <c r="K31" s="154">
        <f t="shared" ref="K31:K34" si="15">H31+G$6-F$6</f>
        <v>19663.758054294343</v>
      </c>
      <c r="L31" s="138">
        <f t="shared" si="7"/>
        <v>152.84689308766895</v>
      </c>
      <c r="M31" s="156">
        <f t="shared" si="8"/>
        <v>136.59787787970726</v>
      </c>
      <c r="N31" s="157">
        <f t="shared" si="9"/>
        <v>114.3973358211318</v>
      </c>
      <c r="O31" s="31"/>
      <c r="P31" s="31"/>
      <c r="Q31" s="31"/>
    </row>
    <row r="32" spans="1:31" ht="15" customHeight="1" x14ac:dyDescent="0.2">
      <c r="A32" s="31"/>
      <c r="B32" s="136" t="s">
        <v>54</v>
      </c>
      <c r="C32" s="125">
        <f>MEDIAN(J19:J25)</f>
        <v>2.5685247921157992</v>
      </c>
      <c r="D32" s="126">
        <f>MEDIAN(L19:L25)</f>
        <v>9.9317749692428148</v>
      </c>
      <c r="E32" s="127">
        <f>MEDIAN(N19:N25)</f>
        <v>16.899099515123527</v>
      </c>
      <c r="F32" s="128">
        <f>C32*$J$9</f>
        <v>26532.861102556206</v>
      </c>
      <c r="G32" s="128">
        <f t="shared" si="14"/>
        <v>20807.068560563697</v>
      </c>
      <c r="H32" s="129">
        <f t="shared" si="10"/>
        <v>13772.766104825674</v>
      </c>
      <c r="I32" s="128">
        <f t="shared" si="11"/>
        <v>23703.861102556206</v>
      </c>
      <c r="J32" s="128">
        <f t="shared" si="6"/>
        <v>23636.068560563697</v>
      </c>
      <c r="K32" s="129">
        <f t="shared" si="15"/>
        <v>16601.766104825674</v>
      </c>
      <c r="L32" s="146">
        <f t="shared" si="7"/>
        <v>137.9013386616802</v>
      </c>
      <c r="M32" s="139">
        <f t="shared" si="8"/>
        <v>137.50694374637092</v>
      </c>
      <c r="N32" s="140">
        <f t="shared" si="9"/>
        <v>96.583664580985953</v>
      </c>
      <c r="O32" s="31"/>
      <c r="P32" s="31"/>
      <c r="Q32" s="31"/>
    </row>
    <row r="33" spans="1:17" ht="15" customHeight="1" x14ac:dyDescent="0.2">
      <c r="A33" s="31"/>
      <c r="B33" s="148" t="s">
        <v>283</v>
      </c>
      <c r="C33" s="149">
        <f>QUARTILE(J19:J25,3)</f>
        <v>4.4980053308388692</v>
      </c>
      <c r="D33" s="150">
        <f>QUARTILE(L19:L25,3)</f>
        <v>12.109174378943937</v>
      </c>
      <c r="E33" s="151">
        <f>QUARTILE(N19:N25,3)</f>
        <v>21.198661012719153</v>
      </c>
      <c r="F33" s="152">
        <f>C33*$J$9</f>
        <v>46464.395067565521</v>
      </c>
      <c r="G33" s="152">
        <f t="shared" si="14"/>
        <v>25368.720323887548</v>
      </c>
      <c r="H33" s="158">
        <f t="shared" si="10"/>
        <v>17276.908725366109</v>
      </c>
      <c r="I33" s="152">
        <f t="shared" si="11"/>
        <v>43635.395067565521</v>
      </c>
      <c r="J33" s="152">
        <f t="shared" si="6"/>
        <v>28197.720323887548</v>
      </c>
      <c r="K33" s="158">
        <f t="shared" ref="K33" si="16">H33+G$6-F$6</f>
        <v>20105.908725366109</v>
      </c>
      <c r="L33" s="138">
        <f t="shared" si="7"/>
        <v>253.85650746154823</v>
      </c>
      <c r="M33" s="156">
        <f t="shared" si="8"/>
        <v>164.04514703524086</v>
      </c>
      <c r="N33" s="157">
        <f t="shared" si="9"/>
        <v>116.96962432582529</v>
      </c>
      <c r="O33" s="31"/>
      <c r="P33" s="31"/>
      <c r="Q33" s="31"/>
    </row>
    <row r="34" spans="1:17" ht="15" customHeight="1" thickBot="1" x14ac:dyDescent="0.25">
      <c r="A34" s="31"/>
      <c r="B34" s="137" t="s">
        <v>60</v>
      </c>
      <c r="C34" s="130">
        <f>MAX(J19:J25)</f>
        <v>6.0072297075254681</v>
      </c>
      <c r="D34" s="131">
        <f>MAX(L19:L25)</f>
        <v>18.8399669448143</v>
      </c>
      <c r="E34" s="132">
        <f>MAX(N19:N25)</f>
        <v>42.265958282208594</v>
      </c>
      <c r="F34" s="133">
        <f t="shared" si="13"/>
        <v>62054.682878738087</v>
      </c>
      <c r="G34" s="133">
        <f t="shared" si="14"/>
        <v>39469.730749385955</v>
      </c>
      <c r="H34" s="134">
        <f>N$9*E34</f>
        <v>34446.756000000001</v>
      </c>
      <c r="I34" s="133">
        <f t="shared" si="11"/>
        <v>59225.682878738087</v>
      </c>
      <c r="J34" s="133">
        <f t="shared" si="6"/>
        <v>42298.730749385955</v>
      </c>
      <c r="K34" s="134">
        <f t="shared" si="15"/>
        <v>37275.756000000001</v>
      </c>
      <c r="L34" s="147">
        <f t="shared" si="7"/>
        <v>344.55572097700906</v>
      </c>
      <c r="M34" s="141">
        <f t="shared" si="8"/>
        <v>246.08023008543813</v>
      </c>
      <c r="N34" s="142">
        <f t="shared" si="9"/>
        <v>216.85820001163538</v>
      </c>
      <c r="O34" s="31"/>
      <c r="P34" s="31"/>
      <c r="Q34" s="31"/>
    </row>
    <row r="35" spans="1:17" ht="15" customHeight="1" x14ac:dyDescent="0.2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</row>
    <row r="36" spans="1:17" ht="15" customHeight="1" x14ac:dyDescent="0.2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</row>
    <row r="40" spans="1:17" ht="15" customHeight="1" x14ac:dyDescent="0.2">
      <c r="M40" s="30"/>
    </row>
  </sheetData>
  <mergeCells count="13">
    <mergeCell ref="C27:E27"/>
    <mergeCell ref="L27:N27"/>
    <mergeCell ref="H7:J7"/>
    <mergeCell ref="K7:L7"/>
    <mergeCell ref="M7:N7"/>
    <mergeCell ref="C17:D17"/>
    <mergeCell ref="E17:F17"/>
    <mergeCell ref="G17:H17"/>
    <mergeCell ref="I17:J17"/>
    <mergeCell ref="K17:L17"/>
    <mergeCell ref="M17:N17"/>
    <mergeCell ref="F27:H27"/>
    <mergeCell ref="I27:K27"/>
  </mergeCells>
  <conditionalFormatting sqref="C19:D25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F25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H25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J25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L25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N25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paperSize="9" scale="84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49A7-912C-9841-B848-BBC0F03808C3}">
  <dimension ref="B3:J22"/>
  <sheetViews>
    <sheetView topLeftCell="B1" zoomScale="124" zoomScaleNormal="130" workbookViewId="0">
      <selection activeCell="V19" sqref="V19"/>
    </sheetView>
  </sheetViews>
  <sheetFormatPr baseColWidth="10" defaultColWidth="11.5" defaultRowHeight="15" x14ac:dyDescent="0.2"/>
  <cols>
    <col min="2" max="2" width="10.83203125" customWidth="1"/>
    <col min="3" max="3" width="7" customWidth="1"/>
  </cols>
  <sheetData>
    <row r="3" spans="2:9" ht="16" thickBot="1" x14ac:dyDescent="0.25">
      <c r="B3" s="24"/>
      <c r="C3" s="24"/>
      <c r="D3" s="246" t="s">
        <v>285</v>
      </c>
      <c r="E3" s="246"/>
      <c r="F3" s="246"/>
      <c r="G3" s="246"/>
      <c r="H3" s="246"/>
    </row>
    <row r="4" spans="2:9" ht="17" thickTop="1" thickBot="1" x14ac:dyDescent="0.25">
      <c r="B4" s="24"/>
      <c r="C4" s="163"/>
      <c r="D4" s="164">
        <v>0.19009999999999999</v>
      </c>
      <c r="E4" s="164">
        <v>0.1951</v>
      </c>
      <c r="F4" s="165">
        <v>0.2001</v>
      </c>
      <c r="G4" s="164">
        <v>0.2051</v>
      </c>
      <c r="H4" s="164">
        <v>0.21010000000000001</v>
      </c>
    </row>
    <row r="5" spans="2:9" ht="16" thickBot="1" x14ac:dyDescent="0.25">
      <c r="B5" s="245" t="s">
        <v>284</v>
      </c>
      <c r="C5" s="166">
        <v>0.114</v>
      </c>
      <c r="D5" s="168" t="e" cm="1">
        <f t="array" ref="D5:H9">TEXT(DCF!G35:K39,"0.0%")&amp;" / "&amp;TEXT((1+(((((($K$20*(1+G$36))/ABS($F37-G$36))/(1+$F37)^$K$5)+SUM($H$21:$K$21)-$C$28+$C$27)/$C$30/$G$31)-1))*DCF!G26,"$0.00")</f>
        <v>#DIV/0!</v>
      </c>
      <c r="E5" s="169" t="e">
        <v>#DIV/0!</v>
      </c>
      <c r="F5" s="170" t="e">
        <v>#DIV/0!</v>
      </c>
      <c r="G5" s="170" t="e">
        <v>#DIV/0!</v>
      </c>
      <c r="H5" s="171" t="e">
        <v>#DIV/0!</v>
      </c>
    </row>
    <row r="6" spans="2:9" ht="16" thickBot="1" x14ac:dyDescent="0.25">
      <c r="B6" s="245"/>
      <c r="C6" s="166">
        <v>0.104</v>
      </c>
      <c r="D6" s="172" t="e">
        <v>#DIV/0!</v>
      </c>
      <c r="E6" s="173" t="e">
        <v>#DIV/0!</v>
      </c>
      <c r="F6" s="173" t="e">
        <v>#DIV/0!</v>
      </c>
      <c r="G6" s="173" t="e">
        <v>#DIV/0!</v>
      </c>
      <c r="H6" s="174" t="e">
        <v>#DIV/0!</v>
      </c>
    </row>
    <row r="7" spans="2:9" ht="16" thickBot="1" x14ac:dyDescent="0.25">
      <c r="B7" s="245"/>
      <c r="C7" s="167">
        <v>9.4E-2</v>
      </c>
      <c r="D7" s="172" t="e">
        <v>#DIV/0!</v>
      </c>
      <c r="E7" s="173" t="e">
        <v>#DIV/0!</v>
      </c>
      <c r="F7" s="175" t="e">
        <v>#DIV/0!</v>
      </c>
      <c r="G7" s="173" t="e">
        <v>#DIV/0!</v>
      </c>
      <c r="H7" s="174" t="e">
        <v>#DIV/0!</v>
      </c>
    </row>
    <row r="8" spans="2:9" ht="16" thickBot="1" x14ac:dyDescent="0.25">
      <c r="B8" s="245"/>
      <c r="C8" s="166">
        <v>8.4000000000000005E-2</v>
      </c>
      <c r="D8" s="172" t="e">
        <v>#DIV/0!</v>
      </c>
      <c r="E8" s="173" t="e">
        <v>#DIV/0!</v>
      </c>
      <c r="F8" s="173" t="e">
        <v>#DIV/0!</v>
      </c>
      <c r="G8" s="173" t="e">
        <v>#DIV/0!</v>
      </c>
      <c r="H8" s="174" t="e">
        <v>#DIV/0!</v>
      </c>
    </row>
    <row r="9" spans="2:9" x14ac:dyDescent="0.2">
      <c r="B9" s="245"/>
      <c r="C9" s="166">
        <v>7.3999999999999996E-2</v>
      </c>
      <c r="D9" s="176" t="e">
        <v>#DIV/0!</v>
      </c>
      <c r="E9" s="177" t="e">
        <v>#DIV/0!</v>
      </c>
      <c r="F9" s="177" t="e">
        <v>#DIV/0!</v>
      </c>
      <c r="G9" s="177" t="e">
        <v>#DIV/0!</v>
      </c>
      <c r="H9" s="178" t="e">
        <v>#DIV/0!</v>
      </c>
    </row>
    <row r="13" spans="2:9" x14ac:dyDescent="0.2">
      <c r="G13" s="190"/>
      <c r="H13" s="188" t="s">
        <v>293</v>
      </c>
      <c r="I13" s="186" t="s">
        <v>298</v>
      </c>
    </row>
    <row r="14" spans="2:9" x14ac:dyDescent="0.2">
      <c r="E14" cm="1">
        <f t="array" ref="E14:E22">I14:I22/100</f>
        <v>-7.8100000000000001E-4</v>
      </c>
      <c r="G14" s="189" t="s">
        <v>287</v>
      </c>
      <c r="H14" s="186">
        <v>1.0269999999999999</v>
      </c>
      <c r="I14" s="186">
        <v>-7.8100000000000003E-2</v>
      </c>
    </row>
    <row r="15" spans="2:9" x14ac:dyDescent="0.2">
      <c r="E15">
        <v>-7.1099999999999994E-4</v>
      </c>
      <c r="G15" s="187" t="s">
        <v>288</v>
      </c>
      <c r="H15" s="186">
        <v>0.89100000000000001</v>
      </c>
      <c r="I15" s="186">
        <v>-7.1099999999999997E-2</v>
      </c>
    </row>
    <row r="16" spans="2:9" x14ac:dyDescent="0.2">
      <c r="E16">
        <v>4.6100000000000004E-4</v>
      </c>
      <c r="G16" s="187" t="s">
        <v>289</v>
      </c>
      <c r="H16" s="186">
        <v>1.1950000000000001</v>
      </c>
      <c r="I16" s="186">
        <v>4.6100000000000002E-2</v>
      </c>
    </row>
    <row r="17" spans="5:10" x14ac:dyDescent="0.2">
      <c r="E17">
        <v>-9.9399999999999987E-4</v>
      </c>
      <c r="G17" s="187" t="s">
        <v>290</v>
      </c>
      <c r="H17" s="186">
        <v>1.1419999999999999</v>
      </c>
      <c r="I17" s="186">
        <v>-9.9399999999999988E-2</v>
      </c>
    </row>
    <row r="18" spans="5:10" x14ac:dyDescent="0.2">
      <c r="E18">
        <v>-1.1999999999999999E-3</v>
      </c>
      <c r="G18" s="187" t="s">
        <v>291</v>
      </c>
      <c r="H18" s="186">
        <v>1.0189999999999999</v>
      </c>
      <c r="I18" s="186">
        <v>-0.12</v>
      </c>
    </row>
    <row r="19" spans="5:10" x14ac:dyDescent="0.2">
      <c r="E19">
        <v>-1.598E-3</v>
      </c>
      <c r="G19" s="186" t="s">
        <v>292</v>
      </c>
      <c r="H19" s="186">
        <v>1.3080000000000001</v>
      </c>
      <c r="I19" s="186">
        <v>-0.1598</v>
      </c>
    </row>
    <row r="20" spans="5:10" x14ac:dyDescent="0.2">
      <c r="E20">
        <v>9.3499999999999996E-4</v>
      </c>
      <c r="G20" s="187" t="s">
        <v>294</v>
      </c>
      <c r="H20" s="186">
        <v>0.97199999999999998</v>
      </c>
      <c r="I20" s="186">
        <v>9.35E-2</v>
      </c>
      <c r="J20" t="s">
        <v>295</v>
      </c>
    </row>
    <row r="21" spans="5:10" x14ac:dyDescent="0.2">
      <c r="E21">
        <v>7.6399999999999992E-4</v>
      </c>
      <c r="G21" s="187" t="s">
        <v>296</v>
      </c>
      <c r="H21" s="186">
        <v>1</v>
      </c>
      <c r="I21" s="186">
        <v>7.6399999999999996E-2</v>
      </c>
    </row>
    <row r="22" spans="5:10" x14ac:dyDescent="0.2">
      <c r="E22">
        <v>1.9320000000000001E-4</v>
      </c>
      <c r="G22" s="187" t="s">
        <v>297</v>
      </c>
      <c r="H22" s="186">
        <v>0</v>
      </c>
      <c r="I22" s="186">
        <v>1.932E-2</v>
      </c>
    </row>
  </sheetData>
  <mergeCells count="2">
    <mergeCell ref="B5:B9"/>
    <mergeCell ref="D3:H3"/>
  </mergeCells>
  <conditionalFormatting sqref="D5:H9">
    <cfRule type="colorScale" priority="1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4EE9-9151-4E8E-9F6C-DC2DB2BAF86A}">
  <dimension ref="A2:Q27"/>
  <sheetViews>
    <sheetView zoomScale="61" workbookViewId="0">
      <selection activeCell="O25" sqref="O25"/>
    </sheetView>
  </sheetViews>
  <sheetFormatPr baseColWidth="10" defaultColWidth="8.83203125" defaultRowHeight="15" x14ac:dyDescent="0.2"/>
  <cols>
    <col min="1" max="1" width="23.5" customWidth="1"/>
    <col min="2" max="2" width="11.5" customWidth="1"/>
    <col min="3" max="17" width="11.83203125" customWidth="1"/>
  </cols>
  <sheetData>
    <row r="2" spans="1:17" ht="20" x14ac:dyDescent="0.2">
      <c r="A2" s="191" t="s">
        <v>299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</row>
    <row r="3" spans="1:17" x14ac:dyDescent="0.2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</row>
    <row r="4" spans="1:17" x14ac:dyDescent="0.2">
      <c r="A4" s="193" t="s">
        <v>300</v>
      </c>
      <c r="B4" s="193"/>
      <c r="C4" s="194" t="s">
        <v>301</v>
      </c>
      <c r="D4" s="194" t="s">
        <v>302</v>
      </c>
      <c r="E4" s="194" t="s">
        <v>303</v>
      </c>
      <c r="F4" s="194" t="s">
        <v>304</v>
      </c>
      <c r="G4" s="194" t="s">
        <v>305</v>
      </c>
      <c r="H4" s="194" t="s">
        <v>306</v>
      </c>
      <c r="I4" s="194" t="s">
        <v>307</v>
      </c>
      <c r="J4" s="194" t="s">
        <v>308</v>
      </c>
      <c r="K4" s="194" t="s">
        <v>309</v>
      </c>
      <c r="L4" s="194" t="s">
        <v>310</v>
      </c>
      <c r="M4" s="194" t="s">
        <v>311</v>
      </c>
      <c r="N4" s="194" t="s">
        <v>312</v>
      </c>
      <c r="O4" s="194" t="s">
        <v>313</v>
      </c>
      <c r="P4" s="194" t="s">
        <v>314</v>
      </c>
      <c r="Q4" s="194" t="s">
        <v>315</v>
      </c>
    </row>
    <row r="5" spans="1:17" x14ac:dyDescent="0.2">
      <c r="A5" s="195" t="s">
        <v>316</v>
      </c>
      <c r="B5" s="195"/>
      <c r="C5" s="196" t="s">
        <v>317</v>
      </c>
      <c r="D5" s="196" t="s">
        <v>318</v>
      </c>
      <c r="E5" s="196" t="s">
        <v>319</v>
      </c>
      <c r="F5" s="196" t="s">
        <v>320</v>
      </c>
      <c r="G5" s="196" t="s">
        <v>321</v>
      </c>
      <c r="H5" s="196" t="s">
        <v>322</v>
      </c>
      <c r="I5" s="196" t="s">
        <v>323</v>
      </c>
      <c r="J5" s="196" t="s">
        <v>324</v>
      </c>
      <c r="K5" s="196" t="s">
        <v>325</v>
      </c>
      <c r="L5" s="196" t="s">
        <v>326</v>
      </c>
      <c r="M5" s="196" t="s">
        <v>327</v>
      </c>
      <c r="N5" s="196" t="s">
        <v>328</v>
      </c>
      <c r="O5" s="196" t="s">
        <v>329</v>
      </c>
      <c r="P5" s="196" t="s">
        <v>330</v>
      </c>
      <c r="Q5" s="196" t="s">
        <v>331</v>
      </c>
    </row>
    <row r="6" spans="1:17" x14ac:dyDescent="0.2">
      <c r="A6" s="197" t="s">
        <v>332</v>
      </c>
      <c r="B6" s="197" t="s">
        <v>333</v>
      </c>
      <c r="C6" s="198" t="e">
        <f ca="1">_xll.BDH("WAB US Equity","HISTORICAL_MARKET_CAP","FY 2011","FY 2011","Currency=USD","Period=FY","BEST_FPERIOD_OVERRIDE=FY","FILING_STATUS=MR","SCALING_FORMAT=MLN","Sort=A","Dates=H","DateFormat=P","Fill=—","Direction=H","UseDPDF=Y")</f>
        <v>#NAME?</v>
      </c>
      <c r="D6" s="198" t="e">
        <f ca="1">_xll.BDH("WAB US Equity","HISTORICAL_MARKET_CAP","FY 2012","FY 2012","Currency=USD","Period=FY","BEST_FPERIOD_OVERRIDE=FY","FILING_STATUS=MR","SCALING_FORMAT=MLN","Sort=A","Dates=H","DateFormat=P","Fill=—","Direction=H","UseDPDF=Y")</f>
        <v>#NAME?</v>
      </c>
      <c r="E6" s="198" t="e">
        <f ca="1">_xll.BDH("WAB US Equity","HISTORICAL_MARKET_CAP","FY 2013","FY 2013","Currency=USD","Period=FY","BEST_FPERIOD_OVERRIDE=FY","FILING_STATUS=MR","SCALING_FORMAT=MLN","Sort=A","Dates=H","DateFormat=P","Fill=—","Direction=H","UseDPDF=Y")</f>
        <v>#NAME?</v>
      </c>
      <c r="F6" s="198" t="e">
        <f ca="1">_xll.BDH("WAB US Equity","HISTORICAL_MARKET_CAP","FY 2014","FY 2014","Currency=USD","Period=FY","BEST_FPERIOD_OVERRIDE=FY","FILING_STATUS=MR","SCALING_FORMAT=MLN","Sort=A","Dates=H","DateFormat=P","Fill=—","Direction=H","UseDPDF=Y")</f>
        <v>#NAME?</v>
      </c>
      <c r="G6" s="198" t="e">
        <f ca="1">_xll.BDH("WAB US Equity","HISTORICAL_MARKET_CAP","FY 2015","FY 2015","Currency=USD","Period=FY","BEST_FPERIOD_OVERRIDE=FY","FILING_STATUS=MR","SCALING_FORMAT=MLN","Sort=A","Dates=H","DateFormat=P","Fill=—","Direction=H","UseDPDF=Y")</f>
        <v>#NAME?</v>
      </c>
      <c r="H6" s="198" t="e">
        <f ca="1">_xll.BDH("WAB US Equity","HISTORICAL_MARKET_CAP","FY 2016","FY 2016","Currency=USD","Period=FY","BEST_FPERIOD_OVERRIDE=FY","FILING_STATUS=MR","SCALING_FORMAT=MLN","Sort=A","Dates=H","DateFormat=P","Fill=—","Direction=H","UseDPDF=Y")</f>
        <v>#NAME?</v>
      </c>
      <c r="I6" s="198" t="e">
        <f ca="1">_xll.BDH("WAB US Equity","HISTORICAL_MARKET_CAP","FY 2017","FY 2017","Currency=USD","Period=FY","BEST_FPERIOD_OVERRIDE=FY","FILING_STATUS=MR","SCALING_FORMAT=MLN","Sort=A","Dates=H","DateFormat=P","Fill=—","Direction=H","UseDPDF=Y")</f>
        <v>#NAME?</v>
      </c>
      <c r="J6" s="198" t="e">
        <f ca="1">_xll.BDH("WAB US Equity","HISTORICAL_MARKET_CAP","FY 2018","FY 2018","Currency=USD","Period=FY","BEST_FPERIOD_OVERRIDE=FY","FILING_STATUS=MR","SCALING_FORMAT=MLN","Sort=A","Dates=H","DateFormat=P","Fill=—","Direction=H","UseDPDF=Y")</f>
        <v>#NAME?</v>
      </c>
      <c r="K6" s="198" t="e">
        <f ca="1">_xll.BDH("WAB US Equity","HISTORICAL_MARKET_CAP","FY 2019","FY 2019","Currency=USD","Period=FY","BEST_FPERIOD_OVERRIDE=FY","FILING_STATUS=MR","SCALING_FORMAT=MLN","Sort=A","Dates=H","DateFormat=P","Fill=—","Direction=H","UseDPDF=Y")</f>
        <v>#NAME?</v>
      </c>
      <c r="L6" s="198" t="e">
        <f ca="1">_xll.BDH("WAB US Equity","HISTORICAL_MARKET_CAP","FY 2020","FY 2020","Currency=USD","Period=FY","BEST_FPERIOD_OVERRIDE=FY","FILING_STATUS=MR","SCALING_FORMAT=MLN","Sort=A","Dates=H","DateFormat=P","Fill=—","Direction=H","UseDPDF=Y")</f>
        <v>#NAME?</v>
      </c>
      <c r="M6" s="198" t="e">
        <f ca="1">_xll.BDH("WAB US Equity","HISTORICAL_MARKET_CAP","FY 2021","FY 2021","Currency=USD","Period=FY","BEST_FPERIOD_OVERRIDE=FY","FILING_STATUS=MR","SCALING_FORMAT=MLN","Sort=A","Dates=H","DateFormat=P","Fill=—","Direction=H","UseDPDF=Y")</f>
        <v>#NAME?</v>
      </c>
      <c r="N6" s="198" t="e">
        <f ca="1">_xll.BDH("WAB US Equity","HISTORICAL_MARKET_CAP","FY 2022","FY 2022","Currency=USD","Period=FY","BEST_FPERIOD_OVERRIDE=FY","FILING_STATUS=MR","SCALING_FORMAT=MLN","Sort=A","Dates=H","DateFormat=P","Fill=—","Direction=H","UseDPDF=Y")</f>
        <v>#NAME?</v>
      </c>
      <c r="O6" s="199">
        <v>20160.780274799999</v>
      </c>
      <c r="P6" s="198"/>
      <c r="Q6" s="198"/>
    </row>
    <row r="7" spans="1:17" x14ac:dyDescent="0.2">
      <c r="A7" s="200" t="s">
        <v>334</v>
      </c>
      <c r="B7" s="200" t="s">
        <v>335</v>
      </c>
      <c r="C7" s="201" t="e">
        <f ca="1">_xll.BDH("WAB US Equity","CASH_AND_MARKETABLE_SECURITIES","FY 2011","FY 2011","Currency=USD","Period=FY","BEST_FPERIOD_OVERRIDE=FY","FILING_STATUS=MR","SCALING_FORMAT=MLN","Sort=A","Dates=H","DateFormat=P","Fill=—","Direction=H","UseDPDF=Y")</f>
        <v>#NAME?</v>
      </c>
      <c r="D7" s="201" t="e">
        <f ca="1">_xll.BDH("WAB US Equity","CASH_AND_MARKETABLE_SECURITIES","FY 2012","FY 2012","Currency=USD","Period=FY","BEST_FPERIOD_OVERRIDE=FY","FILING_STATUS=MR","SCALING_FORMAT=MLN","Sort=A","Dates=H","DateFormat=P","Fill=—","Direction=H","UseDPDF=Y")</f>
        <v>#NAME?</v>
      </c>
      <c r="E7" s="201" t="e">
        <f ca="1">_xll.BDH("WAB US Equity","CASH_AND_MARKETABLE_SECURITIES","FY 2013","FY 2013","Currency=USD","Period=FY","BEST_FPERIOD_OVERRIDE=FY","FILING_STATUS=MR","SCALING_FORMAT=MLN","Sort=A","Dates=H","DateFormat=P","Fill=—","Direction=H","UseDPDF=Y")</f>
        <v>#NAME?</v>
      </c>
      <c r="F7" s="201" t="e">
        <f ca="1">_xll.BDH("WAB US Equity","CASH_AND_MARKETABLE_SECURITIES","FY 2014","FY 2014","Currency=USD","Period=FY","BEST_FPERIOD_OVERRIDE=FY","FILING_STATUS=MR","SCALING_FORMAT=MLN","Sort=A","Dates=H","DateFormat=P","Fill=—","Direction=H","UseDPDF=Y")</f>
        <v>#NAME?</v>
      </c>
      <c r="G7" s="201" t="e">
        <f ca="1">_xll.BDH("WAB US Equity","CASH_AND_MARKETABLE_SECURITIES","FY 2015","FY 2015","Currency=USD","Period=FY","BEST_FPERIOD_OVERRIDE=FY","FILING_STATUS=MR","SCALING_FORMAT=MLN","Sort=A","Dates=H","DateFormat=P","Fill=—","Direction=H","UseDPDF=Y")</f>
        <v>#NAME?</v>
      </c>
      <c r="H7" s="201" t="e">
        <f ca="1">_xll.BDH("WAB US Equity","CASH_AND_MARKETABLE_SECURITIES","FY 2016","FY 2016","Currency=USD","Period=FY","BEST_FPERIOD_OVERRIDE=FY","FILING_STATUS=MR","SCALING_FORMAT=MLN","Sort=A","Dates=H","DateFormat=P","Fill=—","Direction=H","UseDPDF=Y")</f>
        <v>#NAME?</v>
      </c>
      <c r="I7" s="201" t="e">
        <f ca="1">_xll.BDH("WAB US Equity","CASH_AND_MARKETABLE_SECURITIES","FY 2017","FY 2017","Currency=USD","Period=FY","BEST_FPERIOD_OVERRIDE=FY","FILING_STATUS=MR","SCALING_FORMAT=MLN","Sort=A","Dates=H","DateFormat=P","Fill=—","Direction=H","UseDPDF=Y")</f>
        <v>#NAME?</v>
      </c>
      <c r="J7" s="201" t="e">
        <f ca="1">_xll.BDH("WAB US Equity","CASH_AND_MARKETABLE_SECURITIES","FY 2018","FY 2018","Currency=USD","Period=FY","BEST_FPERIOD_OVERRIDE=FY","FILING_STATUS=MR","SCALING_FORMAT=MLN","Sort=A","Dates=H","DateFormat=P","Fill=—","Direction=H","UseDPDF=Y")</f>
        <v>#NAME?</v>
      </c>
      <c r="K7" s="201" t="e">
        <f ca="1">_xll.BDH("WAB US Equity","CASH_AND_MARKETABLE_SECURITIES","FY 2019","FY 2019","Currency=USD","Period=FY","BEST_FPERIOD_OVERRIDE=FY","FILING_STATUS=MR","SCALING_FORMAT=MLN","Sort=A","Dates=H","DateFormat=P","Fill=—","Direction=H","UseDPDF=Y")</f>
        <v>#NAME?</v>
      </c>
      <c r="L7" s="201" t="e">
        <f ca="1">_xll.BDH("WAB US Equity","CASH_AND_MARKETABLE_SECURITIES","FY 2020","FY 2020","Currency=USD","Period=FY","BEST_FPERIOD_OVERRIDE=FY","FILING_STATUS=MR","SCALING_FORMAT=MLN","Sort=A","Dates=H","DateFormat=P","Fill=—","Direction=H","UseDPDF=Y")</f>
        <v>#NAME?</v>
      </c>
      <c r="M7" s="201" t="e">
        <f ca="1">_xll.BDH("WAB US Equity","CASH_AND_MARKETABLE_SECURITIES","FY 2021","FY 2021","Currency=USD","Period=FY","BEST_FPERIOD_OVERRIDE=FY","FILING_STATUS=MR","SCALING_FORMAT=MLN","Sort=A","Dates=H","DateFormat=P","Fill=—","Direction=H","UseDPDF=Y")</f>
        <v>#NAME?</v>
      </c>
      <c r="N7" s="201" t="e">
        <f ca="1">_xll.BDH("WAB US Equity","CASH_AND_MARKETABLE_SECURITIES","FY 2022","FY 2022","Currency=USD","Period=FY","BEST_FPERIOD_OVERRIDE=FY","FILING_STATUS=MR","SCALING_FORMAT=MLN","Sort=A","Dates=H","DateFormat=P","Fill=—","Direction=H","UseDPDF=Y")</f>
        <v>#NAME?</v>
      </c>
      <c r="O7" s="202">
        <v>392</v>
      </c>
      <c r="P7" s="201"/>
      <c r="Q7" s="201"/>
    </row>
    <row r="8" spans="1:17" x14ac:dyDescent="0.2">
      <c r="A8" s="200" t="s">
        <v>336</v>
      </c>
      <c r="B8" s="200" t="s">
        <v>337</v>
      </c>
      <c r="C8" s="201" t="e">
        <f ca="1">_xll.BDH("WAB US Equity","PFD_EQTY_MINORTY_INTEREST","FY 2011","FY 2011","Currency=USD","Period=FY","BEST_FPERIOD_OVERRIDE=FY","FILING_STATUS=MR","SCALING_FORMAT=MLN","Sort=A","Dates=H","DateFormat=P","Fill=—","Direction=H","UseDPDF=Y")</f>
        <v>#NAME?</v>
      </c>
      <c r="D8" s="201" t="e">
        <f ca="1">_xll.BDH("WAB US Equity","PFD_EQTY_MINORTY_INTEREST","FY 2012","FY 2012","Currency=USD","Period=FY","BEST_FPERIOD_OVERRIDE=FY","FILING_STATUS=MR","SCALING_FORMAT=MLN","Sort=A","Dates=H","DateFormat=P","Fill=—","Direction=H","UseDPDF=Y")</f>
        <v>#NAME?</v>
      </c>
      <c r="E8" s="201" t="e">
        <f ca="1">_xll.BDH("WAB US Equity","PFD_EQTY_MINORTY_INTEREST","FY 2013","FY 2013","Currency=USD","Period=FY","BEST_FPERIOD_OVERRIDE=FY","FILING_STATUS=MR","SCALING_FORMAT=MLN","Sort=A","Dates=H","DateFormat=P","Fill=—","Direction=H","UseDPDF=Y")</f>
        <v>#NAME?</v>
      </c>
      <c r="F8" s="201" t="e">
        <f ca="1">_xll.BDH("WAB US Equity","PFD_EQTY_MINORTY_INTEREST","FY 2014","FY 2014","Currency=USD","Period=FY","BEST_FPERIOD_OVERRIDE=FY","FILING_STATUS=MR","SCALING_FORMAT=MLN","Sort=A","Dates=H","DateFormat=P","Fill=—","Direction=H","UseDPDF=Y")</f>
        <v>#NAME?</v>
      </c>
      <c r="G8" s="201" t="e">
        <f ca="1">_xll.BDH("WAB US Equity","PFD_EQTY_MINORTY_INTEREST","FY 2015","FY 2015","Currency=USD","Period=FY","BEST_FPERIOD_OVERRIDE=FY","FILING_STATUS=MR","SCALING_FORMAT=MLN","Sort=A","Dates=H","DateFormat=P","Fill=—","Direction=H","UseDPDF=Y")</f>
        <v>#NAME?</v>
      </c>
      <c r="H8" s="201" t="e">
        <f ca="1">_xll.BDH("WAB US Equity","PFD_EQTY_MINORTY_INTEREST","FY 2016","FY 2016","Currency=USD","Period=FY","BEST_FPERIOD_OVERRIDE=FY","FILING_STATUS=MR","SCALING_FORMAT=MLN","Sort=A","Dates=H","DateFormat=P","Fill=—","Direction=H","UseDPDF=Y")</f>
        <v>#NAME?</v>
      </c>
      <c r="I8" s="201" t="e">
        <f ca="1">_xll.BDH("WAB US Equity","PFD_EQTY_MINORTY_INTEREST","FY 2017","FY 2017","Currency=USD","Period=FY","BEST_FPERIOD_OVERRIDE=FY","FILING_STATUS=MR","SCALING_FORMAT=MLN","Sort=A","Dates=H","DateFormat=P","Fill=—","Direction=H","UseDPDF=Y")</f>
        <v>#NAME?</v>
      </c>
      <c r="J8" s="201" t="e">
        <f ca="1">_xll.BDH("WAB US Equity","PFD_EQTY_MINORTY_INTEREST","FY 2018","FY 2018","Currency=USD","Period=FY","BEST_FPERIOD_OVERRIDE=FY","FILING_STATUS=MR","SCALING_FORMAT=MLN","Sort=A","Dates=H","DateFormat=P","Fill=—","Direction=H","UseDPDF=Y")</f>
        <v>#NAME?</v>
      </c>
      <c r="K8" s="201" t="e">
        <f ca="1">_xll.BDH("WAB US Equity","PFD_EQTY_MINORTY_INTEREST","FY 2019","FY 2019","Currency=USD","Period=FY","BEST_FPERIOD_OVERRIDE=FY","FILING_STATUS=MR","SCALING_FORMAT=MLN","Sort=A","Dates=H","DateFormat=P","Fill=—","Direction=H","UseDPDF=Y")</f>
        <v>#NAME?</v>
      </c>
      <c r="L8" s="201" t="e">
        <f ca="1">_xll.BDH("WAB US Equity","PFD_EQTY_MINORTY_INTEREST","FY 2020","FY 2020","Currency=USD","Period=FY","BEST_FPERIOD_OVERRIDE=FY","FILING_STATUS=MR","SCALING_FORMAT=MLN","Sort=A","Dates=H","DateFormat=P","Fill=—","Direction=H","UseDPDF=Y")</f>
        <v>#NAME?</v>
      </c>
      <c r="M8" s="201" t="e">
        <f ca="1">_xll.BDH("WAB US Equity","PFD_EQTY_MINORTY_INTEREST","FY 2021","FY 2021","Currency=USD","Period=FY","BEST_FPERIOD_OVERRIDE=FY","FILING_STATUS=MR","SCALING_FORMAT=MLN","Sort=A","Dates=H","DateFormat=P","Fill=—","Direction=H","UseDPDF=Y")</f>
        <v>#NAME?</v>
      </c>
      <c r="N8" s="201" t="e">
        <f ca="1">_xll.BDH("WAB US Equity","PFD_EQTY_MINORTY_INTEREST","FY 2022","FY 2022","Currency=USD","Period=FY","BEST_FPERIOD_OVERRIDE=FY","FILING_STATUS=MR","SCALING_FORMAT=MLN","Sort=A","Dates=H","DateFormat=P","Fill=—","Direction=H","UseDPDF=Y")</f>
        <v>#NAME?</v>
      </c>
      <c r="O8" s="202">
        <v>41</v>
      </c>
      <c r="P8" s="201"/>
      <c r="Q8" s="201"/>
    </row>
    <row r="9" spans="1:17" x14ac:dyDescent="0.2">
      <c r="A9" s="200" t="s">
        <v>338</v>
      </c>
      <c r="B9" s="200" t="s">
        <v>339</v>
      </c>
      <c r="C9" s="201" t="e">
        <f ca="1">_xll.BDH("WAB US Equity","SHORT_AND_LONG_TERM_DEBT","FY 2011","FY 2011","Currency=USD","Period=FY","BEST_FPERIOD_OVERRIDE=FY","FILING_STATUS=MR","SCALING_FORMAT=MLN","Sort=A","Dates=H","DateFormat=P","Fill=—","Direction=H","UseDPDF=Y")</f>
        <v>#NAME?</v>
      </c>
      <c r="D9" s="201" t="e">
        <f ca="1">_xll.BDH("WAB US Equity","SHORT_AND_LONG_TERM_DEBT","FY 2012","FY 2012","Currency=USD","Period=FY","BEST_FPERIOD_OVERRIDE=FY","FILING_STATUS=MR","SCALING_FORMAT=MLN","Sort=A","Dates=H","DateFormat=P","Fill=—","Direction=H","UseDPDF=Y")</f>
        <v>#NAME?</v>
      </c>
      <c r="E9" s="201" t="e">
        <f ca="1">_xll.BDH("WAB US Equity","SHORT_AND_LONG_TERM_DEBT","FY 2013","FY 2013","Currency=USD","Period=FY","BEST_FPERIOD_OVERRIDE=FY","FILING_STATUS=MR","SCALING_FORMAT=MLN","Sort=A","Dates=H","DateFormat=P","Fill=—","Direction=H","UseDPDF=Y")</f>
        <v>#NAME?</v>
      </c>
      <c r="F9" s="201" t="e">
        <f ca="1">_xll.BDH("WAB US Equity","SHORT_AND_LONG_TERM_DEBT","FY 2014","FY 2014","Currency=USD","Period=FY","BEST_FPERIOD_OVERRIDE=FY","FILING_STATUS=MR","SCALING_FORMAT=MLN","Sort=A","Dates=H","DateFormat=P","Fill=—","Direction=H","UseDPDF=Y")</f>
        <v>#NAME?</v>
      </c>
      <c r="G9" s="201" t="e">
        <f ca="1">_xll.BDH("WAB US Equity","SHORT_AND_LONG_TERM_DEBT","FY 2015","FY 2015","Currency=USD","Period=FY","BEST_FPERIOD_OVERRIDE=FY","FILING_STATUS=MR","SCALING_FORMAT=MLN","Sort=A","Dates=H","DateFormat=P","Fill=—","Direction=H","UseDPDF=Y")</f>
        <v>#NAME?</v>
      </c>
      <c r="H9" s="201" t="e">
        <f ca="1">_xll.BDH("WAB US Equity","SHORT_AND_LONG_TERM_DEBT","FY 2016","FY 2016","Currency=USD","Period=FY","BEST_FPERIOD_OVERRIDE=FY","FILING_STATUS=MR","SCALING_FORMAT=MLN","Sort=A","Dates=H","DateFormat=P","Fill=—","Direction=H","UseDPDF=Y")</f>
        <v>#NAME?</v>
      </c>
      <c r="I9" s="201" t="e">
        <f ca="1">_xll.BDH("WAB US Equity","SHORT_AND_LONG_TERM_DEBT","FY 2017","FY 2017","Currency=USD","Period=FY","BEST_FPERIOD_OVERRIDE=FY","FILING_STATUS=MR","SCALING_FORMAT=MLN","Sort=A","Dates=H","DateFormat=P","Fill=—","Direction=H","UseDPDF=Y")</f>
        <v>#NAME?</v>
      </c>
      <c r="J9" s="201" t="e">
        <f ca="1">_xll.BDH("WAB US Equity","SHORT_AND_LONG_TERM_DEBT","FY 2018","FY 2018","Currency=USD","Period=FY","BEST_FPERIOD_OVERRIDE=FY","FILING_STATUS=MR","SCALING_FORMAT=MLN","Sort=A","Dates=H","DateFormat=P","Fill=—","Direction=H","UseDPDF=Y")</f>
        <v>#NAME?</v>
      </c>
      <c r="K9" s="201" t="e">
        <f ca="1">_xll.BDH("WAB US Equity","SHORT_AND_LONG_TERM_DEBT","FY 2019","FY 2019","Currency=USD","Period=FY","BEST_FPERIOD_OVERRIDE=FY","FILING_STATUS=MR","SCALING_FORMAT=MLN","Sort=A","Dates=H","DateFormat=P","Fill=—","Direction=H","UseDPDF=Y")</f>
        <v>#NAME?</v>
      </c>
      <c r="L9" s="201" t="e">
        <f ca="1">_xll.BDH("WAB US Equity","SHORT_AND_LONG_TERM_DEBT","FY 2020","FY 2020","Currency=USD","Period=FY","BEST_FPERIOD_OVERRIDE=FY","FILING_STATUS=MR","SCALING_FORMAT=MLN","Sort=A","Dates=H","DateFormat=P","Fill=—","Direction=H","UseDPDF=Y")</f>
        <v>#NAME?</v>
      </c>
      <c r="M9" s="201" t="e">
        <f ca="1">_xll.BDH("WAB US Equity","SHORT_AND_LONG_TERM_DEBT","FY 2021","FY 2021","Currency=USD","Period=FY","BEST_FPERIOD_OVERRIDE=FY","FILING_STATUS=MR","SCALING_FORMAT=MLN","Sort=A","Dates=H","DateFormat=P","Fill=—","Direction=H","UseDPDF=Y")</f>
        <v>#NAME?</v>
      </c>
      <c r="N9" s="201" t="e">
        <f ca="1">_xll.BDH("WAB US Equity","SHORT_AND_LONG_TERM_DEBT","FY 2022","FY 2022","Currency=USD","Period=FY","BEST_FPERIOD_OVERRIDE=FY","FILING_STATUS=MR","SCALING_FORMAT=MLN","Sort=A","Dates=H","DateFormat=P","Fill=—","Direction=H","UseDPDF=Y")</f>
        <v>#NAME?</v>
      </c>
      <c r="O9" s="202">
        <v>4364</v>
      </c>
      <c r="P9" s="201"/>
      <c r="Q9" s="201"/>
    </row>
    <row r="10" spans="1:17" x14ac:dyDescent="0.2">
      <c r="A10" s="197" t="s">
        <v>17</v>
      </c>
      <c r="B10" s="197" t="s">
        <v>340</v>
      </c>
      <c r="C10" s="198" t="e">
        <f ca="1">_xll.BDH("WAB US Equity","ENTERPRISE_VALUE","FY 2011","FY 2011","Currency=USD","Period=FY","BEST_FPERIOD_OVERRIDE=FY","FILING_STATUS=MR","SCALING_FORMAT=MLN","Sort=A","Dates=H","DateFormat=P","Fill=—","Direction=H","UseDPDF=Y")</f>
        <v>#NAME?</v>
      </c>
      <c r="D10" s="198" t="e">
        <f ca="1">_xll.BDH("WAB US Equity","ENTERPRISE_VALUE","FY 2012","FY 2012","Currency=USD","Period=FY","BEST_FPERIOD_OVERRIDE=FY","FILING_STATUS=MR","SCALING_FORMAT=MLN","Sort=A","Dates=H","DateFormat=P","Fill=—","Direction=H","UseDPDF=Y")</f>
        <v>#NAME?</v>
      </c>
      <c r="E10" s="198" t="e">
        <f ca="1">_xll.BDH("WAB US Equity","ENTERPRISE_VALUE","FY 2013","FY 2013","Currency=USD","Period=FY","BEST_FPERIOD_OVERRIDE=FY","FILING_STATUS=MR","SCALING_FORMAT=MLN","Sort=A","Dates=H","DateFormat=P","Fill=—","Direction=H","UseDPDF=Y")</f>
        <v>#NAME?</v>
      </c>
      <c r="F10" s="198" t="e">
        <f ca="1">_xll.BDH("WAB US Equity","ENTERPRISE_VALUE","FY 2014","FY 2014","Currency=USD","Period=FY","BEST_FPERIOD_OVERRIDE=FY","FILING_STATUS=MR","SCALING_FORMAT=MLN","Sort=A","Dates=H","DateFormat=P","Fill=—","Direction=H","UseDPDF=Y")</f>
        <v>#NAME?</v>
      </c>
      <c r="G10" s="198" t="e">
        <f ca="1">_xll.BDH("WAB US Equity","ENTERPRISE_VALUE","FY 2015","FY 2015","Currency=USD","Period=FY","BEST_FPERIOD_OVERRIDE=FY","FILING_STATUS=MR","SCALING_FORMAT=MLN","Sort=A","Dates=H","DateFormat=P","Fill=—","Direction=H","UseDPDF=Y")</f>
        <v>#NAME?</v>
      </c>
      <c r="H10" s="198" t="e">
        <f ca="1">_xll.BDH("WAB US Equity","ENTERPRISE_VALUE","FY 2016","FY 2016","Currency=USD","Period=FY","BEST_FPERIOD_OVERRIDE=FY","FILING_STATUS=MR","SCALING_FORMAT=MLN","Sort=A","Dates=H","DateFormat=P","Fill=—","Direction=H","UseDPDF=Y")</f>
        <v>#NAME?</v>
      </c>
      <c r="I10" s="198" t="e">
        <f ca="1">_xll.BDH("WAB US Equity","ENTERPRISE_VALUE","FY 2017","FY 2017","Currency=USD","Period=FY","BEST_FPERIOD_OVERRIDE=FY","FILING_STATUS=MR","SCALING_FORMAT=MLN","Sort=A","Dates=H","DateFormat=P","Fill=—","Direction=H","UseDPDF=Y")</f>
        <v>#NAME?</v>
      </c>
      <c r="J10" s="198" t="e">
        <f ca="1">_xll.BDH("WAB US Equity","ENTERPRISE_VALUE","FY 2018","FY 2018","Currency=USD","Period=FY","BEST_FPERIOD_OVERRIDE=FY","FILING_STATUS=MR","SCALING_FORMAT=MLN","Sort=A","Dates=H","DateFormat=P","Fill=—","Direction=H","UseDPDF=Y")</f>
        <v>#NAME?</v>
      </c>
      <c r="K10" s="198" t="e">
        <f ca="1">_xll.BDH("WAB US Equity","ENTERPRISE_VALUE","FY 2019","FY 2019","Currency=USD","Period=FY","BEST_FPERIOD_OVERRIDE=FY","FILING_STATUS=MR","SCALING_FORMAT=MLN","Sort=A","Dates=H","DateFormat=P","Fill=—","Direction=H","UseDPDF=Y")</f>
        <v>#NAME?</v>
      </c>
      <c r="L10" s="198" t="e">
        <f ca="1">_xll.BDH("WAB US Equity","ENTERPRISE_VALUE","FY 2020","FY 2020","Currency=USD","Period=FY","BEST_FPERIOD_OVERRIDE=FY","FILING_STATUS=MR","SCALING_FORMAT=MLN","Sort=A","Dates=H","DateFormat=P","Fill=—","Direction=H","UseDPDF=Y")</f>
        <v>#NAME?</v>
      </c>
      <c r="M10" s="198" t="e">
        <f ca="1">_xll.BDH("WAB US Equity","ENTERPRISE_VALUE","FY 2021","FY 2021","Currency=USD","Period=FY","BEST_FPERIOD_OVERRIDE=FY","FILING_STATUS=MR","SCALING_FORMAT=MLN","Sort=A","Dates=H","DateFormat=P","Fill=—","Direction=H","UseDPDF=Y")</f>
        <v>#NAME?</v>
      </c>
      <c r="N10" s="198" t="e">
        <f ca="1">_xll.BDH("WAB US Equity","ENTERPRISE_VALUE","FY 2022","FY 2022","Currency=USD","Period=FY","BEST_FPERIOD_OVERRIDE=FY","FILING_STATUS=MR","SCALING_FORMAT=MLN","Sort=A","Dates=H","DateFormat=P","Fill=—","Direction=H","UseDPDF=Y")</f>
        <v>#NAME?</v>
      </c>
      <c r="O10" s="199">
        <v>24173.780274799999</v>
      </c>
      <c r="P10" s="198"/>
      <c r="Q10" s="198"/>
    </row>
    <row r="11" spans="1:17" x14ac:dyDescent="0.2">
      <c r="A11" s="197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4"/>
      <c r="P11" s="203"/>
      <c r="Q11" s="203"/>
    </row>
    <row r="12" spans="1:17" x14ac:dyDescent="0.2">
      <c r="A12" s="197" t="s">
        <v>341</v>
      </c>
      <c r="B12" s="197" t="s">
        <v>342</v>
      </c>
      <c r="C12" s="198" t="e">
        <f ca="1">_xll.BDH("WAB US Equity","SALES_REV_TURN","FY 2011","FY 2011","Currency=USD","Period=FY","BEST_FPERIOD_OVERRIDE=FY","FILING_STATUS=MR","SCALING_FORMAT=MLN","FA_ADJUSTED=Adjusted","Sort=A","Dates=H","DateFormat=P","Fill=—","Direction=H","UseDPDF=Y")</f>
        <v>#NAME?</v>
      </c>
      <c r="D12" s="198" t="e">
        <f ca="1">_xll.BDH("WAB US Equity","SALES_REV_TURN","FY 2012","FY 2012","Currency=USD","Period=FY","BEST_FPERIOD_OVERRIDE=FY","FILING_STATUS=MR","SCALING_FORMAT=MLN","FA_ADJUSTED=Adjusted","Sort=A","Dates=H","DateFormat=P","Fill=—","Direction=H","UseDPDF=Y")</f>
        <v>#NAME?</v>
      </c>
      <c r="E12" s="198" t="e">
        <f ca="1">_xll.BDH("WAB US Equity","SALES_REV_TURN","FY 2013","FY 2013","Currency=USD","Period=FY","BEST_FPERIOD_OVERRIDE=FY","FILING_STATUS=MR","SCALING_FORMAT=MLN","FA_ADJUSTED=Adjusted","Sort=A","Dates=H","DateFormat=P","Fill=—","Direction=H","UseDPDF=Y")</f>
        <v>#NAME?</v>
      </c>
      <c r="F12" s="198" t="e">
        <f ca="1">_xll.BDH("WAB US Equity","SALES_REV_TURN","FY 2014","FY 2014","Currency=USD","Period=FY","BEST_FPERIOD_OVERRIDE=FY","FILING_STATUS=MR","SCALING_FORMAT=MLN","FA_ADJUSTED=Adjusted","Sort=A","Dates=H","DateFormat=P","Fill=—","Direction=H","UseDPDF=Y")</f>
        <v>#NAME?</v>
      </c>
      <c r="G12" s="198" t="e">
        <f ca="1">_xll.BDH("WAB US Equity","SALES_REV_TURN","FY 2015","FY 2015","Currency=USD","Period=FY","BEST_FPERIOD_OVERRIDE=FY","FILING_STATUS=MR","SCALING_FORMAT=MLN","FA_ADJUSTED=Adjusted","Sort=A","Dates=H","DateFormat=P","Fill=—","Direction=H","UseDPDF=Y")</f>
        <v>#NAME?</v>
      </c>
      <c r="H12" s="198" t="e">
        <f ca="1">_xll.BDH("WAB US Equity","SALES_REV_TURN","FY 2016","FY 2016","Currency=USD","Period=FY","BEST_FPERIOD_OVERRIDE=FY","FILING_STATUS=MR","SCALING_FORMAT=MLN","FA_ADJUSTED=Adjusted","Sort=A","Dates=H","DateFormat=P","Fill=—","Direction=H","UseDPDF=Y")</f>
        <v>#NAME?</v>
      </c>
      <c r="I12" s="198" t="e">
        <f ca="1">_xll.BDH("WAB US Equity","SALES_REV_TURN","FY 2017","FY 2017","Currency=USD","Period=FY","BEST_FPERIOD_OVERRIDE=FY","FILING_STATUS=MR","SCALING_FORMAT=MLN","FA_ADJUSTED=Adjusted","Sort=A","Dates=H","DateFormat=P","Fill=—","Direction=H","UseDPDF=Y")</f>
        <v>#NAME?</v>
      </c>
      <c r="J12" s="198" t="e">
        <f ca="1">_xll.BDH("WAB US Equity","SALES_REV_TURN","FY 2018","FY 2018","Currency=USD","Period=FY","BEST_FPERIOD_OVERRIDE=FY","FILING_STATUS=MR","SCALING_FORMAT=MLN","FA_ADJUSTED=Adjusted","Sort=A","Dates=H","DateFormat=P","Fill=—","Direction=H","UseDPDF=Y")</f>
        <v>#NAME?</v>
      </c>
      <c r="K12" s="198" t="e">
        <f ca="1">_xll.BDH("WAB US Equity","SALES_REV_TURN","FY 2019","FY 2019","Currency=USD","Period=FY","BEST_FPERIOD_OVERRIDE=FY","FILING_STATUS=MR","SCALING_FORMAT=MLN","FA_ADJUSTED=Adjusted","Sort=A","Dates=H","DateFormat=P","Fill=—","Direction=H","UseDPDF=Y")</f>
        <v>#NAME?</v>
      </c>
      <c r="L12" s="198" t="e">
        <f ca="1">_xll.BDH("WAB US Equity","SALES_REV_TURN","FY 2020","FY 2020","Currency=USD","Period=FY","BEST_FPERIOD_OVERRIDE=FY","FILING_STATUS=MR","SCALING_FORMAT=MLN","FA_ADJUSTED=Adjusted","Sort=A","Dates=H","DateFormat=P","Fill=—","Direction=H","UseDPDF=Y")</f>
        <v>#NAME?</v>
      </c>
      <c r="M12" s="198" t="e">
        <f ca="1">_xll.BDH("WAB US Equity","SALES_REV_TURN","FY 2021","FY 2021","Currency=USD","Period=FY","BEST_FPERIOD_OVERRIDE=FY","FILING_STATUS=MR","SCALING_FORMAT=MLN","FA_ADJUSTED=Adjusted","Sort=A","Dates=H","DateFormat=P","Fill=—","Direction=H","UseDPDF=Y")</f>
        <v>#NAME?</v>
      </c>
      <c r="N12" s="198" t="e">
        <f ca="1">_xll.BDH("WAB US Equity","SALES_REV_TURN","FY 2022","FY 2022","Currency=USD","Period=FY","BEST_FPERIOD_OVERRIDE=FY","FILING_STATUS=MR","SCALING_FORMAT=MLN","FA_ADJUSTED=Adjusted","Sort=A","Dates=H","DateFormat=P","Fill=—","Direction=H","UseDPDF=Y")</f>
        <v>#NAME?</v>
      </c>
      <c r="O12" s="199">
        <v>9457</v>
      </c>
      <c r="P12" s="198">
        <v>9584.1820000000007</v>
      </c>
      <c r="Q12" s="198">
        <v>10097.636</v>
      </c>
    </row>
    <row r="13" spans="1:17" x14ac:dyDescent="0.2">
      <c r="A13" s="205" t="s">
        <v>343</v>
      </c>
      <c r="B13" s="205" t="s">
        <v>344</v>
      </c>
      <c r="C13" s="206" t="e">
        <f ca="1">_xll.BDH("WAB US Equity","SALES_GROWTH","FY 2011","FY 2011","Currency=USD","Period=FY","BEST_FPERIOD_OVERRIDE=FY","FILING_STATUS=MR","FA_ADJUSTED=Adjusted","Sort=A","Dates=H","DateFormat=P","Fill=—","Direction=H","UseDPDF=Y")</f>
        <v>#NAME?</v>
      </c>
      <c r="D13" s="206" t="e">
        <f ca="1">_xll.BDH("WAB US Equity","SALES_GROWTH","FY 2012","FY 2012","Currency=USD","Period=FY","BEST_FPERIOD_OVERRIDE=FY","FILING_STATUS=MR","FA_ADJUSTED=Adjusted","Sort=A","Dates=H","DateFormat=P","Fill=—","Direction=H","UseDPDF=Y")</f>
        <v>#NAME?</v>
      </c>
      <c r="E13" s="206" t="e">
        <f ca="1">_xll.BDH("WAB US Equity","SALES_GROWTH","FY 2013","FY 2013","Currency=USD","Period=FY","BEST_FPERIOD_OVERRIDE=FY","FILING_STATUS=MR","FA_ADJUSTED=Adjusted","Sort=A","Dates=H","DateFormat=P","Fill=—","Direction=H","UseDPDF=Y")</f>
        <v>#NAME?</v>
      </c>
      <c r="F13" s="206" t="e">
        <f ca="1">_xll.BDH("WAB US Equity","SALES_GROWTH","FY 2014","FY 2014","Currency=USD","Period=FY","BEST_FPERIOD_OVERRIDE=FY","FILING_STATUS=MR","FA_ADJUSTED=Adjusted","Sort=A","Dates=H","DateFormat=P","Fill=—","Direction=H","UseDPDF=Y")</f>
        <v>#NAME?</v>
      </c>
      <c r="G13" s="206" t="e">
        <f ca="1">_xll.BDH("WAB US Equity","SALES_GROWTH","FY 2015","FY 2015","Currency=USD","Period=FY","BEST_FPERIOD_OVERRIDE=FY","FILING_STATUS=MR","FA_ADJUSTED=Adjusted","Sort=A","Dates=H","DateFormat=P","Fill=—","Direction=H","UseDPDF=Y")</f>
        <v>#NAME?</v>
      </c>
      <c r="H13" s="206" t="e">
        <f ca="1">_xll.BDH("WAB US Equity","SALES_GROWTH","FY 2016","FY 2016","Currency=USD","Period=FY","BEST_FPERIOD_OVERRIDE=FY","FILING_STATUS=MR","FA_ADJUSTED=Adjusted","Sort=A","Dates=H","DateFormat=P","Fill=—","Direction=H","UseDPDF=Y")</f>
        <v>#NAME?</v>
      </c>
      <c r="I13" s="206" t="e">
        <f ca="1">_xll.BDH("WAB US Equity","SALES_GROWTH","FY 2017","FY 2017","Currency=USD","Period=FY","BEST_FPERIOD_OVERRIDE=FY","FILING_STATUS=MR","FA_ADJUSTED=Adjusted","Sort=A","Dates=H","DateFormat=P","Fill=—","Direction=H","UseDPDF=Y")</f>
        <v>#NAME?</v>
      </c>
      <c r="J13" s="206" t="e">
        <f ca="1">_xll.BDH("WAB US Equity","SALES_GROWTH","FY 2018","FY 2018","Currency=USD","Period=FY","BEST_FPERIOD_OVERRIDE=FY","FILING_STATUS=MR","FA_ADJUSTED=Adjusted","Sort=A","Dates=H","DateFormat=P","Fill=—","Direction=H","UseDPDF=Y")</f>
        <v>#NAME?</v>
      </c>
      <c r="K13" s="206" t="e">
        <f ca="1">_xll.BDH("WAB US Equity","SALES_GROWTH","FY 2019","FY 2019","Currency=USD","Period=FY","BEST_FPERIOD_OVERRIDE=FY","FILING_STATUS=MR","FA_ADJUSTED=Adjusted","Sort=A","Dates=H","DateFormat=P","Fill=—","Direction=H","UseDPDF=Y")</f>
        <v>#NAME?</v>
      </c>
      <c r="L13" s="206" t="e">
        <f ca="1">_xll.BDH("WAB US Equity","SALES_GROWTH","FY 2020","FY 2020","Currency=USD","Period=FY","BEST_FPERIOD_OVERRIDE=FY","FILING_STATUS=MR","FA_ADJUSTED=Adjusted","Sort=A","Dates=H","DateFormat=P","Fill=—","Direction=H","UseDPDF=Y")</f>
        <v>#NAME?</v>
      </c>
      <c r="M13" s="206" t="e">
        <f ca="1">_xll.BDH("WAB US Equity","SALES_GROWTH","FY 2021","FY 2021","Currency=USD","Period=FY","BEST_FPERIOD_OVERRIDE=FY","FILING_STATUS=MR","FA_ADJUSTED=Adjusted","Sort=A","Dates=H","DateFormat=P","Fill=—","Direction=H","UseDPDF=Y")</f>
        <v>#NAME?</v>
      </c>
      <c r="N13" s="206" t="e">
        <f ca="1">_xll.BDH("WAB US Equity","SALES_GROWTH","FY 2022","FY 2022","Currency=USD","Period=FY","BEST_FPERIOD_OVERRIDE=FY","FILING_STATUS=MR","FA_ADJUSTED=Adjusted","Sort=A","Dates=H","DateFormat=P","Fill=—","Direction=H","UseDPDF=Y")</f>
        <v>#NAME?</v>
      </c>
      <c r="O13" s="207">
        <v>16.3365727641776</v>
      </c>
      <c r="P13" s="206">
        <v>14.615905285816799</v>
      </c>
      <c r="Q13" s="206">
        <v>5.3573064451405399</v>
      </c>
    </row>
    <row r="14" spans="1:17" x14ac:dyDescent="0.2">
      <c r="A14" s="197" t="s">
        <v>345</v>
      </c>
      <c r="B14" s="197" t="s">
        <v>346</v>
      </c>
      <c r="C14" s="198" t="e">
        <f ca="1">_xll.BDH("WAB US Equity","GROSS_PROFIT","FY 2011","FY 2011","Currency=USD","Period=FY","BEST_FPERIOD_OVERRIDE=FY","FILING_STATUS=MR","SCALING_FORMAT=MLN","FA_ADJUSTED=Adjusted","Sort=A","Dates=H","DateFormat=P","Fill=—","Direction=H","UseDPDF=Y")</f>
        <v>#NAME?</v>
      </c>
      <c r="D14" s="198" t="e">
        <f ca="1">_xll.BDH("WAB US Equity","GROSS_PROFIT","FY 2012","FY 2012","Currency=USD","Period=FY","BEST_FPERIOD_OVERRIDE=FY","FILING_STATUS=MR","SCALING_FORMAT=MLN","FA_ADJUSTED=Adjusted","Sort=A","Dates=H","DateFormat=P","Fill=—","Direction=H","UseDPDF=Y")</f>
        <v>#NAME?</v>
      </c>
      <c r="E14" s="198" t="e">
        <f ca="1">_xll.BDH("WAB US Equity","GROSS_PROFIT","FY 2013","FY 2013","Currency=USD","Period=FY","BEST_FPERIOD_OVERRIDE=FY","FILING_STATUS=MR","SCALING_FORMAT=MLN","FA_ADJUSTED=Adjusted","Sort=A","Dates=H","DateFormat=P","Fill=—","Direction=H","UseDPDF=Y")</f>
        <v>#NAME?</v>
      </c>
      <c r="F14" s="198" t="e">
        <f ca="1">_xll.BDH("WAB US Equity","GROSS_PROFIT","FY 2014","FY 2014","Currency=USD","Period=FY","BEST_FPERIOD_OVERRIDE=FY","FILING_STATUS=MR","SCALING_FORMAT=MLN","FA_ADJUSTED=Adjusted","Sort=A","Dates=H","DateFormat=P","Fill=—","Direction=H","UseDPDF=Y")</f>
        <v>#NAME?</v>
      </c>
      <c r="G14" s="198" t="e">
        <f ca="1">_xll.BDH("WAB US Equity","GROSS_PROFIT","FY 2015","FY 2015","Currency=USD","Period=FY","BEST_FPERIOD_OVERRIDE=FY","FILING_STATUS=MR","SCALING_FORMAT=MLN","FA_ADJUSTED=Adjusted","Sort=A","Dates=H","DateFormat=P","Fill=—","Direction=H","UseDPDF=Y")</f>
        <v>#NAME?</v>
      </c>
      <c r="H14" s="198" t="e">
        <f ca="1">_xll.BDH("WAB US Equity","GROSS_PROFIT","FY 2016","FY 2016","Currency=USD","Period=FY","BEST_FPERIOD_OVERRIDE=FY","FILING_STATUS=MR","SCALING_FORMAT=MLN","FA_ADJUSTED=Adjusted","Sort=A","Dates=H","DateFormat=P","Fill=—","Direction=H","UseDPDF=Y")</f>
        <v>#NAME?</v>
      </c>
      <c r="I14" s="198" t="e">
        <f ca="1">_xll.BDH("WAB US Equity","GROSS_PROFIT","FY 2017","FY 2017","Currency=USD","Period=FY","BEST_FPERIOD_OVERRIDE=FY","FILING_STATUS=MR","SCALING_FORMAT=MLN","FA_ADJUSTED=Adjusted","Sort=A","Dates=H","DateFormat=P","Fill=—","Direction=H","UseDPDF=Y")</f>
        <v>#NAME?</v>
      </c>
      <c r="J14" s="198" t="e">
        <f ca="1">_xll.BDH("WAB US Equity","GROSS_PROFIT","FY 2018","FY 2018","Currency=USD","Period=FY","BEST_FPERIOD_OVERRIDE=FY","FILING_STATUS=MR","SCALING_FORMAT=MLN","FA_ADJUSTED=Adjusted","Sort=A","Dates=H","DateFormat=P","Fill=—","Direction=H","UseDPDF=Y")</f>
        <v>#NAME?</v>
      </c>
      <c r="K14" s="198" t="e">
        <f ca="1">_xll.BDH("WAB US Equity","GROSS_PROFIT","FY 2019","FY 2019","Currency=USD","Period=FY","BEST_FPERIOD_OVERRIDE=FY","FILING_STATUS=MR","SCALING_FORMAT=MLN","FA_ADJUSTED=Adjusted","Sort=A","Dates=H","DateFormat=P","Fill=—","Direction=H","UseDPDF=Y")</f>
        <v>#NAME?</v>
      </c>
      <c r="L14" s="198" t="e">
        <f ca="1">_xll.BDH("WAB US Equity","GROSS_PROFIT","FY 2020","FY 2020","Currency=USD","Period=FY","BEST_FPERIOD_OVERRIDE=FY","FILING_STATUS=MR","SCALING_FORMAT=MLN","FA_ADJUSTED=Adjusted","Sort=A","Dates=H","DateFormat=P","Fill=—","Direction=H","UseDPDF=Y")</f>
        <v>#NAME?</v>
      </c>
      <c r="M14" s="198" t="e">
        <f ca="1">_xll.BDH("WAB US Equity","GROSS_PROFIT","FY 2021","FY 2021","Currency=USD","Period=FY","BEST_FPERIOD_OVERRIDE=FY","FILING_STATUS=MR","SCALING_FORMAT=MLN","FA_ADJUSTED=Adjusted","Sort=A","Dates=H","DateFormat=P","Fill=—","Direction=H","UseDPDF=Y")</f>
        <v>#NAME?</v>
      </c>
      <c r="N14" s="198" t="e">
        <f ca="1">_xll.BDH("WAB US Equity","GROSS_PROFIT","FY 2022","FY 2022","Currency=USD","Period=FY","BEST_FPERIOD_OVERRIDE=FY","FILING_STATUS=MR","SCALING_FORMAT=MLN","FA_ADJUSTED=Adjusted","Sort=A","Dates=H","DateFormat=P","Fill=—","Direction=H","UseDPDF=Y")</f>
        <v>#NAME?</v>
      </c>
      <c r="O14" s="199">
        <v>2867</v>
      </c>
      <c r="P14" s="198">
        <v>2956.6243051800002</v>
      </c>
      <c r="Q14" s="198">
        <v>3174.9996874799999</v>
      </c>
    </row>
    <row r="15" spans="1:17" x14ac:dyDescent="0.2">
      <c r="A15" s="205" t="s">
        <v>347</v>
      </c>
      <c r="B15" s="205" t="s">
        <v>346</v>
      </c>
      <c r="C15" s="206">
        <v>28.990306647008602</v>
      </c>
      <c r="D15" s="206">
        <v>29.047744113432898</v>
      </c>
      <c r="E15" s="206">
        <v>29.7704715413701</v>
      </c>
      <c r="F15" s="206">
        <v>30.7701151010986</v>
      </c>
      <c r="G15" s="206">
        <v>31.6752307589061</v>
      </c>
      <c r="H15" s="206">
        <v>31.531208506584999</v>
      </c>
      <c r="I15" s="206">
        <v>27.444100041321501</v>
      </c>
      <c r="J15" s="206">
        <v>28.277110341655501</v>
      </c>
      <c r="K15" s="206">
        <v>30.841042893187598</v>
      </c>
      <c r="L15" s="206">
        <v>28.8707137279814</v>
      </c>
      <c r="M15" s="206">
        <v>30.963947839427298</v>
      </c>
      <c r="N15" s="206">
        <v>30.889739296818899</v>
      </c>
      <c r="O15" s="207">
        <v>30.316167917944401</v>
      </c>
      <c r="P15" s="206">
        <v>30.849</v>
      </c>
      <c r="Q15" s="206">
        <v>31.443000000000001</v>
      </c>
    </row>
    <row r="16" spans="1:17" x14ac:dyDescent="0.2">
      <c r="A16" s="197" t="s">
        <v>348</v>
      </c>
      <c r="B16" s="197" t="s">
        <v>30</v>
      </c>
      <c r="C16" s="198" t="e">
        <f ca="1">_xll.BDH("WAB US Equity","EBITDA","FY 2011","FY 2011","Currency=USD","Period=FY","BEST_FPERIOD_OVERRIDE=FY","FILING_STATUS=MR","SCALING_FORMAT=MLN","FA_ADJUSTED=Adjusted","Sort=A","Dates=H","DateFormat=P","Fill=—","Direction=H","UseDPDF=Y")</f>
        <v>#NAME?</v>
      </c>
      <c r="D16" s="198" t="e">
        <f ca="1">_xll.BDH("WAB US Equity","EBITDA","FY 2012","FY 2012","Currency=USD","Period=FY","BEST_FPERIOD_OVERRIDE=FY","FILING_STATUS=MR","SCALING_FORMAT=MLN","FA_ADJUSTED=Adjusted","Sort=A","Dates=H","DateFormat=P","Fill=—","Direction=H","UseDPDF=Y")</f>
        <v>#NAME?</v>
      </c>
      <c r="E16" s="198" t="e">
        <f ca="1">_xll.BDH("WAB US Equity","EBITDA","FY 2013","FY 2013","Currency=USD","Period=FY","BEST_FPERIOD_OVERRIDE=FY","FILING_STATUS=MR","SCALING_FORMAT=MLN","FA_ADJUSTED=Adjusted","Sort=A","Dates=H","DateFormat=P","Fill=—","Direction=H","UseDPDF=Y")</f>
        <v>#NAME?</v>
      </c>
      <c r="F16" s="198" t="e">
        <f ca="1">_xll.BDH("WAB US Equity","EBITDA","FY 2014","FY 2014","Currency=USD","Period=FY","BEST_FPERIOD_OVERRIDE=FY","FILING_STATUS=MR","SCALING_FORMAT=MLN","FA_ADJUSTED=Adjusted","Sort=A","Dates=H","DateFormat=P","Fill=—","Direction=H","UseDPDF=Y")</f>
        <v>#NAME?</v>
      </c>
      <c r="G16" s="198" t="e">
        <f ca="1">_xll.BDH("WAB US Equity","EBITDA","FY 2015","FY 2015","Currency=USD","Period=FY","BEST_FPERIOD_OVERRIDE=FY","FILING_STATUS=MR","SCALING_FORMAT=MLN","FA_ADJUSTED=Adjusted","Sort=A","Dates=H","DateFormat=P","Fill=—","Direction=H","UseDPDF=Y")</f>
        <v>#NAME?</v>
      </c>
      <c r="H16" s="198" t="e">
        <f ca="1">_xll.BDH("WAB US Equity","EBITDA","FY 2016","FY 2016","Currency=USD","Period=FY","BEST_FPERIOD_OVERRIDE=FY","FILING_STATUS=MR","SCALING_FORMAT=MLN","FA_ADJUSTED=Adjusted","Sort=A","Dates=H","DateFormat=P","Fill=—","Direction=H","UseDPDF=Y")</f>
        <v>#NAME?</v>
      </c>
      <c r="I16" s="198" t="e">
        <f ca="1">_xll.BDH("WAB US Equity","EBITDA","FY 2017","FY 2017","Currency=USD","Period=FY","BEST_FPERIOD_OVERRIDE=FY","FILING_STATUS=MR","SCALING_FORMAT=MLN","FA_ADJUSTED=Adjusted","Sort=A","Dates=H","DateFormat=P","Fill=—","Direction=H","UseDPDF=Y")</f>
        <v>#NAME?</v>
      </c>
      <c r="J16" s="198" t="e">
        <f ca="1">_xll.BDH("WAB US Equity","EBITDA","FY 2018","FY 2018","Currency=USD","Period=FY","BEST_FPERIOD_OVERRIDE=FY","FILING_STATUS=MR","SCALING_FORMAT=MLN","FA_ADJUSTED=Adjusted","Sort=A","Dates=H","DateFormat=P","Fill=—","Direction=H","UseDPDF=Y")</f>
        <v>#NAME?</v>
      </c>
      <c r="K16" s="198" t="e">
        <f ca="1">_xll.BDH("WAB US Equity","EBITDA","FY 2019","FY 2019","Currency=USD","Period=FY","BEST_FPERIOD_OVERRIDE=FY","FILING_STATUS=MR","SCALING_FORMAT=MLN","FA_ADJUSTED=Adjusted","Sort=A","Dates=H","DateFormat=P","Fill=—","Direction=H","UseDPDF=Y")</f>
        <v>#NAME?</v>
      </c>
      <c r="L16" s="198" t="e">
        <f ca="1">_xll.BDH("WAB US Equity","EBITDA","FY 2020","FY 2020","Currency=USD","Period=FY","BEST_FPERIOD_OVERRIDE=FY","FILING_STATUS=MR","SCALING_FORMAT=MLN","FA_ADJUSTED=Adjusted","Sort=A","Dates=H","DateFormat=P","Fill=—","Direction=H","UseDPDF=Y")</f>
        <v>#NAME?</v>
      </c>
      <c r="M16" s="198" t="e">
        <f ca="1">_xll.BDH("WAB US Equity","EBITDA","FY 2021","FY 2021","Currency=USD","Period=FY","BEST_FPERIOD_OVERRIDE=FY","FILING_STATUS=MR","SCALING_FORMAT=MLN","FA_ADJUSTED=Adjusted","Sort=A","Dates=H","DateFormat=P","Fill=—","Direction=H","UseDPDF=Y")</f>
        <v>#NAME?</v>
      </c>
      <c r="N16" s="198" t="e">
        <f ca="1">_xll.BDH("WAB US Equity","EBITDA","FY 2022","FY 2022","Currency=USD","Period=FY","BEST_FPERIOD_OVERRIDE=FY","FILING_STATUS=MR","SCALING_FORMAT=MLN","FA_ADJUSTED=Adjusted","Sort=A","Dates=H","DateFormat=P","Fill=—","Direction=H","UseDPDF=Y")</f>
        <v>#NAME?</v>
      </c>
      <c r="O16" s="199">
        <v>1942</v>
      </c>
      <c r="P16" s="198">
        <v>1853.75</v>
      </c>
      <c r="Q16" s="198">
        <v>1989.6669999999999</v>
      </c>
    </row>
    <row r="17" spans="1:17" x14ac:dyDescent="0.2">
      <c r="A17" s="205" t="s">
        <v>347</v>
      </c>
      <c r="B17" s="205" t="s">
        <v>30</v>
      </c>
      <c r="C17" s="206">
        <v>18.405325779094401</v>
      </c>
      <c r="D17" s="206">
        <v>18.686415833236399</v>
      </c>
      <c r="E17" s="206">
        <v>19.8645803135297</v>
      </c>
      <c r="F17" s="206">
        <v>20.120849255728601</v>
      </c>
      <c r="G17" s="206">
        <v>21.1759801547643</v>
      </c>
      <c r="H17" s="206">
        <v>19.902783444801202</v>
      </c>
      <c r="I17" s="206">
        <v>16.158511766324299</v>
      </c>
      <c r="J17" s="206">
        <v>15.1100011068977</v>
      </c>
      <c r="K17" s="206">
        <v>19.7128439264688</v>
      </c>
      <c r="L17" s="206">
        <v>18.395733248633601</v>
      </c>
      <c r="M17" s="206">
        <v>20.250575300434701</v>
      </c>
      <c r="N17" s="206">
        <v>20.114805070557299</v>
      </c>
      <c r="O17" s="207">
        <v>20.535053399598201</v>
      </c>
      <c r="P17" s="206">
        <v>19.3417654213996</v>
      </c>
      <c r="Q17" s="206">
        <v>19.7042852406246</v>
      </c>
    </row>
    <row r="18" spans="1:17" x14ac:dyDescent="0.2">
      <c r="A18" s="197" t="s">
        <v>349</v>
      </c>
      <c r="B18" s="197" t="s">
        <v>350</v>
      </c>
      <c r="C18" s="198" t="e">
        <f ca="1">_xll.BDH("WAB US Equity","EARN_FOR_COMMON","FY 2011","FY 2011","Currency=USD","Period=FY","BEST_FPERIOD_OVERRIDE=FY","FILING_STATUS=MR","SCALING_FORMAT=MLN","FA_ADJUSTED=Adjusted","Sort=A","Dates=H","DateFormat=P","Fill=—","Direction=H","UseDPDF=Y")</f>
        <v>#NAME?</v>
      </c>
      <c r="D18" s="198" t="e">
        <f ca="1">_xll.BDH("WAB US Equity","EARN_FOR_COMMON","FY 2012","FY 2012","Currency=USD","Period=FY","BEST_FPERIOD_OVERRIDE=FY","FILING_STATUS=MR","SCALING_FORMAT=MLN","FA_ADJUSTED=Adjusted","Sort=A","Dates=H","DateFormat=P","Fill=—","Direction=H","UseDPDF=Y")</f>
        <v>#NAME?</v>
      </c>
      <c r="E18" s="198" t="e">
        <f ca="1">_xll.BDH("WAB US Equity","EARN_FOR_COMMON","FY 2013","FY 2013","Currency=USD","Period=FY","BEST_FPERIOD_OVERRIDE=FY","FILING_STATUS=MR","SCALING_FORMAT=MLN","FA_ADJUSTED=Adjusted","Sort=A","Dates=H","DateFormat=P","Fill=—","Direction=H","UseDPDF=Y")</f>
        <v>#NAME?</v>
      </c>
      <c r="F18" s="198" t="e">
        <f ca="1">_xll.BDH("WAB US Equity","EARN_FOR_COMMON","FY 2014","FY 2014","Currency=USD","Period=FY","BEST_FPERIOD_OVERRIDE=FY","FILING_STATUS=MR","SCALING_FORMAT=MLN","FA_ADJUSTED=Adjusted","Sort=A","Dates=H","DateFormat=P","Fill=—","Direction=H","UseDPDF=Y")</f>
        <v>#NAME?</v>
      </c>
      <c r="G18" s="198" t="e">
        <f ca="1">_xll.BDH("WAB US Equity","EARN_FOR_COMMON","FY 2015","FY 2015","Currency=USD","Period=FY","BEST_FPERIOD_OVERRIDE=FY","FILING_STATUS=MR","SCALING_FORMAT=MLN","FA_ADJUSTED=Adjusted","Sort=A","Dates=H","DateFormat=P","Fill=—","Direction=H","UseDPDF=Y")</f>
        <v>#NAME?</v>
      </c>
      <c r="H18" s="198" t="e">
        <f ca="1">_xll.BDH("WAB US Equity","EARN_FOR_COMMON","FY 2016","FY 2016","Currency=USD","Period=FY","BEST_FPERIOD_OVERRIDE=FY","FILING_STATUS=MR","SCALING_FORMAT=MLN","FA_ADJUSTED=Adjusted","Sort=A","Dates=H","DateFormat=P","Fill=—","Direction=H","UseDPDF=Y")</f>
        <v>#NAME?</v>
      </c>
      <c r="I18" s="198" t="e">
        <f ca="1">_xll.BDH("WAB US Equity","EARN_FOR_COMMON","FY 2017","FY 2017","Currency=USD","Period=FY","BEST_FPERIOD_OVERRIDE=FY","FILING_STATUS=MR","SCALING_FORMAT=MLN","FA_ADJUSTED=Adjusted","Sort=A","Dates=H","DateFormat=P","Fill=—","Direction=H","UseDPDF=Y")</f>
        <v>#NAME?</v>
      </c>
      <c r="J18" s="198" t="e">
        <f ca="1">_xll.BDH("WAB US Equity","EARN_FOR_COMMON","FY 2018","FY 2018","Currency=USD","Period=FY","BEST_FPERIOD_OVERRIDE=FY","FILING_STATUS=MR","SCALING_FORMAT=MLN","FA_ADJUSTED=Adjusted","Sort=A","Dates=H","DateFormat=P","Fill=—","Direction=H","UseDPDF=Y")</f>
        <v>#NAME?</v>
      </c>
      <c r="K18" s="198" t="e">
        <f ca="1">_xll.BDH("WAB US Equity","EARN_FOR_COMMON","FY 2019","FY 2019","Currency=USD","Period=FY","BEST_FPERIOD_OVERRIDE=FY","FILING_STATUS=MR","SCALING_FORMAT=MLN","FA_ADJUSTED=Adjusted","Sort=A","Dates=H","DateFormat=P","Fill=—","Direction=H","UseDPDF=Y")</f>
        <v>#NAME?</v>
      </c>
      <c r="L18" s="198" t="e">
        <f ca="1">_xll.BDH("WAB US Equity","EARN_FOR_COMMON","FY 2020","FY 2020","Currency=USD","Period=FY","BEST_FPERIOD_OVERRIDE=FY","FILING_STATUS=MR","SCALING_FORMAT=MLN","FA_ADJUSTED=Adjusted","Sort=A","Dates=H","DateFormat=P","Fill=—","Direction=H","UseDPDF=Y")</f>
        <v>#NAME?</v>
      </c>
      <c r="M18" s="198" t="e">
        <f ca="1">_xll.BDH("WAB US Equity","EARN_FOR_COMMON","FY 2021","FY 2021","Currency=USD","Period=FY","BEST_FPERIOD_OVERRIDE=FY","FILING_STATUS=MR","SCALING_FORMAT=MLN","FA_ADJUSTED=Adjusted","Sort=A","Dates=H","DateFormat=P","Fill=—","Direction=H","UseDPDF=Y")</f>
        <v>#NAME?</v>
      </c>
      <c r="N18" s="198" t="e">
        <f ca="1">_xll.BDH("WAB US Equity","EARN_FOR_COMMON","FY 2022","FY 2022","Currency=USD","Period=FY","BEST_FPERIOD_OVERRIDE=FY","FILING_STATUS=MR","SCALING_FORMAT=MLN","FA_ADJUSTED=Adjusted","Sort=A","Dates=H","DateFormat=P","Fill=—","Direction=H","UseDPDF=Y")</f>
        <v>#NAME?</v>
      </c>
      <c r="O18" s="199">
        <v>824.739990234375</v>
      </c>
      <c r="P18" s="198">
        <v>1030.0909999999999</v>
      </c>
      <c r="Q18" s="198">
        <v>1147.3</v>
      </c>
    </row>
    <row r="19" spans="1:17" x14ac:dyDescent="0.2">
      <c r="A19" s="205" t="s">
        <v>347</v>
      </c>
      <c r="B19" s="205" t="s">
        <v>350</v>
      </c>
      <c r="C19" s="206">
        <v>10.290211050107301</v>
      </c>
      <c r="D19" s="206">
        <v>10.7578366975838</v>
      </c>
      <c r="E19" s="206">
        <v>11.8407476332532</v>
      </c>
      <c r="F19" s="206">
        <v>12.0681738006224</v>
      </c>
      <c r="G19" s="206">
        <v>12.6045420825526</v>
      </c>
      <c r="H19" s="206">
        <v>11.6262689394198</v>
      </c>
      <c r="I19" s="206">
        <v>8.6120959174147007</v>
      </c>
      <c r="J19" s="206">
        <v>8.88619785692695</v>
      </c>
      <c r="K19" s="206">
        <v>9.0611678481316797</v>
      </c>
      <c r="L19" s="206">
        <v>9.5882796680827393</v>
      </c>
      <c r="M19" s="206">
        <v>7.6195346458706199</v>
      </c>
      <c r="N19" s="206">
        <v>8.0363549390098097</v>
      </c>
      <c r="O19" s="207">
        <v>8.7209473430725897</v>
      </c>
      <c r="P19" s="206">
        <v>10.7478238622764</v>
      </c>
      <c r="Q19" s="206">
        <v>11.3620653388575</v>
      </c>
    </row>
    <row r="20" spans="1:17" x14ac:dyDescent="0.2">
      <c r="A20" s="197" t="s">
        <v>351</v>
      </c>
      <c r="B20" s="197" t="s">
        <v>352</v>
      </c>
      <c r="C20" s="208" t="e">
        <f ca="1">_xll.BDH("WAB US Equity","IS_DIL_EPS_CONT_OPS","FY 2011","FY 2011","Currency=USD","Period=FY","BEST_FPERIOD_OVERRIDE=FY","FILING_STATUS=MR","Sort=A","Dates=H","DateFormat=P","Fill=—","Direction=H","UseDPDF=Y")</f>
        <v>#NAME?</v>
      </c>
      <c r="D20" s="208" t="e">
        <f ca="1">_xll.BDH("WAB US Equity","IS_DIL_EPS_CONT_OPS","FY 2012","FY 2012","Currency=USD","Period=FY","BEST_FPERIOD_OVERRIDE=FY","FILING_STATUS=MR","Sort=A","Dates=H","DateFormat=P","Fill=—","Direction=H","UseDPDF=Y")</f>
        <v>#NAME?</v>
      </c>
      <c r="E20" s="208" t="e">
        <f ca="1">_xll.BDH("WAB US Equity","IS_DIL_EPS_CONT_OPS","FY 2013","FY 2013","Currency=USD","Period=FY","BEST_FPERIOD_OVERRIDE=FY","FILING_STATUS=MR","Sort=A","Dates=H","DateFormat=P","Fill=—","Direction=H","UseDPDF=Y")</f>
        <v>#NAME?</v>
      </c>
      <c r="F20" s="208" t="e">
        <f ca="1">_xll.BDH("WAB US Equity","IS_DIL_EPS_CONT_OPS","FY 2014","FY 2014","Currency=USD","Period=FY","BEST_FPERIOD_OVERRIDE=FY","FILING_STATUS=MR","Sort=A","Dates=H","DateFormat=P","Fill=—","Direction=H","UseDPDF=Y")</f>
        <v>#NAME?</v>
      </c>
      <c r="G20" s="208" t="e">
        <f ca="1">_xll.BDH("WAB US Equity","IS_DIL_EPS_CONT_OPS","FY 2015","FY 2015","Currency=USD","Period=FY","BEST_FPERIOD_OVERRIDE=FY","FILING_STATUS=MR","Sort=A","Dates=H","DateFormat=P","Fill=—","Direction=H","UseDPDF=Y")</f>
        <v>#NAME?</v>
      </c>
      <c r="H20" s="208" t="e">
        <f ca="1">_xll.BDH("WAB US Equity","IS_DIL_EPS_CONT_OPS","FY 2016","FY 2016","Currency=USD","Period=FY","BEST_FPERIOD_OVERRIDE=FY","FILING_STATUS=MR","Sort=A","Dates=H","DateFormat=P","Fill=—","Direction=H","UseDPDF=Y")</f>
        <v>#NAME?</v>
      </c>
      <c r="I20" s="208" t="e">
        <f ca="1">_xll.BDH("WAB US Equity","IS_DIL_EPS_CONT_OPS","FY 2017","FY 2017","Currency=USD","Period=FY","BEST_FPERIOD_OVERRIDE=FY","FILING_STATUS=MR","Sort=A","Dates=H","DateFormat=P","Fill=—","Direction=H","UseDPDF=Y")</f>
        <v>#NAME?</v>
      </c>
      <c r="J20" s="208" t="e">
        <f ca="1">_xll.BDH("WAB US Equity","IS_DIL_EPS_CONT_OPS","FY 2018","FY 2018","Currency=USD","Period=FY","BEST_FPERIOD_OVERRIDE=FY","FILING_STATUS=MR","Sort=A","Dates=H","DateFormat=P","Fill=—","Direction=H","UseDPDF=Y")</f>
        <v>#NAME?</v>
      </c>
      <c r="K20" s="208" t="e">
        <f ca="1">_xll.BDH("WAB US Equity","IS_DIL_EPS_CONT_OPS","FY 2019","FY 2019","Currency=USD","Period=FY","BEST_FPERIOD_OVERRIDE=FY","FILING_STATUS=MR","Sort=A","Dates=H","DateFormat=P","Fill=—","Direction=H","UseDPDF=Y")</f>
        <v>#NAME?</v>
      </c>
      <c r="L20" s="208" t="e">
        <f ca="1">_xll.BDH("WAB US Equity","IS_DIL_EPS_CONT_OPS","FY 2020","FY 2020","Currency=USD","Period=FY","BEST_FPERIOD_OVERRIDE=FY","FILING_STATUS=MR","Sort=A","Dates=H","DateFormat=P","Fill=—","Direction=H","UseDPDF=Y")</f>
        <v>#NAME?</v>
      </c>
      <c r="M20" s="208" t="e">
        <f ca="1">_xll.BDH("WAB US Equity","IS_DIL_EPS_CONT_OPS","FY 2021","FY 2021","Currency=USD","Period=FY","BEST_FPERIOD_OVERRIDE=FY","FILING_STATUS=MR","Sort=A","Dates=H","DateFormat=P","Fill=—","Direction=H","UseDPDF=Y")</f>
        <v>#NAME?</v>
      </c>
      <c r="N20" s="208" t="e">
        <f ca="1">_xll.BDH("WAB US Equity","IS_DIL_EPS_CONT_OPS","FY 2022","FY 2022","Currency=USD","Period=FY","BEST_FPERIOD_OVERRIDE=FY","FILING_STATUS=MR","Sort=A","Dates=H","DateFormat=P","Fill=—","Direction=H","UseDPDF=Y")</f>
        <v>#NAME?</v>
      </c>
      <c r="O20" s="209">
        <v>4.550128</v>
      </c>
      <c r="P20" s="208">
        <v>5.9560000000000004</v>
      </c>
      <c r="Q20" s="208">
        <v>6.6349999999999998</v>
      </c>
    </row>
    <row r="21" spans="1:17" x14ac:dyDescent="0.2">
      <c r="A21" s="205" t="s">
        <v>343</v>
      </c>
      <c r="B21" s="205" t="s">
        <v>352</v>
      </c>
      <c r="C21" s="206">
        <v>63.236484375000003</v>
      </c>
      <c r="D21" s="206">
        <v>27.541043549260198</v>
      </c>
      <c r="E21" s="206">
        <v>17.463582746970999</v>
      </c>
      <c r="F21" s="206">
        <v>20.832039511094901</v>
      </c>
      <c r="G21" s="206">
        <v>13.393764787406401</v>
      </c>
      <c r="H21" s="206">
        <v>-12.941444738196299</v>
      </c>
      <c r="I21" s="206">
        <v>-7.0828816166671604</v>
      </c>
      <c r="J21" s="206">
        <v>15.6417066059152</v>
      </c>
      <c r="K21" s="206">
        <v>6.0090251650314297</v>
      </c>
      <c r="L21" s="206">
        <v>-10.6867199410139</v>
      </c>
      <c r="M21" s="206">
        <v>-16.759944780760499</v>
      </c>
      <c r="N21" s="206">
        <v>16.170928710128301</v>
      </c>
      <c r="O21" s="207">
        <v>27.312097526717299</v>
      </c>
      <c r="P21" s="206">
        <v>62.140913411961002</v>
      </c>
      <c r="Q21" s="206">
        <v>11.400268636668899</v>
      </c>
    </row>
    <row r="22" spans="1:17" x14ac:dyDescent="0.2">
      <c r="A22" s="197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4"/>
      <c r="P22" s="203"/>
      <c r="Q22" s="203"/>
    </row>
    <row r="23" spans="1:17" x14ac:dyDescent="0.2">
      <c r="A23" s="197" t="s">
        <v>353</v>
      </c>
      <c r="B23" s="197" t="s">
        <v>354</v>
      </c>
      <c r="C23" s="198" t="e">
        <f ca="1">_xll.BDH("WAB US Equity","CF_CASH_FROM_OPER","FY 2011","FY 2011","Currency=USD","Period=FY","BEST_FPERIOD_OVERRIDE=FY","FILING_STATUS=MR","SCALING_FORMAT=MLN","Sort=A","Dates=H","DateFormat=P","Fill=—","Direction=H","UseDPDF=Y")</f>
        <v>#NAME?</v>
      </c>
      <c r="D23" s="198" t="e">
        <f ca="1">_xll.BDH("WAB US Equity","CF_CASH_FROM_OPER","FY 2012","FY 2012","Currency=USD","Period=FY","BEST_FPERIOD_OVERRIDE=FY","FILING_STATUS=MR","SCALING_FORMAT=MLN","Sort=A","Dates=H","DateFormat=P","Fill=—","Direction=H","UseDPDF=Y")</f>
        <v>#NAME?</v>
      </c>
      <c r="E23" s="198" t="e">
        <f ca="1">_xll.BDH("WAB US Equity","CF_CASH_FROM_OPER","FY 2013","FY 2013","Currency=USD","Period=FY","BEST_FPERIOD_OVERRIDE=FY","FILING_STATUS=MR","SCALING_FORMAT=MLN","Sort=A","Dates=H","DateFormat=P","Fill=—","Direction=H","UseDPDF=Y")</f>
        <v>#NAME?</v>
      </c>
      <c r="F23" s="198" t="e">
        <f ca="1">_xll.BDH("WAB US Equity","CF_CASH_FROM_OPER","FY 2014","FY 2014","Currency=USD","Period=FY","BEST_FPERIOD_OVERRIDE=FY","FILING_STATUS=MR","SCALING_FORMAT=MLN","Sort=A","Dates=H","DateFormat=P","Fill=—","Direction=H","UseDPDF=Y")</f>
        <v>#NAME?</v>
      </c>
      <c r="G23" s="198" t="e">
        <f ca="1">_xll.BDH("WAB US Equity","CF_CASH_FROM_OPER","FY 2015","FY 2015","Currency=USD","Period=FY","BEST_FPERIOD_OVERRIDE=FY","FILING_STATUS=MR","SCALING_FORMAT=MLN","Sort=A","Dates=H","DateFormat=P","Fill=—","Direction=H","UseDPDF=Y")</f>
        <v>#NAME?</v>
      </c>
      <c r="H23" s="198" t="e">
        <f ca="1">_xll.BDH("WAB US Equity","CF_CASH_FROM_OPER","FY 2016","FY 2016","Currency=USD","Period=FY","BEST_FPERIOD_OVERRIDE=FY","FILING_STATUS=MR","SCALING_FORMAT=MLN","Sort=A","Dates=H","DateFormat=P","Fill=—","Direction=H","UseDPDF=Y")</f>
        <v>#NAME?</v>
      </c>
      <c r="I23" s="198" t="e">
        <f ca="1">_xll.BDH("WAB US Equity","CF_CASH_FROM_OPER","FY 2017","FY 2017","Currency=USD","Period=FY","BEST_FPERIOD_OVERRIDE=FY","FILING_STATUS=MR","SCALING_FORMAT=MLN","Sort=A","Dates=H","DateFormat=P","Fill=—","Direction=H","UseDPDF=Y")</f>
        <v>#NAME?</v>
      </c>
      <c r="J23" s="198" t="e">
        <f ca="1">_xll.BDH("WAB US Equity","CF_CASH_FROM_OPER","FY 2018","FY 2018","Currency=USD","Period=FY","BEST_FPERIOD_OVERRIDE=FY","FILING_STATUS=MR","SCALING_FORMAT=MLN","Sort=A","Dates=H","DateFormat=P","Fill=—","Direction=H","UseDPDF=Y")</f>
        <v>#NAME?</v>
      </c>
      <c r="K23" s="198" t="e">
        <f ca="1">_xll.BDH("WAB US Equity","CF_CASH_FROM_OPER","FY 2019","FY 2019","Currency=USD","Period=FY","BEST_FPERIOD_OVERRIDE=FY","FILING_STATUS=MR","SCALING_FORMAT=MLN","Sort=A","Dates=H","DateFormat=P","Fill=—","Direction=H","UseDPDF=Y")</f>
        <v>#NAME?</v>
      </c>
      <c r="L23" s="198" t="e">
        <f ca="1">_xll.BDH("WAB US Equity","CF_CASH_FROM_OPER","FY 2020","FY 2020","Currency=USD","Period=FY","BEST_FPERIOD_OVERRIDE=FY","FILING_STATUS=MR","SCALING_FORMAT=MLN","Sort=A","Dates=H","DateFormat=P","Fill=—","Direction=H","UseDPDF=Y")</f>
        <v>#NAME?</v>
      </c>
      <c r="M23" s="198" t="e">
        <f ca="1">_xll.BDH("WAB US Equity","CF_CASH_FROM_OPER","FY 2021","FY 2021","Currency=USD","Period=FY","BEST_FPERIOD_OVERRIDE=FY","FILING_STATUS=MR","SCALING_FORMAT=MLN","Sort=A","Dates=H","DateFormat=P","Fill=—","Direction=H","UseDPDF=Y")</f>
        <v>#NAME?</v>
      </c>
      <c r="N23" s="198" t="e">
        <f ca="1">_xll.BDH("WAB US Equity","CF_CASH_FROM_OPER","FY 2022","FY 2022","Currency=USD","Period=FY","BEST_FPERIOD_OVERRIDE=FY","FILING_STATUS=MR","SCALING_FORMAT=MLN","Sort=A","Dates=H","DateFormat=P","Fill=—","Direction=H","UseDPDF=Y")</f>
        <v>#NAME?</v>
      </c>
      <c r="O23" s="199">
        <v>925</v>
      </c>
      <c r="P23" s="198"/>
      <c r="Q23" s="198"/>
    </row>
    <row r="24" spans="1:17" x14ac:dyDescent="0.2">
      <c r="A24" s="197" t="s">
        <v>139</v>
      </c>
      <c r="B24" s="197" t="s">
        <v>355</v>
      </c>
      <c r="C24" s="198" t="e">
        <f ca="1">_xll.BDH("WAB US Equity","CAPITAL_EXPEND","FY 2011","FY 2011","Currency=USD","Period=FY","BEST_FPERIOD_OVERRIDE=FY","FILING_STATUS=MR","SCALING_FORMAT=MLN","Sort=A","Dates=H","DateFormat=P","Fill=—","Direction=H","UseDPDF=Y")</f>
        <v>#NAME?</v>
      </c>
      <c r="D24" s="198" t="e">
        <f ca="1">_xll.BDH("WAB US Equity","CAPITAL_EXPEND","FY 2012","FY 2012","Currency=USD","Period=FY","BEST_FPERIOD_OVERRIDE=FY","FILING_STATUS=MR","SCALING_FORMAT=MLN","Sort=A","Dates=H","DateFormat=P","Fill=—","Direction=H","UseDPDF=Y")</f>
        <v>#NAME?</v>
      </c>
      <c r="E24" s="198" t="e">
        <f ca="1">_xll.BDH("WAB US Equity","CAPITAL_EXPEND","FY 2013","FY 2013","Currency=USD","Period=FY","BEST_FPERIOD_OVERRIDE=FY","FILING_STATUS=MR","SCALING_FORMAT=MLN","Sort=A","Dates=H","DateFormat=P","Fill=—","Direction=H","UseDPDF=Y")</f>
        <v>#NAME?</v>
      </c>
      <c r="F24" s="198" t="e">
        <f ca="1">_xll.BDH("WAB US Equity","CAPITAL_EXPEND","FY 2014","FY 2014","Currency=USD","Period=FY","BEST_FPERIOD_OVERRIDE=FY","FILING_STATUS=MR","SCALING_FORMAT=MLN","Sort=A","Dates=H","DateFormat=P","Fill=—","Direction=H","UseDPDF=Y")</f>
        <v>#NAME?</v>
      </c>
      <c r="G24" s="198" t="e">
        <f ca="1">_xll.BDH("WAB US Equity","CAPITAL_EXPEND","FY 2015","FY 2015","Currency=USD","Period=FY","BEST_FPERIOD_OVERRIDE=FY","FILING_STATUS=MR","SCALING_FORMAT=MLN","Sort=A","Dates=H","DateFormat=P","Fill=—","Direction=H","UseDPDF=Y")</f>
        <v>#NAME?</v>
      </c>
      <c r="H24" s="198" t="e">
        <f ca="1">_xll.BDH("WAB US Equity","CAPITAL_EXPEND","FY 2016","FY 2016","Currency=USD","Period=FY","BEST_FPERIOD_OVERRIDE=FY","FILING_STATUS=MR","SCALING_FORMAT=MLN","Sort=A","Dates=H","DateFormat=P","Fill=—","Direction=H","UseDPDF=Y")</f>
        <v>#NAME?</v>
      </c>
      <c r="I24" s="198" t="e">
        <f ca="1">_xll.BDH("WAB US Equity","CAPITAL_EXPEND","FY 2017","FY 2017","Currency=USD","Period=FY","BEST_FPERIOD_OVERRIDE=FY","FILING_STATUS=MR","SCALING_FORMAT=MLN","Sort=A","Dates=H","DateFormat=P","Fill=—","Direction=H","UseDPDF=Y")</f>
        <v>#NAME?</v>
      </c>
      <c r="J24" s="198" t="e">
        <f ca="1">_xll.BDH("WAB US Equity","CAPITAL_EXPEND","FY 2018","FY 2018","Currency=USD","Period=FY","BEST_FPERIOD_OVERRIDE=FY","FILING_STATUS=MR","SCALING_FORMAT=MLN","Sort=A","Dates=H","DateFormat=P","Fill=—","Direction=H","UseDPDF=Y")</f>
        <v>#NAME?</v>
      </c>
      <c r="K24" s="198" t="e">
        <f ca="1">_xll.BDH("WAB US Equity","CAPITAL_EXPEND","FY 2019","FY 2019","Currency=USD","Period=FY","BEST_FPERIOD_OVERRIDE=FY","FILING_STATUS=MR","SCALING_FORMAT=MLN","Sort=A","Dates=H","DateFormat=P","Fill=—","Direction=H","UseDPDF=Y")</f>
        <v>#NAME?</v>
      </c>
      <c r="L24" s="198" t="e">
        <f ca="1">_xll.BDH("WAB US Equity","CAPITAL_EXPEND","FY 2020","FY 2020","Currency=USD","Period=FY","BEST_FPERIOD_OVERRIDE=FY","FILING_STATUS=MR","SCALING_FORMAT=MLN","Sort=A","Dates=H","DateFormat=P","Fill=—","Direction=H","UseDPDF=Y")</f>
        <v>#NAME?</v>
      </c>
      <c r="M24" s="198" t="e">
        <f ca="1">_xll.BDH("WAB US Equity","CAPITAL_EXPEND","FY 2021","FY 2021","Currency=USD","Period=FY","BEST_FPERIOD_OVERRIDE=FY","FILING_STATUS=MR","SCALING_FORMAT=MLN","Sort=A","Dates=H","DateFormat=P","Fill=—","Direction=H","UseDPDF=Y")</f>
        <v>#NAME?</v>
      </c>
      <c r="N24" s="198" t="e">
        <f ca="1">_xll.BDH("WAB US Equity","CAPITAL_EXPEND","FY 2022","FY 2022","Currency=USD","Period=FY","BEST_FPERIOD_OVERRIDE=FY","FILING_STATUS=MR","SCALING_FORMAT=MLN","Sort=A","Dates=H","DateFormat=P","Fill=—","Direction=H","UseDPDF=Y")</f>
        <v>#NAME?</v>
      </c>
      <c r="O24" s="199">
        <v>-176</v>
      </c>
      <c r="P24" s="198">
        <v>-181.143</v>
      </c>
      <c r="Q24" s="198">
        <v>-203</v>
      </c>
    </row>
    <row r="25" spans="1:17" x14ac:dyDescent="0.2">
      <c r="A25" s="197" t="s">
        <v>172</v>
      </c>
      <c r="B25" s="197" t="s">
        <v>356</v>
      </c>
      <c r="C25" s="198" t="e">
        <f ca="1">_xll.BDH("WAB US Equity","CF_FREE_CASH_FLOW","FY 2011","FY 2011","Currency=USD","Period=FY","BEST_FPERIOD_OVERRIDE=FY","FILING_STATUS=MR","SCALING_FORMAT=MLN","Sort=A","Dates=H","DateFormat=P","Fill=—","Direction=H","UseDPDF=Y")</f>
        <v>#NAME?</v>
      </c>
      <c r="D25" s="198" t="e">
        <f ca="1">_xll.BDH("WAB US Equity","CF_FREE_CASH_FLOW","FY 2012","FY 2012","Currency=USD","Period=FY","BEST_FPERIOD_OVERRIDE=FY","FILING_STATUS=MR","SCALING_FORMAT=MLN","Sort=A","Dates=H","DateFormat=P","Fill=—","Direction=H","UseDPDF=Y")</f>
        <v>#NAME?</v>
      </c>
      <c r="E25" s="198" t="e">
        <f ca="1">_xll.BDH("WAB US Equity","CF_FREE_CASH_FLOW","FY 2013","FY 2013","Currency=USD","Period=FY","BEST_FPERIOD_OVERRIDE=FY","FILING_STATUS=MR","SCALING_FORMAT=MLN","Sort=A","Dates=H","DateFormat=P","Fill=—","Direction=H","UseDPDF=Y")</f>
        <v>#NAME?</v>
      </c>
      <c r="F25" s="198" t="e">
        <f ca="1">_xll.BDH("WAB US Equity","CF_FREE_CASH_FLOW","FY 2014","FY 2014","Currency=USD","Period=FY","BEST_FPERIOD_OVERRIDE=FY","FILING_STATUS=MR","SCALING_FORMAT=MLN","Sort=A","Dates=H","DateFormat=P","Fill=—","Direction=H","UseDPDF=Y")</f>
        <v>#NAME?</v>
      </c>
      <c r="G25" s="198" t="e">
        <f ca="1">_xll.BDH("WAB US Equity","CF_FREE_CASH_FLOW","FY 2015","FY 2015","Currency=USD","Period=FY","BEST_FPERIOD_OVERRIDE=FY","FILING_STATUS=MR","SCALING_FORMAT=MLN","Sort=A","Dates=H","DateFormat=P","Fill=—","Direction=H","UseDPDF=Y")</f>
        <v>#NAME?</v>
      </c>
      <c r="H25" s="198" t="e">
        <f ca="1">_xll.BDH("WAB US Equity","CF_FREE_CASH_FLOW","FY 2016","FY 2016","Currency=USD","Period=FY","BEST_FPERIOD_OVERRIDE=FY","FILING_STATUS=MR","SCALING_FORMAT=MLN","Sort=A","Dates=H","DateFormat=P","Fill=—","Direction=H","UseDPDF=Y")</f>
        <v>#NAME?</v>
      </c>
      <c r="I25" s="198" t="e">
        <f ca="1">_xll.BDH("WAB US Equity","CF_FREE_CASH_FLOW","FY 2017","FY 2017","Currency=USD","Period=FY","BEST_FPERIOD_OVERRIDE=FY","FILING_STATUS=MR","SCALING_FORMAT=MLN","Sort=A","Dates=H","DateFormat=P","Fill=—","Direction=H","UseDPDF=Y")</f>
        <v>#NAME?</v>
      </c>
      <c r="J25" s="198" t="e">
        <f ca="1">_xll.BDH("WAB US Equity","CF_FREE_CASH_FLOW","FY 2018","FY 2018","Currency=USD","Period=FY","BEST_FPERIOD_OVERRIDE=FY","FILING_STATUS=MR","SCALING_FORMAT=MLN","Sort=A","Dates=H","DateFormat=P","Fill=—","Direction=H","UseDPDF=Y")</f>
        <v>#NAME?</v>
      </c>
      <c r="K25" s="198" t="e">
        <f ca="1">_xll.BDH("WAB US Equity","CF_FREE_CASH_FLOW","FY 2019","FY 2019","Currency=USD","Period=FY","BEST_FPERIOD_OVERRIDE=FY","FILING_STATUS=MR","SCALING_FORMAT=MLN","Sort=A","Dates=H","DateFormat=P","Fill=—","Direction=H","UseDPDF=Y")</f>
        <v>#NAME?</v>
      </c>
      <c r="L25" s="198" t="e">
        <f ca="1">_xll.BDH("WAB US Equity","CF_FREE_CASH_FLOW","FY 2020","FY 2020","Currency=USD","Period=FY","BEST_FPERIOD_OVERRIDE=FY","FILING_STATUS=MR","SCALING_FORMAT=MLN","Sort=A","Dates=H","DateFormat=P","Fill=—","Direction=H","UseDPDF=Y")</f>
        <v>#NAME?</v>
      </c>
      <c r="M25" s="198" t="e">
        <f ca="1">_xll.BDH("WAB US Equity","CF_FREE_CASH_FLOW","FY 2021","FY 2021","Currency=USD","Period=FY","BEST_FPERIOD_OVERRIDE=FY","FILING_STATUS=MR","SCALING_FORMAT=MLN","Sort=A","Dates=H","DateFormat=P","Fill=—","Direction=H","UseDPDF=Y")</f>
        <v>#NAME?</v>
      </c>
      <c r="N25" s="198" t="e">
        <f ca="1">_xll.BDH("WAB US Equity","CF_FREE_CASH_FLOW","FY 2022","FY 2022","Currency=USD","Period=FY","BEST_FPERIOD_OVERRIDE=FY","FILING_STATUS=MR","SCALING_FORMAT=MLN","Sort=A","Dates=H","DateFormat=P","Fill=—","Direction=H","UseDPDF=Y")</f>
        <v>#NAME?</v>
      </c>
      <c r="O25" s="199">
        <v>749</v>
      </c>
      <c r="P25" s="198">
        <v>905.2</v>
      </c>
      <c r="Q25" s="198">
        <v>1205.8789999999999</v>
      </c>
    </row>
    <row r="26" spans="1:17" x14ac:dyDescent="0.2">
      <c r="A26" s="210" t="s">
        <v>357</v>
      </c>
      <c r="B26" s="210"/>
      <c r="C26" s="210" t="s">
        <v>358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</row>
    <row r="27" spans="1:17" x14ac:dyDescent="0.2">
      <c r="D27" s="211" t="e">
        <f t="shared" ref="D27:H27" ca="1" si="0">((D25/C25)-1)</f>
        <v>#NAME?</v>
      </c>
      <c r="E27" s="211" t="e">
        <f t="shared" ca="1" si="0"/>
        <v>#NAME?</v>
      </c>
      <c r="F27" s="211" t="e">
        <f t="shared" ca="1" si="0"/>
        <v>#NAME?</v>
      </c>
      <c r="G27" s="211" t="e">
        <f t="shared" ca="1" si="0"/>
        <v>#NAME?</v>
      </c>
      <c r="H27" s="211" t="e">
        <f t="shared" ca="1" si="0"/>
        <v>#NAME?</v>
      </c>
      <c r="I27" s="211" t="e">
        <f t="shared" ref="I27:K27" ca="1" si="1">((I25/H25)-1)</f>
        <v>#NAME?</v>
      </c>
      <c r="J27" s="211" t="e">
        <f t="shared" ca="1" si="1"/>
        <v>#NAME?</v>
      </c>
      <c r="K27" s="211" t="e">
        <f t="shared" ca="1" si="1"/>
        <v>#NAME?</v>
      </c>
      <c r="L27" s="211" t="e">
        <f ca="1">((L25/K25)-1)</f>
        <v>#NAME?</v>
      </c>
      <c r="M27" s="211" t="e">
        <f t="shared" ref="M27:Q27" ca="1" si="2">((M25/L25)-1)</f>
        <v>#NAME?</v>
      </c>
      <c r="N27" s="211" t="e">
        <f t="shared" ca="1" si="2"/>
        <v>#NAME?</v>
      </c>
      <c r="O27" s="211" t="e">
        <f t="shared" ca="1" si="2"/>
        <v>#NAME?</v>
      </c>
      <c r="P27" s="211">
        <f t="shared" si="2"/>
        <v>0.20854472630173571</v>
      </c>
      <c r="Q27" s="211">
        <f t="shared" si="2"/>
        <v>0.33216858152894368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DCF</vt:lpstr>
      <vt:lpstr>CCA</vt:lpstr>
      <vt:lpstr>Sheet1</vt:lpstr>
      <vt:lpstr>BBG Adj Highlights</vt:lpstr>
      <vt:lpstr>DCF!BS</vt:lpstr>
      <vt:lpstr>DCF!CF</vt:lpstr>
      <vt:lpstr>DCF!IS_2</vt:lpstr>
      <vt:lpstr>CCA!Print_Area</vt:lpstr>
      <vt:lpstr>DCF!Print_Area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AMANN Guillaume</cp:lastModifiedBy>
  <cp:revision/>
  <cp:lastPrinted>2023-11-10T10:32:46Z</cp:lastPrinted>
  <dcterms:created xsi:type="dcterms:W3CDTF">2023-10-05T12:49:53Z</dcterms:created>
  <dcterms:modified xsi:type="dcterms:W3CDTF">2024-11-06T23:29:21Z</dcterms:modified>
  <cp:category/>
  <cp:contentStatus/>
</cp:coreProperties>
</file>