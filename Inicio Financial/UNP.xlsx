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ja23_ic_ac_uk/Documents/Documents/"/>
    </mc:Choice>
  </mc:AlternateContent>
  <xr:revisionPtr revIDLastSave="58" documentId="8_{FFE2AAE4-0E6F-4BE7-B300-0646E9848275}" xr6:coauthVersionLast="47" xr6:coauthVersionMax="47" xr10:uidLastSave="{966526D3-7E51-4017-AB96-BD1158769D79}"/>
  <bookViews>
    <workbookView xWindow="-120" yWindow="-120" windowWidth="29040" windowHeight="15840" xr2:uid="{00000000-000D-0000-FFFF-FFFF00000000}"/>
  </bookViews>
  <sheets>
    <sheet name="DCF" sheetId="1" r:id="rId1"/>
    <sheet name="CCA" sheetId="2" r:id="rId2"/>
    <sheet name="Summary" sheetId="7" r:id="rId3"/>
    <sheet name="IS" sheetId="4" r:id="rId4"/>
    <sheet name="BS" sheetId="5" r:id="rId5"/>
    <sheet name="CF" sheetId="6" r:id="rId6"/>
    <sheet name="Graphs" sheetId="3" r:id="rId7"/>
    <sheet name="Ratio" sheetId="8" r:id="rId8"/>
  </sheets>
  <definedNames>
    <definedName name="cash">DCF!$C$21</definedName>
    <definedName name="debt">DCF!$C$22</definedName>
    <definedName name="ebi">CCA!$L$25:$L$29,CCA!$L$31:$L$37,CCA!$L$30</definedName>
    <definedName name="fcff">DCF!$L$16</definedName>
    <definedName name="_xlnm.Print_Area" localSheetId="1">CCA!$A$1:$O$49</definedName>
    <definedName name="_xlnm.Print_Area" localSheetId="0">DCF!$A$1:$M$29</definedName>
    <definedName name="reve">CCA!$J$25:$J$37</definedName>
    <definedName name="tgr">DCF!$I$20</definedName>
    <definedName name="wacc">DCF!$I$23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 a="1"/>
  <c r="N5" i="7" s="1"/>
  <c r="AY15" i="7"/>
  <c r="C22" i="1"/>
  <c r="C21" i="1"/>
  <c r="E32" i="1"/>
  <c r="F32" i="1"/>
  <c r="G32" i="1"/>
  <c r="H32" i="1"/>
  <c r="I32" i="1"/>
  <c r="D32" i="1"/>
  <c r="L15" i="3"/>
  <c r="L16" i="3"/>
  <c r="L17" i="3"/>
  <c r="L18" i="3"/>
  <c r="L14" i="3"/>
  <c r="J17" i="3"/>
  <c r="J15" i="3"/>
  <c r="J16" i="3"/>
  <c r="J18" i="3"/>
  <c r="J14" i="3"/>
  <c r="G24" i="1"/>
  <c r="L4" i="1"/>
  <c r="K4" i="1"/>
  <c r="F24" i="1"/>
  <c r="F22" i="1"/>
  <c r="F20" i="1"/>
  <c r="E14" i="3" a="1"/>
  <c r="E14" i="3" s="1"/>
  <c r="D9" i="2"/>
  <c r="G9" i="2"/>
  <c r="F9" i="2"/>
  <c r="N9" i="2"/>
  <c r="M9" i="2"/>
  <c r="L9" i="2"/>
  <c r="K9" i="2"/>
  <c r="R24" i="1"/>
  <c r="BM14" i="7"/>
  <c r="BL14" i="7"/>
  <c r="BK14" i="7"/>
  <c r="BP14" i="7"/>
  <c r="BN14" i="7"/>
  <c r="BJ14" i="7"/>
  <c r="BI14" i="7"/>
  <c r="BH14" i="7"/>
  <c r="BG14" i="7"/>
  <c r="BF14" i="7"/>
  <c r="BQ14" i="7"/>
  <c r="AZ14" i="7"/>
  <c r="BE14" i="7"/>
  <c r="BD14" i="7"/>
  <c r="BS14" i="7"/>
  <c r="BC14" i="7"/>
  <c r="BR14" i="7"/>
  <c r="BB14" i="7"/>
  <c r="BA14" i="7"/>
  <c r="BO14" i="7"/>
  <c r="AU6" i="7"/>
  <c r="AE6" i="7"/>
  <c r="AC6" i="7"/>
  <c r="AV6" i="7"/>
  <c r="AT6" i="7"/>
  <c r="AD6" i="7"/>
  <c r="AS6" i="7"/>
  <c r="AQ6" i="7"/>
  <c r="AR6" i="7"/>
  <c r="AP6" i="7"/>
  <c r="AI6" i="7"/>
  <c r="AF6" i="7"/>
  <c r="AO6" i="7"/>
  <c r="AN6" i="7"/>
  <c r="AG6" i="7"/>
  <c r="AM6" i="7"/>
  <c r="AJ6" i="7"/>
  <c r="AL6" i="7"/>
  <c r="AH6" i="7"/>
  <c r="AK6" i="7"/>
  <c r="BO15" i="7" l="1"/>
  <c r="BA15" i="7"/>
  <c r="BB15" i="7"/>
  <c r="BC15" i="7"/>
  <c r="BD15" i="7"/>
  <c r="BE15" i="7"/>
  <c r="AZ15" i="7"/>
  <c r="BS16" i="7" s="1" a="1"/>
  <c r="BS16" i="7" s="1"/>
  <c r="BF15" i="7"/>
  <c r="BG15" i="7"/>
  <c r="BH15" i="7"/>
  <c r="BI15" i="7"/>
  <c r="BJ15" i="7"/>
  <c r="BN15" i="7"/>
  <c r="BK15" i="7"/>
  <c r="BL15" i="7"/>
  <c r="BM15" i="7"/>
  <c r="F28" i="1"/>
  <c r="F19" i="1" s="1"/>
  <c r="S37" i="3" a="1"/>
  <c r="S37" i="3" s="1"/>
  <c r="Q37" i="3" a="1"/>
  <c r="Q37" i="3" s="1"/>
  <c r="S31" i="3"/>
  <c r="S32" i="3"/>
  <c r="S33" i="3"/>
  <c r="S34" i="3"/>
  <c r="S35" i="3"/>
  <c r="S36" i="3"/>
  <c r="S30" i="3"/>
  <c r="B33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I36" i="2"/>
  <c r="N36" i="2"/>
  <c r="M36" i="2"/>
  <c r="L36" i="2"/>
  <c r="K36" i="2"/>
  <c r="J36" i="2"/>
  <c r="H36" i="2"/>
  <c r="G36" i="2"/>
  <c r="F36" i="2"/>
  <c r="E36" i="2"/>
  <c r="D36" i="2"/>
  <c r="C36" i="2"/>
  <c r="L25" i="2"/>
  <c r="I32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H32" i="2"/>
  <c r="G32" i="2"/>
  <c r="F32" i="2"/>
  <c r="E32" i="2"/>
  <c r="D32" i="2"/>
  <c r="C32" i="2"/>
  <c r="B32" i="2"/>
  <c r="F23" i="1" l="1"/>
  <c r="I23" i="1" s="1"/>
  <c r="O27" i="1" s="1"/>
  <c r="D44" i="2"/>
  <c r="D46" i="2" s="1"/>
  <c r="D42" i="2"/>
  <c r="D41" i="2"/>
  <c r="D47" i="2"/>
  <c r="D45" i="2"/>
  <c r="F27" i="1"/>
  <c r="K26" i="2"/>
  <c r="I26" i="2"/>
  <c r="C26" i="2"/>
  <c r="D26" i="2"/>
  <c r="E26" i="2"/>
  <c r="F26" i="2"/>
  <c r="G26" i="2"/>
  <c r="H26" i="2"/>
  <c r="J26" i="2"/>
  <c r="L26" i="2"/>
  <c r="M26" i="2"/>
  <c r="N26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N31" i="2"/>
  <c r="B31" i="2"/>
  <c r="B28" i="2"/>
  <c r="B29" i="2"/>
  <c r="B27" i="2"/>
  <c r="B26" i="2"/>
  <c r="B25" i="2"/>
  <c r="M25" i="2"/>
  <c r="E9" i="2"/>
  <c r="H17" i="1" l="1"/>
  <c r="C19" i="1"/>
  <c r="L17" i="1"/>
  <c r="D43" i="2"/>
  <c r="O26" i="1"/>
  <c r="O25" i="1" s="1"/>
  <c r="O28" i="1"/>
  <c r="O29" i="1" s="1"/>
  <c r="I9" i="2"/>
  <c r="H9" i="2"/>
  <c r="E25" i="2" l="1"/>
  <c r="I25" i="2"/>
  <c r="C5" i="3" a="1"/>
  <c r="C5" i="3" s="1"/>
  <c r="K25" i="2"/>
  <c r="G25" i="2"/>
  <c r="N25" i="2"/>
  <c r="E41" i="2" s="1"/>
  <c r="I31" i="2" l="1"/>
  <c r="I29" i="2"/>
  <c r="I4" i="1"/>
  <c r="I17" i="1" s="1" a="1"/>
  <c r="I17" i="1" s="1"/>
  <c r="J4" i="1" l="1"/>
  <c r="C28" i="2"/>
  <c r="I28" i="2"/>
  <c r="J31" i="2"/>
  <c r="J29" i="2"/>
  <c r="C25" i="2"/>
  <c r="C27" i="2"/>
  <c r="I27" i="2"/>
  <c r="C31" i="2"/>
  <c r="C29" i="2"/>
  <c r="J17" i="1" l="1" a="1"/>
  <c r="J17" i="1" s="1"/>
  <c r="C20" i="1" s="1"/>
  <c r="K17" i="1"/>
  <c r="J9" i="2"/>
  <c r="D28" i="2"/>
  <c r="J28" i="2"/>
  <c r="D27" i="2"/>
  <c r="J27" i="2"/>
  <c r="C48" i="2" s="1"/>
  <c r="K29" i="2"/>
  <c r="K31" i="2"/>
  <c r="D29" i="2"/>
  <c r="D31" i="2"/>
  <c r="R27" i="1" l="1"/>
  <c r="C23" i="1"/>
  <c r="C25" i="1" s="1"/>
  <c r="P20" i="1" s="1"/>
  <c r="J25" i="2"/>
  <c r="D25" i="2"/>
  <c r="F25" i="2"/>
  <c r="H25" i="2"/>
  <c r="E28" i="2"/>
  <c r="K28" i="2"/>
  <c r="E31" i="2"/>
  <c r="L31" i="2"/>
  <c r="L29" i="2"/>
  <c r="E29" i="2"/>
  <c r="E27" i="2"/>
  <c r="K27" i="2"/>
  <c r="C41" i="2" l="1"/>
  <c r="F41" i="2" s="1"/>
  <c r="I41" i="2" s="1"/>
  <c r="C42" i="2"/>
  <c r="F42" i="2" s="1"/>
  <c r="I42" i="2" s="1"/>
  <c r="L42" i="2" s="1"/>
  <c r="C47" i="2"/>
  <c r="F47" i="2" s="1"/>
  <c r="I47" i="2" s="1"/>
  <c r="L47" i="2" s="1"/>
  <c r="C45" i="2"/>
  <c r="F45" i="2" s="1"/>
  <c r="I45" i="2" s="1"/>
  <c r="L45" i="2" s="1"/>
  <c r="C44" i="2"/>
  <c r="F48" i="2"/>
  <c r="I48" i="2" s="1"/>
  <c r="F28" i="2"/>
  <c r="L28" i="2"/>
  <c r="F31" i="2"/>
  <c r="F27" i="2"/>
  <c r="L27" i="2"/>
  <c r="M31" i="2"/>
  <c r="M29" i="2"/>
  <c r="F29" i="2"/>
  <c r="C43" i="2" l="1"/>
  <c r="F43" i="2" s="1"/>
  <c r="I43" i="2" s="1"/>
  <c r="L43" i="2" s="1"/>
  <c r="C46" i="2"/>
  <c r="F46" i="2" s="1"/>
  <c r="I46" i="2" s="1"/>
  <c r="L46" i="2" s="1"/>
  <c r="G45" i="2"/>
  <c r="J45" i="2" s="1"/>
  <c r="M45" i="2" s="1"/>
  <c r="D48" i="2"/>
  <c r="G41" i="2"/>
  <c r="J41" i="2" s="1"/>
  <c r="M41" i="2" s="1"/>
  <c r="G47" i="2"/>
  <c r="F44" i="2"/>
  <c r="I44" i="2" s="1"/>
  <c r="L44" i="2" s="1"/>
  <c r="G42" i="2"/>
  <c r="L41" i="2"/>
  <c r="L48" i="2"/>
  <c r="G28" i="2"/>
  <c r="M28" i="2"/>
  <c r="G29" i="2"/>
  <c r="G27" i="2"/>
  <c r="M27" i="2"/>
  <c r="G31" i="2"/>
  <c r="N29" i="2"/>
  <c r="G43" i="2" l="1"/>
  <c r="J43" i="2" s="1"/>
  <c r="M43" i="2" s="1"/>
  <c r="G44" i="2"/>
  <c r="J44" i="2" s="1"/>
  <c r="M44" i="2" s="1"/>
  <c r="G46" i="2"/>
  <c r="J46" i="2" s="1"/>
  <c r="M46" i="2" s="1"/>
  <c r="J47" i="2"/>
  <c r="M47" i="2" s="1"/>
  <c r="J42" i="2"/>
  <c r="M42" i="2" s="1"/>
  <c r="G48" i="2"/>
  <c r="H28" i="2"/>
  <c r="N28" i="2"/>
  <c r="H29" i="2"/>
  <c r="H27" i="2"/>
  <c r="N27" i="2"/>
  <c r="H31" i="2"/>
  <c r="C26" i="1" l="1"/>
  <c r="P21" i="1" s="1"/>
  <c r="E48" i="2"/>
  <c r="H48" i="2" s="1"/>
  <c r="K48" i="2" s="1"/>
  <c r="E42" i="2"/>
  <c r="H42" i="2" s="1"/>
  <c r="E45" i="2"/>
  <c r="H45" i="2" s="1"/>
  <c r="K45" i="2" s="1"/>
  <c r="N45" i="2" s="1"/>
  <c r="E47" i="2"/>
  <c r="H47" i="2" s="1"/>
  <c r="E44" i="2"/>
  <c r="J48" i="2"/>
  <c r="M48" i="2" s="1"/>
  <c r="E46" i="2" l="1"/>
  <c r="H46" i="2" s="1"/>
  <c r="K46" i="2" s="1"/>
  <c r="N46" i="2" s="1"/>
  <c r="E43" i="2"/>
  <c r="H43" i="2" s="1"/>
  <c r="K43" i="2" s="1"/>
  <c r="N43" i="2" s="1"/>
  <c r="H44" i="2"/>
  <c r="K44" i="2" s="1"/>
  <c r="N44" i="2" s="1"/>
  <c r="H41" i="2"/>
  <c r="K41" i="2" s="1"/>
  <c r="N41" i="2" s="1"/>
  <c r="K42" i="2"/>
  <c r="N42" i="2" s="1"/>
  <c r="K47" i="2"/>
  <c r="N47" i="2" s="1"/>
  <c r="N48" i="2"/>
  <c r="R26" i="1" l="1"/>
  <c r="R29" i="1"/>
  <c r="R25" i="1"/>
  <c r="R28" i="1"/>
  <c r="Q24" i="1"/>
  <c r="S24" i="1"/>
  <c r="S28" i="1" l="1"/>
  <c r="S27" i="1"/>
  <c r="S25" i="1"/>
  <c r="S29" i="1"/>
  <c r="S26" i="1"/>
  <c r="Q26" i="1"/>
  <c r="Q27" i="1"/>
  <c r="Q25" i="1"/>
  <c r="Q28" i="1"/>
  <c r="Q29" i="1"/>
  <c r="T24" i="1"/>
  <c r="P24" i="1"/>
  <c r="P28" i="1" l="1"/>
  <c r="P26" i="1"/>
  <c r="P25" i="1"/>
  <c r="P29" i="1"/>
  <c r="P27" i="1"/>
  <c r="T28" i="1"/>
  <c r="T27" i="1"/>
  <c r="T26" i="1"/>
  <c r="T25" i="1"/>
  <c r="T29" i="1"/>
  <c r="D4" i="3" a="1"/>
  <c r="D4" i="3" s="1"/>
  <c r="D5" i="3" l="1" a="1"/>
  <c r="D5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<sst xmlns="http://schemas.openxmlformats.org/spreadsheetml/2006/main" count="2038" uniqueCount="779">
  <si>
    <t>Ticker</t>
  </si>
  <si>
    <t>Implied Share Price</t>
  </si>
  <si>
    <t>TGR</t>
  </si>
  <si>
    <t>Revenue</t>
  </si>
  <si>
    <t>EBIT</t>
  </si>
  <si>
    <t>Enterprise Value</t>
  </si>
  <si>
    <t>Equity Value</t>
  </si>
  <si>
    <t>Shares</t>
  </si>
  <si>
    <t>Share Price</t>
  </si>
  <si>
    <t>% Debt</t>
  </si>
  <si>
    <t>Cost of Debt</t>
  </si>
  <si>
    <t>Tax Rate</t>
  </si>
  <si>
    <t>% Equity</t>
  </si>
  <si>
    <t>Risk Free Rate</t>
  </si>
  <si>
    <t>Beta</t>
  </si>
  <si>
    <t>Debt + Equity</t>
  </si>
  <si>
    <t>EBITDA</t>
  </si>
  <si>
    <t>Net Income</t>
  </si>
  <si>
    <t xml:space="preserve">   + Cash</t>
  </si>
  <si>
    <t xml:space="preserve">   - Debt</t>
  </si>
  <si>
    <t>WACC 
(% Equity x Cost of Equity) + (% Debt x Cost of Debt x (1 -Tax rate))</t>
  </si>
  <si>
    <t>Cost of Equity
Risk Free Rate + (Beta x (Expected Market Return - Risk Free Rate))</t>
  </si>
  <si>
    <t>Share Price on</t>
  </si>
  <si>
    <t>Discounted Cash Flow Analysis</t>
  </si>
  <si>
    <t>Revenue Growth</t>
  </si>
  <si>
    <t>EBITDA Margin</t>
  </si>
  <si>
    <t>Profit Margin</t>
  </si>
  <si>
    <t>EV / Revenue</t>
  </si>
  <si>
    <t>EV / EBITDA</t>
  </si>
  <si>
    <t>P / E</t>
  </si>
  <si>
    <t>Mean</t>
  </si>
  <si>
    <t>Median</t>
  </si>
  <si>
    <t>2023 Trading Multiple</t>
  </si>
  <si>
    <t>P/E</t>
  </si>
  <si>
    <t>Minimum</t>
  </si>
  <si>
    <t>Maximum</t>
  </si>
  <si>
    <t>Market Cap</t>
  </si>
  <si>
    <t>Company</t>
  </si>
  <si>
    <t>nbr of Shares</t>
  </si>
  <si>
    <r>
      <t>Revenue</t>
    </r>
    <r>
      <rPr>
        <sz val="8"/>
        <color theme="1"/>
        <rFont val="Calibri (Body)"/>
      </rPr>
      <t xml:space="preserve"> (in million USDs)</t>
    </r>
  </si>
  <si>
    <r>
      <t xml:space="preserve">EBITDA  </t>
    </r>
    <r>
      <rPr>
        <sz val="8"/>
        <color theme="1"/>
        <rFont val="Calibri (Body)"/>
      </rPr>
      <t>(in million USDs)</t>
    </r>
  </si>
  <si>
    <r>
      <t xml:space="preserve">Net Income </t>
    </r>
    <r>
      <rPr>
        <sz val="8"/>
        <color theme="1"/>
        <rFont val="Calibri (Body)"/>
      </rPr>
      <t>(in millions)</t>
    </r>
  </si>
  <si>
    <t>Westinghouse Air Brake</t>
  </si>
  <si>
    <t xml:space="preserve">
Technologies Corporation (WAB)</t>
  </si>
  <si>
    <t>Capital Expenditures</t>
  </si>
  <si>
    <t>Free Cash Flow</t>
  </si>
  <si>
    <t>Total Current Assets</t>
  </si>
  <si>
    <t>Total Assets</t>
  </si>
  <si>
    <t>Total Current Liabilities</t>
  </si>
  <si>
    <t>Current Ratio</t>
  </si>
  <si>
    <t>Total Liabilities</t>
  </si>
  <si>
    <t>Total Equity</t>
  </si>
  <si>
    <t>Liabilities &amp; Shareholders' Equity</t>
  </si>
  <si>
    <t>Comparable Company Analysis</t>
  </si>
  <si>
    <t>WAB</t>
  </si>
  <si>
    <t>WAB Tech</t>
  </si>
  <si>
    <t>GBX</t>
  </si>
  <si>
    <t>from US10Y</t>
  </si>
  <si>
    <t>Market Risk Premium 
= Market return - Risk free return</t>
  </si>
  <si>
    <t>1st Quartile</t>
  </si>
  <si>
    <t>3rd Quartile</t>
  </si>
  <si>
    <t>WACC</t>
  </si>
  <si>
    <t>Terminal Growth Rate</t>
  </si>
  <si>
    <t>← from Bloomberg</t>
  </si>
  <si>
    <t>" a year</t>
  </si>
  <si>
    <t>CRRC Corp</t>
  </si>
  <si>
    <t>KTK Group</t>
  </si>
  <si>
    <t>Greenbrier Companies</t>
  </si>
  <si>
    <t>Stadler Rail</t>
  </si>
  <si>
    <t>Alstom</t>
  </si>
  <si>
    <t>beta</t>
  </si>
  <si>
    <t>3Y</t>
  </si>
  <si>
    <t>S&amp;P</t>
  </si>
  <si>
    <t>US 10Y</t>
  </si>
  <si>
    <t>return</t>
  </si>
  <si>
    <t>In Millions of USD except Per Share</t>
  </si>
  <si>
    <t>FY 2018</t>
  </si>
  <si>
    <t>FY 2019</t>
  </si>
  <si>
    <t>FY 2020</t>
  </si>
  <si>
    <t>FY 2021</t>
  </si>
  <si>
    <t>FY 2022</t>
  </si>
  <si>
    <t>Last 12M</t>
  </si>
  <si>
    <t>FY 2023 Est</t>
  </si>
  <si>
    <t>FY 2024 Est</t>
  </si>
  <si>
    <t>12 Months Ending</t>
  </si>
  <si>
    <t>12/31/2018</t>
  </si>
  <si>
    <t>12/31/2019</t>
  </si>
  <si>
    <t>12/31/2020</t>
  </si>
  <si>
    <t>12/31/2021</t>
  </si>
  <si>
    <t>12/31/2022</t>
  </si>
  <si>
    <t>09/30/2023</t>
  </si>
  <si>
    <t>12/31/2023</t>
  </si>
  <si>
    <t>12/31/2024</t>
  </si>
  <si>
    <t>SALES_REV_TURN</t>
  </si>
  <si>
    <t xml:space="preserve">    + Sales &amp; Services Revenue</t>
  </si>
  <si>
    <t>IS_SALES_AND_SERVICES_REVENUES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</si>
  <si>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</si>
  <si>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</si>
  <si>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</si>
  <si>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</si>
  <si>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</si>
  <si>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</si>
  <si>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Research &amp; Development</t>
  </si>
  <si>
    <t>IS_OPERATING_EXPENSES_RD</t>
  </si>
  <si>
    <t xml:space="preserve">    + Depreciation &amp; Amortization</t>
  </si>
  <si>
    <t>IS_DEPRECIATION_AND_AMORTIZATION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</si>
  <si>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</si>
  <si>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</si>
  <si>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</si>
  <si>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</si>
  <si>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</si>
  <si>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</si>
  <si>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</si>
  <si>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</si>
  <si>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</si>
  <si>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</si>
  <si>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</si>
  <si>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</si>
  <si>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</si>
  <si>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</si>
  <si>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</si>
  <si>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</si>
  <si>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</si>
  <si>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</si>
  <si>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</si>
  <si>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</si>
  <si>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Disposal of Assets</t>
  </si>
  <si>
    <t>IS_GAIN_LOSS_DISPOSAL_ASSETS</t>
  </si>
  <si>
    <t xml:space="preserve">    + Early Extinguishment of Debt</t>
  </si>
  <si>
    <t>IS_G_L_ON_EXT_DBT_OR_SETTLE_DBT</t>
  </si>
  <si>
    <t xml:space="preserve">    + Restructuring</t>
  </si>
  <si>
    <t>IS_RESTRUCTURING_EXPENSES</t>
  </si>
  <si>
    <t>Pretax Income (Loss), GAAP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</si>
  <si>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</si>
  <si>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</si>
  <si>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</si>
  <si>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</si>
  <si>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</si>
  <si>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</si>
  <si>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</si>
  <si>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</si>
  <si>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</si>
  <si>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</si>
  <si>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</si>
  <si>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</si>
  <si>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</si>
  <si>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</si>
  <si>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</si>
  <si>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</si>
  <si>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</si>
  <si>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</si>
  <si>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</si>
  <si>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</si>
  <si>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</si>
  <si>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</si>
  <si>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</si>
  <si>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</si>
  <si>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</si>
  <si>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</si>
  <si>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</si>
  <si>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</si>
  <si>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</si>
  <si>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</si>
  <si>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</si>
  <si>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</si>
  <si>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</si>
  <si>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</si>
  <si>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</si>
  <si>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</si>
  <si>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</si>
  <si>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</si>
  <si>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</si>
  <si>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</si>
  <si>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</si>
  <si>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</si>
  <si>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</si>
  <si>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</si>
  <si>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</si>
  <si>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</si>
  <si>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</si>
  <si>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</si>
  <si>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</si>
  <si>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</si>
  <si>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</si>
  <si>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</si>
  <si>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</si>
  <si>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</si>
  <si>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</si>
  <si>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</si>
  <si>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</si>
  <si>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</si>
  <si>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</si>
  <si>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</si>
  <si>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</si>
  <si>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</si>
  <si>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</si>
  <si>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</si>
  <si>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</si>
  <si>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</si>
  <si>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Source: Bloomberg</t>
  </si>
  <si>
    <t>Right click to show data transparency (not supported for all values)</t>
  </si>
  <si>
    <t>—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</si>
  <si>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</si>
  <si>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</si>
  <si>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</si>
  <si>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</si>
  <si>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</si>
  <si>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</si>
  <si>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</si>
  <si>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</si>
  <si>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</si>
  <si>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</si>
  <si>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</si>
  <si>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</si>
  <si>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</si>
  <si>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</si>
  <si>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</si>
  <si>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</si>
  <si>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</si>
  <si>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</si>
  <si>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</si>
  <si>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</si>
  <si>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</si>
  <si>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</si>
  <si>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</si>
  <si>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</si>
  <si>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</si>
  <si>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</si>
  <si>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</si>
  <si>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</si>
  <si>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</si>
  <si>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</si>
  <si>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</si>
  <si>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</si>
  <si>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</si>
  <si>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</si>
  <si>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</si>
  <si>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</si>
  <si>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</si>
  <si>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</si>
  <si>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</si>
  <si>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</si>
  <si>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</si>
  <si>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</si>
  <si>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</si>
  <si>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</si>
  <si>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</si>
  <si>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</si>
  <si>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</si>
  <si>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</si>
  <si>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</si>
  <si>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</si>
  <si>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</si>
  <si>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</si>
  <si>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</si>
  <si>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</si>
  <si>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</si>
  <si>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</si>
  <si>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</si>
  <si>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</si>
  <si>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</si>
  <si>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</si>
  <si>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</si>
  <si>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</si>
  <si>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</si>
  <si>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</si>
  <si>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</si>
  <si>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</si>
  <si>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</si>
  <si>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</si>
  <si>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</si>
  <si>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</si>
  <si>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</si>
  <si>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</si>
  <si>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</si>
  <si>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</si>
  <si>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</si>
  <si>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</si>
  <si>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</si>
  <si>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</si>
  <si>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</si>
  <si>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</si>
  <si>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</si>
  <si>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</si>
  <si>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</si>
  <si>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</si>
  <si>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</si>
  <si>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</si>
  <si>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</si>
  <si>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</si>
  <si>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</si>
  <si>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</si>
  <si>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</si>
  <si>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</si>
  <si>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</si>
  <si>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</si>
  <si>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</si>
  <si>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</si>
  <si>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</si>
  <si>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</si>
  <si>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</si>
  <si>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</si>
  <si>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</si>
  <si>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</si>
  <si>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</si>
  <si>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</si>
  <si>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</si>
  <si>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</si>
  <si>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</si>
  <si>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</si>
  <si>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</si>
  <si>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</si>
  <si>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</si>
  <si>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</si>
  <si>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</si>
  <si>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</si>
  <si>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</si>
  <si>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</si>
  <si>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</si>
  <si>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</si>
  <si>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</si>
  <si>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</si>
  <si>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</si>
  <si>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</si>
  <si>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</si>
  <si>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</si>
  <si>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</si>
  <si>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</si>
  <si>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</si>
  <si>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</si>
  <si>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</si>
  <si>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</si>
  <si>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</si>
  <si>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</si>
  <si>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</si>
  <si>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</si>
  <si>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</si>
  <si>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</si>
  <si>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</si>
  <si>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</si>
  <si>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</si>
  <si>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</si>
  <si>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CUR_RATIO</t>
  </si>
  <si>
    <t>Number of Employees</t>
  </si>
  <si>
    <t>NUM_OF_EMPLOYEES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</si>
  <si>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</si>
  <si>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</si>
  <si>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</si>
  <si>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</si>
  <si>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</si>
  <si>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</si>
  <si>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</si>
  <si>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</si>
  <si>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</si>
  <si>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</si>
  <si>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</si>
  <si>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</si>
  <si>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</si>
  <si>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</si>
  <si>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</si>
  <si>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</si>
  <si>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</si>
  <si>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</si>
  <si>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</si>
  <si>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</si>
  <si>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</si>
  <si>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</si>
  <si>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</si>
  <si>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</si>
  <si>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</si>
  <si>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</si>
  <si>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</si>
  <si>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</si>
  <si>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</si>
  <si>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</si>
  <si>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</si>
  <si>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</si>
  <si>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</si>
  <si>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</si>
  <si>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</si>
  <si>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</si>
  <si>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</si>
  <si>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</si>
  <si>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</si>
  <si>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</si>
  <si>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</si>
  <si>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</si>
  <si>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</si>
  <si>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</si>
  <si>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</si>
  <si>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</si>
  <si>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</si>
  <si>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</si>
  <si>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</si>
  <si>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</si>
  <si>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</si>
  <si>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</si>
  <si>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</si>
  <si>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</si>
  <si>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</si>
  <si>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</si>
  <si>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</si>
  <si>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</si>
  <si>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</si>
  <si>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</si>
  <si>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+ Cash (Repurchase) of Equity</t>
  </si>
  <si>
    <t>NET_CAP_STOCK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</si>
  <si>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</si>
  <si>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</si>
  <si>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</si>
  <si>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</si>
  <si>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</si>
  <si>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</si>
  <si>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</si>
  <si>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</si>
  <si>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</si>
  <si>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</si>
  <si>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</si>
  <si>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</si>
  <si>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</si>
  <si>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</si>
  <si>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</si>
  <si>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</si>
  <si>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</si>
  <si>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</si>
  <si>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</si>
  <si>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</si>
  <si>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</si>
  <si>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</si>
  <si>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</si>
  <si>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</si>
  <si>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</si>
  <si>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</si>
  <si>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</si>
  <si>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</si>
  <si>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SALES_GROWTH</t>
  </si>
  <si>
    <t>CAPM</t>
  </si>
  <si>
    <t>E(r)=rf+B*marketpremium</t>
  </si>
  <si>
    <t>Std stock/Std S&amp;P</t>
  </si>
  <si>
    <t>In Millions of USD</t>
  </si>
  <si>
    <t>Current/LTM</t>
  </si>
  <si>
    <t>Market Capitalization</t>
  </si>
  <si>
    <t>HISTORICAL_MARKET_CAP</t>
  </si>
  <si>
    <t>- Cash &amp; Equivalents</t>
  </si>
  <si>
    <t>CASH_AND_MARKETABLE_SECURITIES</t>
  </si>
  <si>
    <t>+ Preferred &amp; Other</t>
  </si>
  <si>
    <t>PFD_EQTY_MINORTY_INTEREST</t>
  </si>
  <si>
    <t>+ Total Debt</t>
  </si>
  <si>
    <t>SHORT_AND_LONG_TERM_DEBT</t>
  </si>
  <si>
    <t>ENTERPRISE_VALUE</t>
  </si>
  <si>
    <t>Revenue, Adj</t>
  </si>
  <si>
    <t xml:space="preserve">  Growth %, YoY</t>
  </si>
  <si>
    <t>Gross Profit, Adj</t>
  </si>
  <si>
    <t xml:space="preserve">  Margin %</t>
  </si>
  <si>
    <t>EBITDA, Adj</t>
  </si>
  <si>
    <t>Net Income, Adj</t>
  </si>
  <si>
    <t>EPS, Adj</t>
  </si>
  <si>
    <t>Cash from Operations</t>
  </si>
  <si>
    <t>CAPITAL_EXPEND</t>
  </si>
  <si>
    <t>FCFF</t>
  </si>
  <si>
    <t>Upside in 2026</t>
  </si>
  <si>
    <t>CRRC</t>
  </si>
  <si>
    <t>KTK</t>
  </si>
  <si>
    <t>SRAIL</t>
  </si>
  <si>
    <t>CAF</t>
  </si>
  <si>
    <t>ALO</t>
  </si>
  <si>
    <t>Construcciones y Auxiliar de Ferrocarr</t>
  </si>
  <si>
    <t>China</t>
  </si>
  <si>
    <t>North America</t>
  </si>
  <si>
    <t>India</t>
  </si>
  <si>
    <t>Europe</t>
  </si>
  <si>
    <t>Russia</t>
  </si>
  <si>
    <t>Japan</t>
  </si>
  <si>
    <t>Terminal Value</t>
  </si>
  <si>
    <t>CSX</t>
  </si>
  <si>
    <t>CSX Corp</t>
  </si>
  <si>
    <t>NSC</t>
  </si>
  <si>
    <t>Norfolk Southern</t>
  </si>
  <si>
    <t>CNI</t>
  </si>
  <si>
    <t>Canadian National</t>
  </si>
  <si>
    <t>TRN</t>
  </si>
  <si>
    <t>Trinity Industres</t>
  </si>
  <si>
    <t>UNP</t>
  </si>
  <si>
    <t>Union Pacific</t>
  </si>
  <si>
    <t>GET</t>
  </si>
  <si>
    <t>Getlink</t>
  </si>
  <si>
    <t>Lower Limit 75%</t>
  </si>
  <si>
    <t>Upper Limit 75%</t>
  </si>
  <si>
    <t xml:space="preserve">    + Other Revenue</t>
  </si>
  <si>
    <t>IS_OTHER_REVENUE</t>
  </si>
  <si>
    <t xml:space="preserve">    + Asset Write-Down</t>
  </si>
  <si>
    <t>IS_IMPAIRMENT_ASSETS</t>
  </si>
  <si>
    <t>Personnel Expenses</t>
  </si>
  <si>
    <t>IS_PERSONNEL_EXP</t>
  </si>
  <si>
    <t xml:space="preserve">    + Prepaid Pension Costs</t>
  </si>
  <si>
    <t>BS_PREPAID_PENSION_COSTS_LT</t>
  </si>
  <si>
    <t>CSX Corp (CSX US) - BBG Adj Highlights</t>
  </si>
  <si>
    <t>CSX Corp (CSX US) - BBG Adjusted</t>
  </si>
  <si>
    <t xml:space="preserve">    + Other Abnormal Items</t>
  </si>
  <si>
    <t>IS_OTHER_ONE_TIME_ITEMS</t>
  </si>
  <si>
    <t xml:space="preserve">    + Tax Allowance/Credit</t>
  </si>
  <si>
    <t>IS_TAX_VALN_ALLOWNCE_CREDITS</t>
  </si>
  <si>
    <t>CSX Corp (CSX US) - Standardized</t>
  </si>
  <si>
    <t xml:space="preserve">    + Investments in Affiliates</t>
  </si>
  <si>
    <t>BS_INVEST_IN_ASSOC_CO</t>
  </si>
  <si>
    <t xml:space="preserve">    + Inc (Dec) in Accts Payable</t>
  </si>
  <si>
    <t>CF_CHANGE_IN_ACCOUNTS_PAYABLE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</si>
  <si>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</si>
  <si>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</si>
  <si>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</si>
  <si>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</si>
  <si>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</si>
  <si>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</si>
  <si>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>Net Cash Paid for Acquisitions</t>
  </si>
  <si>
    <t>CF_NET_CASH_PAID_FOR_AQUIS</t>
  </si>
  <si>
    <t>CSX Corp (CSX US) - Growth</t>
  </si>
  <si>
    <t>FY 1988</t>
  </si>
  <si>
    <t>FY 1989</t>
  </si>
  <si>
    <t>FY 1990</t>
  </si>
  <si>
    <t>FY 1991</t>
  </si>
  <si>
    <t>FY 1992</t>
  </si>
  <si>
    <t>FY 1993</t>
  </si>
  <si>
    <t>FY 1994</t>
  </si>
  <si>
    <t>FY 1995</t>
  </si>
  <si>
    <t>FY 1996</t>
  </si>
  <si>
    <t>FY 1997</t>
  </si>
  <si>
    <t>FY 1998</t>
  </si>
  <si>
    <t>FY 1999</t>
  </si>
  <si>
    <t>FY 2000</t>
  </si>
  <si>
    <t>FY 2001</t>
  </si>
  <si>
    <t>FY 2002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</si>
  <si>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</si>
  <si>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</si>
  <si>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</si>
  <si>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</si>
  <si>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</si>
  <si>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</si>
  <si>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</si>
  <si>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</si>
  <si>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</si>
  <si>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</si>
  <si>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</si>
  <si>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</si>
  <si>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</si>
  <si>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</si>
  <si>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</si>
  <si>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12/31/1988</t>
  </si>
  <si>
    <t>12/31/1989</t>
  </si>
  <si>
    <t>12/31/1990</t>
  </si>
  <si>
    <t>12/31/1991</t>
  </si>
  <si>
    <t>12/31/1992</t>
  </si>
  <si>
    <t>12/31/1993</t>
  </si>
  <si>
    <t>12/30/1994</t>
  </si>
  <si>
    <t>12/30/1995</t>
  </si>
  <si>
    <t>12/31/1996</t>
  </si>
  <si>
    <t>12/26/1997</t>
  </si>
  <si>
    <t>12/31/1998</t>
  </si>
  <si>
    <t>12/31/1999</t>
  </si>
  <si>
    <t>12/29/2000</t>
  </si>
  <si>
    <t>12/28/2001</t>
  </si>
  <si>
    <t>12/27/2002</t>
  </si>
  <si>
    <t>12/26/2003</t>
  </si>
  <si>
    <t>12/31/2004</t>
  </si>
  <si>
    <t>12/30/2005</t>
  </si>
  <si>
    <t>12/29/2006</t>
  </si>
  <si>
    <t>12/28/2007</t>
  </si>
  <si>
    <t>12/26/2008</t>
  </si>
  <si>
    <t>12/25/2009</t>
  </si>
  <si>
    <t>12/31/2010</t>
  </si>
  <si>
    <t>12/30/2011</t>
  </si>
  <si>
    <t>12/28/2012</t>
  </si>
  <si>
    <t>12/27/2013</t>
  </si>
  <si>
    <t>12/26/2014</t>
  </si>
  <si>
    <t>12/25/2015</t>
  </si>
  <si>
    <t>12/30/2016</t>
  </si>
  <si>
    <t>12/31/2017</t>
  </si>
  <si>
    <t>1 Year 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</si>
  <si>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</si>
  <si>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</si>
  <si>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</si>
  <si>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</si>
  <si>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</si>
  <si>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</si>
  <si>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</si>
  <si>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</si>
  <si>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</si>
  <si>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</si>
  <si>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</si>
  <si>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</si>
  <si>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</si>
  <si>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</si>
  <si>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</si>
  <si>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</si>
  <si>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</si>
  <si>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</si>
  <si>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</si>
  <si>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</si>
  <si>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</si>
  <si>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</si>
  <si>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</si>
  <si>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</si>
  <si>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</si>
  <si>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</si>
  <si>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</si>
  <si>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</si>
  <si>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</si>
  <si>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</si>
  <si>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</si>
  <si>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</si>
  <si>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</si>
  <si>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</si>
  <si>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</si>
  <si>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</si>
  <si>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</si>
  <si>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</si>
  <si>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</si>
  <si>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</si>
  <si>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 Change In Cash</t>
  </si>
  <si>
    <t>NET_CHANGE_IN_CASH_1_YEAR_GROWTH</t>
  </si>
  <si>
    <t>FREE_CASH_FLOW_1_YEAR_GROWTH</t>
  </si>
  <si>
    <t>Cash Flow to Firm</t>
  </si>
  <si>
    <t>CASH_FLOW_TO_FIRM_1_YEAR_GROWTH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</si>
  <si>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</si>
  <si>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</si>
  <si>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</si>
  <si>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</si>
  <si>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</si>
  <si>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</si>
  <si>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</si>
  <si>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</si>
  <si>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</si>
  <si>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</si>
  <si>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</si>
  <si>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</si>
  <si>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</si>
  <si>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</si>
  <si>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</si>
  <si>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</si>
  <si>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</si>
  <si>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</si>
  <si>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</si>
  <si>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</si>
  <si>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</si>
  <si>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</si>
  <si>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</si>
  <si>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</si>
  <si>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</si>
  <si>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</si>
  <si>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</si>
  <si>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</si>
  <si>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</si>
  <si>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</si>
  <si>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</si>
  <si>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</si>
  <si>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</si>
  <si>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</si>
  <si>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</si>
  <si>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</si>
  <si>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</si>
  <si>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</si>
  <si>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</si>
  <si>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</si>
  <si>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</si>
  <si>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</si>
  <si>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</si>
  <si>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</si>
  <si>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</si>
  <si>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</si>
  <si>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</si>
  <si>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</si>
  <si>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</si>
  <si>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</si>
  <si>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</si>
  <si>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</si>
  <si>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</si>
  <si>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</si>
  <si>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</si>
  <si>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</si>
  <si>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CSX Corp (CSX US) - By Measure</t>
  </si>
  <si>
    <t xml:space="preserve">  Merchandise</t>
  </si>
  <si>
    <t xml:space="preserve">    Chemicals</t>
  </si>
  <si>
    <t xml:space="preserve">    Agriculture &amp; Food Product</t>
  </si>
  <si>
    <t xml:space="preserve">    Automotive</t>
  </si>
  <si>
    <t xml:space="preserve">    Forest Products</t>
  </si>
  <si>
    <t xml:space="preserve">    Metal &amp; Equipment</t>
  </si>
  <si>
    <t xml:space="preserve">    Minerals</t>
  </si>
  <si>
    <t xml:space="preserve">    Fertilizers</t>
  </si>
  <si>
    <t xml:space="preserve">    Housing and Construction</t>
  </si>
  <si>
    <t xml:space="preserve">      Waste &amp; Equipment</t>
  </si>
  <si>
    <t xml:space="preserve">    Agricultural</t>
  </si>
  <si>
    <t xml:space="preserve">      Food and Consumer</t>
  </si>
  <si>
    <t xml:space="preserve">      Agriculture  Products</t>
  </si>
  <si>
    <t xml:space="preserve">    Industrial</t>
  </si>
  <si>
    <t xml:space="preserve">      Metals</t>
  </si>
  <si>
    <t xml:space="preserve">  Coal</t>
  </si>
  <si>
    <t xml:space="preserve">  Intermodal</t>
  </si>
  <si>
    <t xml:space="preserve">  Trucking</t>
  </si>
  <si>
    <t xml:space="preserve">  Other</t>
  </si>
  <si>
    <t>Sales Volume</t>
  </si>
  <si>
    <t>Revenue Per Unit</t>
  </si>
  <si>
    <t xml:space="preserve">    Waste &amp; Equipment</t>
  </si>
  <si>
    <t xml:space="preserve">    Metals</t>
  </si>
  <si>
    <t xml:space="preserve">    Food and Consumer</t>
  </si>
  <si>
    <t xml:space="preserve">    Agriculture  Products</t>
  </si>
  <si>
    <t>Revenue Per Unit Growth %</t>
  </si>
  <si>
    <t>Revenue Growth %</t>
  </si>
  <si>
    <t>Transportation Fuel</t>
  </si>
  <si>
    <t xml:space="preserve">  Locomotive</t>
  </si>
  <si>
    <t xml:space="preserve">  Non - Locomotive</t>
  </si>
  <si>
    <t>Sales Change - Volume %</t>
  </si>
  <si>
    <t>Cargo Tonnes</t>
  </si>
  <si>
    <t xml:space="preserve">    Domestic</t>
  </si>
  <si>
    <t xml:space="preserve">      Coke and Iron Ore, Other</t>
  </si>
  <si>
    <t xml:space="preserve">      Utility</t>
  </si>
  <si>
    <t xml:space="preserve">    Export</t>
  </si>
  <si>
    <t xml:space="preserve">      Thermal</t>
  </si>
  <si>
    <t xml:space="preserve">      Metallurgical</t>
  </si>
  <si>
    <t>Carloads/Unit Volumes</t>
  </si>
  <si>
    <t>Revenue Ton-Miles / Kms</t>
  </si>
  <si>
    <t>Total Miles (Kilometers)</t>
  </si>
  <si>
    <t xml:space="preserve">  Mainline Track</t>
  </si>
  <si>
    <t xml:space="preserve">  Terminals and Switching Yards</t>
  </si>
  <si>
    <t xml:space="preserve">  Passing Sidings and Turnouts</t>
  </si>
  <si>
    <t>Average Age of Locomotives</t>
  </si>
  <si>
    <t xml:space="preserve">  Switching</t>
  </si>
  <si>
    <t xml:space="preserve">  Auxiliary Units</t>
  </si>
  <si>
    <t xml:space="preserve">  Freight</t>
  </si>
  <si>
    <t>CSX Corp (CSX US) - L#1518025</t>
  </si>
  <si>
    <t>WACC History</t>
  </si>
  <si>
    <t>Equity</t>
  </si>
  <si>
    <t>Cost of Equity</t>
  </si>
  <si>
    <t>WACC_COST_EQUITY</t>
  </si>
  <si>
    <t>Weight of Equity</t>
  </si>
  <si>
    <t>WACC_WEIGHT_OF_EQUITY</t>
  </si>
  <si>
    <t>+ Debt</t>
  </si>
  <si>
    <t>WACC_COST_DEBT</t>
  </si>
  <si>
    <t>Weight of Debt</t>
  </si>
  <si>
    <t>WACC_WEIGHT_OF_DEBT</t>
  </si>
  <si>
    <t>+ Preferred Equity</t>
  </si>
  <si>
    <t>Cost of Pref. Equity</t>
  </si>
  <si>
    <t>WACC_COST_PFD</t>
  </si>
  <si>
    <t>Weight of Pref. Equity</t>
  </si>
  <si>
    <t>WACC_WEIGHT_OF_PREFERRED_EQUITY</t>
  </si>
  <si>
    <t>Capital Structure</t>
  </si>
  <si>
    <t>+ Historical Market Cap</t>
  </si>
  <si>
    <t>+ Short Term Debt</t>
  </si>
  <si>
    <t>+ Long Term Debt</t>
  </si>
  <si>
    <t>+ Preferred Equity and Hybrid Capital</t>
  </si>
  <si>
    <t>Total Capital</t>
  </si>
  <si>
    <t>WACC_TOTAL_CAPITAL</t>
  </si>
  <si>
    <t>EVA</t>
  </si>
  <si>
    <t>+ Net Op. Profit</t>
  </si>
  <si>
    <t>WACC_NET_OPER_PROFIT</t>
  </si>
  <si>
    <t>- Cash Op. Taxes</t>
  </si>
  <si>
    <t>WACC_CASH_OPER_TAXES</t>
  </si>
  <si>
    <t>+ NOPAT</t>
  </si>
  <si>
    <t>WACC_NOPAT</t>
  </si>
  <si>
    <t>Total Invested Capital</t>
  </si>
  <si>
    <t>WACC_TOTAL_INV_CAPITAL</t>
  </si>
  <si>
    <t>- Capital Charge</t>
  </si>
  <si>
    <t>WACC_CAPITAL_CHARGE</t>
  </si>
  <si>
    <t>Economic Value Added</t>
  </si>
  <si>
    <t>WACC_ECON_VALUE_ADDED</t>
  </si>
  <si>
    <t>ROIC</t>
  </si>
  <si>
    <t>WACC_RETURN_ON_INV_CAPITAL</t>
  </si>
  <si>
    <t>EVA Spread</t>
  </si>
  <si>
    <t>WACC_EVA_SPREAD</t>
  </si>
  <si>
    <t>CSX Corp. (CSX)</t>
  </si>
  <si>
    <t>$M</t>
  </si>
  <si>
    <t xml:space="preserve">  Discounted CF</t>
  </si>
  <si>
    <t>CRN CN</t>
  </si>
  <si>
    <t>CP Cn</t>
  </si>
  <si>
    <t>NSC US</t>
  </si>
  <si>
    <t>Calculated WACC</t>
  </si>
  <si>
    <t>Merchandise</t>
  </si>
  <si>
    <t>Coal</t>
  </si>
  <si>
    <t>Intermodal</t>
  </si>
  <si>
    <t>Trucking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</si>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</sst>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$-409]#,##0.00"/>
    <numFmt numFmtId="165" formatCode="&quot;Y&quot;#"/>
    <numFmt numFmtId="166" formatCode="0%;\(0%\)"/>
    <numFmt numFmtId="167" formatCode="0.0\x"/>
    <numFmt numFmtId="168" formatCode="0.0%"/>
    <numFmt numFmtId="169" formatCode="#,##0.0"/>
    <numFmt numFmtId="170" formatCode="0.0000%"/>
    <numFmt numFmtId="171" formatCode="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Helvetica"/>
      <family val="2"/>
    </font>
    <font>
      <b/>
      <sz val="1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8"/>
      <color theme="2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 (Body)"/>
    </font>
    <font>
      <b/>
      <sz val="11"/>
      <color theme="1"/>
      <name val="Calibri"/>
      <family val="2"/>
      <scheme val="minor"/>
    </font>
    <font>
      <b/>
      <sz val="11"/>
      <color rgb="FFEE2027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i/>
      <sz val="10"/>
      <color rgb="FF333333"/>
      <name val="Arial"/>
      <family val="2"/>
    </font>
    <font>
      <i/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0070C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4F81BD"/>
        <bgColor rgb="FF000000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medium">
        <color theme="6" tint="-0.24994659260841701"/>
      </top>
      <bottom style="medium">
        <color theme="6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/>
      <right style="medium">
        <color theme="1"/>
      </right>
      <top/>
      <bottom style="thin">
        <color theme="6" tint="0.39997558519241921"/>
      </bottom>
      <diagonal/>
    </border>
    <border>
      <left/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medium">
        <color theme="1"/>
      </bottom>
      <diagonal/>
    </border>
    <border>
      <left/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theme="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theme="1"/>
      </left>
      <right/>
      <top/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theme="1"/>
      </left>
      <right/>
      <top style="thin">
        <color theme="6" tint="0.39997558519241921"/>
      </top>
      <bottom style="medium">
        <color theme="1"/>
      </bottom>
      <diagonal/>
    </border>
    <border>
      <left style="thin">
        <color theme="6" tint="0.39997558519241921"/>
      </left>
      <right/>
      <top style="medium">
        <color theme="6" tint="-0.24994659260841701"/>
      </top>
      <bottom style="medium">
        <color theme="6" tint="-0.24994659260841701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1"/>
      </bottom>
      <diagonal/>
    </border>
    <border>
      <left style="dotted">
        <color theme="1"/>
      </left>
      <right style="medium">
        <color theme="1"/>
      </right>
      <top style="medium">
        <color theme="1"/>
      </top>
      <bottom/>
      <diagonal/>
    </border>
    <border>
      <left style="dotted">
        <color theme="1"/>
      </left>
      <right style="medium">
        <color theme="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dotted">
        <color theme="1"/>
      </left>
      <right style="medium">
        <color theme="1"/>
      </right>
      <top/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thin">
        <color theme="6" tint="0.39997558519241921"/>
      </bottom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6" tint="0.39997558519241921"/>
      </top>
      <bottom/>
      <diagonal/>
    </border>
    <border>
      <left style="dotted">
        <color theme="1"/>
      </left>
      <right style="medium">
        <color theme="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medium">
        <color theme="1"/>
      </right>
      <top style="thin">
        <color theme="6" tint="0.39997558519241921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/>
      <top style="mediumDashed">
        <color theme="1"/>
      </top>
      <bottom style="mediumDashed">
        <color theme="1"/>
      </bottom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/>
      <top style="mediumDashed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dotted">
        <color theme="1"/>
      </bottom>
      <diagonal/>
    </border>
    <border>
      <left style="medium">
        <color indexed="64"/>
      </left>
      <right/>
      <top style="medium">
        <color indexed="64"/>
      </top>
      <bottom style="dotted">
        <color theme="1"/>
      </bottom>
      <diagonal/>
    </border>
    <border>
      <left style="medium">
        <color theme="1"/>
      </left>
      <right/>
      <top style="dotted">
        <color theme="1"/>
      </top>
      <bottom style="dotted">
        <color theme="1"/>
      </bottom>
      <diagonal/>
    </border>
    <border>
      <left style="medium">
        <color indexed="64"/>
      </left>
      <right/>
      <top style="dotted">
        <color theme="1"/>
      </top>
      <bottom style="dotted">
        <color theme="1"/>
      </bottom>
      <diagonal/>
    </border>
    <border>
      <left style="medium">
        <color theme="1"/>
      </left>
      <right/>
      <top style="dotted">
        <color theme="1"/>
      </top>
      <bottom style="medium">
        <color theme="1"/>
      </bottom>
      <diagonal/>
    </border>
    <border>
      <left style="medium">
        <color indexed="64"/>
      </left>
      <right/>
      <top style="dotted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/>
      <top style="thick">
        <color rgb="FF0070C0"/>
      </top>
      <bottom style="medium">
        <color rgb="FF0070C0"/>
      </bottom>
      <diagonal/>
    </border>
    <border>
      <left/>
      <right style="mediumDashed">
        <color theme="1"/>
      </right>
      <top/>
      <bottom style="mediumDashed">
        <color theme="1"/>
      </bottom>
      <diagonal/>
    </border>
    <border>
      <left style="mediumDashed">
        <color theme="1"/>
      </left>
      <right style="mediumDashed">
        <color theme="1"/>
      </right>
      <top/>
      <bottom style="mediumDashed">
        <color theme="1"/>
      </bottom>
      <diagonal/>
    </border>
    <border>
      <left style="mediumDashed">
        <color theme="1"/>
      </left>
      <right/>
      <top/>
      <bottom style="mediumDashed">
        <color theme="1"/>
      </bottom>
      <diagonal/>
    </border>
    <border>
      <left style="thick">
        <color rgb="FF0070C0"/>
      </left>
      <right style="medium">
        <color rgb="FF0070C0"/>
      </right>
      <top/>
      <bottom/>
      <diagonal/>
    </border>
    <border>
      <left/>
      <right style="mediumDashed">
        <color auto="1"/>
      </right>
      <top/>
      <bottom style="mediumDashed">
        <color theme="1"/>
      </bottom>
      <diagonal/>
    </border>
    <border>
      <left/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/>
      <right style="mediumDashed">
        <color theme="1"/>
      </right>
      <top style="mediumDashed">
        <color theme="1"/>
      </top>
      <bottom/>
      <diagonal/>
    </border>
  </borders>
  <cellStyleXfs count="38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4" fillId="12" borderId="2" applyNumberFormat="0" applyProtection="0">
      <alignment horizontal="left" vertical="center" readingOrder="1"/>
    </xf>
    <xf numFmtId="0" fontId="16" fillId="12" borderId="62">
      <alignment horizontal="right"/>
    </xf>
    <xf numFmtId="0" fontId="15" fillId="13" borderId="0" applyNumberFormat="0" applyBorder="0" applyProtection="0">
      <alignment horizontal="center"/>
    </xf>
    <xf numFmtId="0" fontId="16" fillId="12" borderId="64">
      <alignment horizontal="left"/>
    </xf>
    <xf numFmtId="0" fontId="16" fillId="12" borderId="64">
      <alignment horizontal="right"/>
    </xf>
    <xf numFmtId="0" fontId="16" fillId="12" borderId="62">
      <alignment horizontal="left"/>
    </xf>
    <xf numFmtId="0" fontId="17" fillId="13" borderId="65"/>
    <xf numFmtId="169" fontId="17" fillId="13" borderId="66">
      <alignment horizontal="right"/>
    </xf>
    <xf numFmtId="169" fontId="17" fillId="14" borderId="66">
      <alignment horizontal="right"/>
    </xf>
    <xf numFmtId="0" fontId="18" fillId="13" borderId="65"/>
    <xf numFmtId="169" fontId="19" fillId="13" borderId="66">
      <alignment horizontal="right"/>
    </xf>
    <xf numFmtId="169" fontId="19" fillId="14" borderId="66">
      <alignment horizontal="right"/>
    </xf>
    <xf numFmtId="0" fontId="20" fillId="13" borderId="65"/>
    <xf numFmtId="169" fontId="21" fillId="13" borderId="66">
      <alignment horizontal="right"/>
    </xf>
    <xf numFmtId="169" fontId="21" fillId="14" borderId="66">
      <alignment horizontal="right"/>
    </xf>
    <xf numFmtId="3" fontId="17" fillId="13" borderId="66">
      <alignment horizontal="right"/>
    </xf>
    <xf numFmtId="3" fontId="17" fillId="14" borderId="66">
      <alignment horizontal="right"/>
    </xf>
    <xf numFmtId="4" fontId="17" fillId="13" borderId="66">
      <alignment horizontal="right"/>
    </xf>
    <xf numFmtId="4" fontId="17" fillId="14" borderId="66">
      <alignment horizontal="right"/>
    </xf>
    <xf numFmtId="3" fontId="19" fillId="13" borderId="66">
      <alignment horizontal="right"/>
    </xf>
    <xf numFmtId="4" fontId="19" fillId="13" borderId="66">
      <alignment horizontal="right"/>
    </xf>
    <xf numFmtId="4" fontId="19" fillId="14" borderId="66">
      <alignment horizontal="right"/>
    </xf>
    <xf numFmtId="0" fontId="21" fillId="15" borderId="67" applyNumberFormat="0" applyAlignment="0" applyProtection="0"/>
    <xf numFmtId="0" fontId="29" fillId="12" borderId="0"/>
    <xf numFmtId="3" fontId="19" fillId="14" borderId="66">
      <alignment horizontal="right"/>
    </xf>
    <xf numFmtId="0" fontId="16" fillId="12" borderId="64">
      <alignment horizontal="centerContinuous"/>
    </xf>
    <xf numFmtId="0" fontId="16" fillId="12" borderId="62">
      <alignment horizontal="centerContinuous"/>
    </xf>
    <xf numFmtId="169" fontId="17" fillId="13" borderId="65">
      <alignment horizontal="right"/>
    </xf>
    <xf numFmtId="168" fontId="17" fillId="13" borderId="89">
      <alignment horizontal="right"/>
    </xf>
    <xf numFmtId="169" fontId="19" fillId="13" borderId="65">
      <alignment horizontal="right"/>
    </xf>
    <xf numFmtId="168" fontId="19" fillId="13" borderId="89">
      <alignment horizontal="right"/>
    </xf>
    <xf numFmtId="4" fontId="17" fillId="13" borderId="65">
      <alignment horizontal="right"/>
    </xf>
    <xf numFmtId="10" fontId="17" fillId="13" borderId="89">
      <alignment horizontal="right"/>
    </xf>
    <xf numFmtId="4" fontId="19" fillId="13" borderId="65">
      <alignment horizontal="right"/>
    </xf>
    <xf numFmtId="10" fontId="19" fillId="13" borderId="89">
      <alignment horizontal="right"/>
    </xf>
  </cellStyleXfs>
  <cellXfs count="246">
    <xf numFmtId="0" fontId="0" fillId="0" borderId="0" xfId="0"/>
    <xf numFmtId="1" fontId="2" fillId="5" borderId="6" xfId="0" applyNumberFormat="1" applyFont="1" applyFill="1" applyBorder="1"/>
    <xf numFmtId="0" fontId="5" fillId="0" borderId="0" xfId="0" applyFont="1"/>
    <xf numFmtId="0" fontId="0" fillId="2" borderId="0" xfId="0" applyFill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165" fontId="3" fillId="2" borderId="0" xfId="0" applyNumberFormat="1" applyFont="1" applyFill="1"/>
    <xf numFmtId="0" fontId="0" fillId="2" borderId="1" xfId="0" applyFill="1" applyBorder="1"/>
    <xf numFmtId="0" fontId="7" fillId="2" borderId="0" xfId="0" applyFont="1" applyFill="1" applyAlignment="1">
      <alignment horizontal="right"/>
    </xf>
    <xf numFmtId="10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/>
    </xf>
    <xf numFmtId="0" fontId="0" fillId="0" borderId="12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1" fontId="9" fillId="5" borderId="19" xfId="0" applyNumberFormat="1" applyFont="1" applyFill="1" applyBorder="1" applyAlignment="1">
      <alignment horizontal="right" vertical="center"/>
    </xf>
    <xf numFmtId="1" fontId="9" fillId="5" borderId="34" xfId="0" applyNumberFormat="1" applyFont="1" applyFill="1" applyBorder="1" applyAlignment="1">
      <alignment horizontal="left" vertical="center"/>
    </xf>
    <xf numFmtId="1" fontId="9" fillId="5" borderId="20" xfId="0" applyNumberFormat="1" applyFont="1" applyFill="1" applyBorder="1" applyAlignment="1">
      <alignment horizontal="center" vertical="center"/>
    </xf>
    <xf numFmtId="1" fontId="9" fillId="5" borderId="19" xfId="0" applyNumberFormat="1" applyFont="1" applyFill="1" applyBorder="1" applyAlignment="1">
      <alignment horizontal="center" vertical="center"/>
    </xf>
    <xf numFmtId="1" fontId="9" fillId="5" borderId="21" xfId="0" applyNumberFormat="1" applyFont="1" applyFill="1" applyBorder="1" applyAlignment="1">
      <alignment horizontal="center" vertical="center"/>
    </xf>
    <xf numFmtId="3" fontId="0" fillId="2" borderId="35" xfId="0" applyNumberFormat="1" applyFill="1" applyBorder="1" applyAlignment="1">
      <alignment vertical="center"/>
    </xf>
    <xf numFmtId="164" fontId="0" fillId="2" borderId="17" xfId="0" applyNumberFormat="1" applyFill="1" applyBorder="1" applyAlignment="1">
      <alignment horizontal="center" vertical="center"/>
    </xf>
    <xf numFmtId="3" fontId="0" fillId="2" borderId="31" xfId="0" applyNumberFormat="1" applyFill="1" applyBorder="1" applyAlignment="1">
      <alignment horizontal="center" vertical="center"/>
    </xf>
    <xf numFmtId="3" fontId="0" fillId="2" borderId="17" xfId="0" applyNumberFormat="1" applyFill="1" applyBorder="1" applyAlignment="1">
      <alignment horizontal="center" vertical="center"/>
    </xf>
    <xf numFmtId="3" fontId="0" fillId="2" borderId="27" xfId="0" applyNumberFormat="1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10" fontId="0" fillId="4" borderId="36" xfId="0" applyNumberFormat="1" applyFill="1" applyBorder="1" applyAlignment="1">
      <alignment vertical="center"/>
    </xf>
    <xf numFmtId="164" fontId="0" fillId="4" borderId="16" xfId="0" applyNumberFormat="1" applyFill="1" applyBorder="1" applyAlignment="1">
      <alignment horizontal="center" vertical="center"/>
    </xf>
    <xf numFmtId="3" fontId="0" fillId="4" borderId="32" xfId="0" applyNumberFormat="1" applyFill="1" applyBorder="1" applyAlignment="1">
      <alignment horizontal="center" vertical="center"/>
    </xf>
    <xf numFmtId="3" fontId="0" fillId="4" borderId="16" xfId="0" applyNumberFormat="1" applyFill="1" applyBorder="1" applyAlignment="1">
      <alignment horizontal="center" vertical="center"/>
    </xf>
    <xf numFmtId="3" fontId="0" fillId="4" borderId="28" xfId="0" applyNumberFormat="1" applyFill="1" applyBorder="1" applyAlignment="1">
      <alignment horizontal="center" vertical="center"/>
    </xf>
    <xf numFmtId="3" fontId="0" fillId="4" borderId="23" xfId="0" applyNumberFormat="1" applyFill="1" applyBorder="1" applyAlignment="1">
      <alignment horizontal="center" vertical="center"/>
    </xf>
    <xf numFmtId="10" fontId="0" fillId="4" borderId="37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horizontal="center" vertical="center"/>
    </xf>
    <xf numFmtId="3" fontId="0" fillId="4" borderId="4" xfId="0" applyNumberFormat="1" applyFill="1" applyBorder="1" applyAlignment="1">
      <alignment horizontal="center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29" xfId="0" applyNumberFormat="1" applyFill="1" applyBorder="1" applyAlignment="1">
      <alignment horizontal="center" vertical="center"/>
    </xf>
    <xf numFmtId="3" fontId="0" fillId="4" borderId="24" xfId="0" applyNumberFormat="1" applyFill="1" applyBorder="1" applyAlignment="1">
      <alignment horizontal="center" vertical="center"/>
    </xf>
    <xf numFmtId="10" fontId="0" fillId="4" borderId="38" xfId="0" applyNumberFormat="1" applyFill="1" applyBorder="1" applyAlignment="1">
      <alignment vertical="center"/>
    </xf>
    <xf numFmtId="164" fontId="0" fillId="4" borderId="25" xfId="0" applyNumberFormat="1" applyFill="1" applyBorder="1" applyAlignment="1">
      <alignment horizontal="center" vertical="center"/>
    </xf>
    <xf numFmtId="3" fontId="0" fillId="4" borderId="33" xfId="0" applyNumberFormat="1" applyFill="1" applyBorder="1" applyAlignment="1">
      <alignment horizontal="center" vertical="center"/>
    </xf>
    <xf numFmtId="3" fontId="0" fillId="4" borderId="25" xfId="0" applyNumberFormat="1" applyFill="1" applyBorder="1" applyAlignment="1">
      <alignment horizontal="center" vertical="center"/>
    </xf>
    <xf numFmtId="3" fontId="0" fillId="4" borderId="30" xfId="0" applyNumberFormat="1" applyFill="1" applyBorder="1" applyAlignment="1">
      <alignment horizontal="center" vertical="center"/>
    </xf>
    <xf numFmtId="3" fontId="0" fillId="4" borderId="26" xfId="0" applyNumberFormat="1" applyFill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166" fontId="0" fillId="2" borderId="18" xfId="1" applyNumberFormat="1" applyFont="1" applyFill="1" applyBorder="1" applyAlignment="1">
      <alignment horizontal="center" vertical="center"/>
    </xf>
    <xf numFmtId="167" fontId="0" fillId="2" borderId="18" xfId="0" applyNumberFormat="1" applyFill="1" applyBorder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27" xfId="0" applyFill="1" applyBorder="1" applyAlignment="1">
      <alignment horizontal="right" vertical="center" indent="1"/>
    </xf>
    <xf numFmtId="0" fontId="0" fillId="4" borderId="28" xfId="0" applyFill="1" applyBorder="1" applyAlignment="1">
      <alignment horizontal="right" vertical="center" indent="1"/>
    </xf>
    <xf numFmtId="0" fontId="0" fillId="4" borderId="29" xfId="0" applyFill="1" applyBorder="1" applyAlignment="1">
      <alignment horizontal="right" vertical="center" indent="1"/>
    </xf>
    <xf numFmtId="0" fontId="0" fillId="4" borderId="30" xfId="0" applyFill="1" applyBorder="1" applyAlignment="1">
      <alignment horizontal="right" vertical="center" indent="1"/>
    </xf>
    <xf numFmtId="3" fontId="0" fillId="2" borderId="39" xfId="0" applyNumberFormat="1" applyFill="1" applyBorder="1" applyAlignment="1">
      <alignment horizontal="center" vertical="center"/>
    </xf>
    <xf numFmtId="3" fontId="0" fillId="2" borderId="40" xfId="0" applyNumberForma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3" fontId="0" fillId="2" borderId="41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4" borderId="42" xfId="0" applyFill="1" applyBorder="1" applyAlignment="1">
      <alignment horizontal="right" vertical="center" indent="1"/>
    </xf>
    <xf numFmtId="10" fontId="0" fillId="4" borderId="43" xfId="0" applyNumberFormat="1" applyFill="1" applyBorder="1" applyAlignment="1">
      <alignment vertical="center"/>
    </xf>
    <xf numFmtId="164" fontId="0" fillId="4" borderId="6" xfId="0" applyNumberFormat="1" applyFill="1" applyBorder="1" applyAlignment="1">
      <alignment horizontal="center" vertical="center"/>
    </xf>
    <xf numFmtId="3" fontId="0" fillId="4" borderId="44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45" xfId="0" applyNumberFormat="1" applyFill="1" applyBorder="1" applyAlignment="1">
      <alignment horizontal="center" vertical="center"/>
    </xf>
    <xf numFmtId="167" fontId="0" fillId="2" borderId="46" xfId="0" applyNumberFormat="1" applyFill="1" applyBorder="1" applyAlignment="1">
      <alignment horizontal="center" vertical="center"/>
    </xf>
    <xf numFmtId="167" fontId="0" fillId="2" borderId="47" xfId="0" applyNumberFormat="1" applyFill="1" applyBorder="1" applyAlignment="1">
      <alignment horizontal="center" vertical="center"/>
    </xf>
    <xf numFmtId="167" fontId="0" fillId="2" borderId="48" xfId="0" applyNumberFormat="1" applyFill="1" applyBorder="1" applyAlignment="1">
      <alignment horizontal="center" vertical="center"/>
    </xf>
    <xf numFmtId="3" fontId="0" fillId="6" borderId="47" xfId="0" applyNumberFormat="1" applyFill="1" applyBorder="1" applyAlignment="1">
      <alignment horizontal="center" vertical="center"/>
    </xf>
    <xf numFmtId="3" fontId="0" fillId="6" borderId="48" xfId="0" applyNumberFormat="1" applyFill="1" applyBorder="1" applyAlignment="1">
      <alignment horizontal="center" vertical="center"/>
    </xf>
    <xf numFmtId="167" fontId="0" fillId="2" borderId="49" xfId="0" applyNumberFormat="1" applyFill="1" applyBorder="1" applyAlignment="1">
      <alignment horizontal="center" vertical="center"/>
    </xf>
    <xf numFmtId="167" fontId="0" fillId="2" borderId="50" xfId="0" applyNumberFormat="1" applyFill="1" applyBorder="1" applyAlignment="1">
      <alignment horizontal="center" vertical="center"/>
    </xf>
    <xf numFmtId="167" fontId="0" fillId="2" borderId="51" xfId="0" applyNumberFormat="1" applyFill="1" applyBorder="1" applyAlignment="1">
      <alignment horizontal="center" vertical="center"/>
    </xf>
    <xf numFmtId="3" fontId="0" fillId="6" borderId="50" xfId="0" applyNumberFormat="1" applyFill="1" applyBorder="1" applyAlignment="1">
      <alignment horizontal="center" vertical="center"/>
    </xf>
    <xf numFmtId="3" fontId="0" fillId="6" borderId="51" xfId="0" applyNumberFormat="1" applyFill="1" applyBorder="1" applyAlignment="1">
      <alignment horizontal="center" vertical="center"/>
    </xf>
    <xf numFmtId="167" fontId="0" fillId="2" borderId="52" xfId="0" applyNumberFormat="1" applyFill="1" applyBorder="1" applyAlignment="1">
      <alignment horizontal="center" vertical="center"/>
    </xf>
    <xf numFmtId="167" fontId="0" fillId="2" borderId="53" xfId="0" applyNumberFormat="1" applyFill="1" applyBorder="1" applyAlignment="1">
      <alignment horizontal="center" vertical="center"/>
    </xf>
    <xf numFmtId="167" fontId="0" fillId="2" borderId="54" xfId="0" applyNumberFormat="1" applyFill="1" applyBorder="1" applyAlignment="1">
      <alignment horizontal="center" vertical="center"/>
    </xf>
    <xf numFmtId="3" fontId="0" fillId="2" borderId="53" xfId="0" applyNumberFormat="1" applyFill="1" applyBorder="1" applyAlignment="1">
      <alignment horizontal="center" vertical="center"/>
    </xf>
    <xf numFmtId="3" fontId="0" fillId="2" borderId="54" xfId="0" applyNumberFormat="1" applyFill="1" applyBorder="1" applyAlignment="1">
      <alignment horizontal="center" vertical="center"/>
    </xf>
    <xf numFmtId="164" fontId="0" fillId="2" borderId="50" xfId="0" applyNumberFormat="1" applyFill="1" applyBorder="1" applyAlignment="1">
      <alignment horizontal="center" vertical="center"/>
    </xf>
    <xf numFmtId="167" fontId="0" fillId="9" borderId="49" xfId="0" applyNumberFormat="1" applyFill="1" applyBorder="1" applyAlignment="1">
      <alignment horizontal="center" vertical="center"/>
    </xf>
    <xf numFmtId="167" fontId="0" fillId="9" borderId="50" xfId="0" applyNumberFormat="1" applyFill="1" applyBorder="1" applyAlignment="1">
      <alignment horizontal="center" vertical="center"/>
    </xf>
    <xf numFmtId="167" fontId="0" fillId="9" borderId="51" xfId="0" applyNumberFormat="1" applyFill="1" applyBorder="1" applyAlignment="1">
      <alignment horizontal="center" vertical="center"/>
    </xf>
    <xf numFmtId="3" fontId="0" fillId="8" borderId="50" xfId="0" applyNumberFormat="1" applyFill="1" applyBorder="1" applyAlignment="1">
      <alignment horizontal="center" vertical="center"/>
    </xf>
    <xf numFmtId="3" fontId="0" fillId="9" borderId="50" xfId="0" applyNumberFormat="1" applyFill="1" applyBorder="1" applyAlignment="1">
      <alignment horizontal="center" vertical="center"/>
    </xf>
    <xf numFmtId="3" fontId="0" fillId="9" borderId="51" xfId="0" applyNumberFormat="1" applyFill="1" applyBorder="1" applyAlignment="1">
      <alignment horizontal="center" vertical="center"/>
    </xf>
    <xf numFmtId="164" fontId="0" fillId="9" borderId="50" xfId="0" applyNumberFormat="1" applyFill="1" applyBorder="1" applyAlignment="1">
      <alignment horizontal="center" vertical="center"/>
    </xf>
    <xf numFmtId="164" fontId="0" fillId="2" borderId="0" xfId="0" applyNumberFormat="1" applyFill="1"/>
    <xf numFmtId="10" fontId="0" fillId="3" borderId="3" xfId="0" applyNumberFormat="1" applyFill="1" applyBorder="1"/>
    <xf numFmtId="0" fontId="0" fillId="2" borderId="0" xfId="0" applyFill="1" applyAlignment="1">
      <alignment horizontal="right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61" xfId="0" applyBorder="1"/>
    <xf numFmtId="0" fontId="0" fillId="0" borderId="62" xfId="0" applyBorder="1" applyAlignment="1">
      <alignment vertical="center"/>
    </xf>
    <xf numFmtId="0" fontId="0" fillId="0" borderId="63" xfId="0" applyBorder="1"/>
    <xf numFmtId="0" fontId="22" fillId="16" borderId="65" xfId="9" applyFont="1" applyFill="1"/>
    <xf numFmtId="3" fontId="22" fillId="16" borderId="66" xfId="18" applyFont="1" applyFill="1">
      <alignment horizontal="right"/>
    </xf>
    <xf numFmtId="0" fontId="23" fillId="16" borderId="65" xfId="12" applyFont="1" applyFill="1"/>
    <xf numFmtId="169" fontId="24" fillId="16" borderId="66" xfId="13" applyFont="1" applyFill="1">
      <alignment horizontal="right"/>
    </xf>
    <xf numFmtId="169" fontId="22" fillId="16" borderId="66" xfId="10" applyFont="1" applyFill="1">
      <alignment horizontal="right"/>
    </xf>
    <xf numFmtId="0" fontId="25" fillId="16" borderId="65" xfId="15" applyFont="1" applyFill="1"/>
    <xf numFmtId="169" fontId="26" fillId="16" borderId="66" xfId="16" applyFont="1" applyFill="1">
      <alignment horizontal="right"/>
    </xf>
    <xf numFmtId="3" fontId="24" fillId="16" borderId="66" xfId="22" applyFont="1" applyFill="1">
      <alignment horizontal="right"/>
    </xf>
    <xf numFmtId="4" fontId="24" fillId="16" borderId="66" xfId="23" applyFont="1" applyFill="1">
      <alignment horizontal="right"/>
    </xf>
    <xf numFmtId="0" fontId="26" fillId="17" borderId="67" xfId="25" applyFont="1" applyFill="1"/>
    <xf numFmtId="3" fontId="22" fillId="18" borderId="66" xfId="19" applyFont="1" applyFill="1">
      <alignment horizontal="right"/>
    </xf>
    <xf numFmtId="169" fontId="24" fillId="18" borderId="66" xfId="14" applyFont="1" applyFill="1">
      <alignment horizontal="right"/>
    </xf>
    <xf numFmtId="169" fontId="22" fillId="18" borderId="66" xfId="11" applyFont="1" applyFill="1">
      <alignment horizontal="right"/>
    </xf>
    <xf numFmtId="169" fontId="26" fillId="18" borderId="66" xfId="17" applyFont="1" applyFill="1">
      <alignment horizontal="right"/>
    </xf>
    <xf numFmtId="4" fontId="24" fillId="18" borderId="66" xfId="24" applyFont="1" applyFill="1">
      <alignment horizontal="right"/>
    </xf>
    <xf numFmtId="0" fontId="12" fillId="2" borderId="0" xfId="0" applyFont="1" applyFill="1"/>
    <xf numFmtId="4" fontId="22" fillId="16" borderId="66" xfId="20" applyFont="1" applyFill="1">
      <alignment horizontal="right"/>
    </xf>
    <xf numFmtId="4" fontId="22" fillId="18" borderId="66" xfId="21" applyFont="1" applyFill="1">
      <alignment horizontal="right"/>
    </xf>
    <xf numFmtId="170" fontId="0" fillId="0" borderId="0" xfId="0" applyNumberFormat="1"/>
    <xf numFmtId="9" fontId="27" fillId="11" borderId="57" xfId="0" applyNumberFormat="1" applyFont="1" applyFill="1" applyBorder="1" applyAlignment="1">
      <alignment horizontal="center" vertical="center"/>
    </xf>
    <xf numFmtId="9" fontId="27" fillId="2" borderId="58" xfId="0" applyNumberFormat="1" applyFont="1" applyFill="1" applyBorder="1" applyAlignment="1">
      <alignment horizontal="center" vertical="center"/>
    </xf>
    <xf numFmtId="9" fontId="28" fillId="10" borderId="57" xfId="0" applyNumberFormat="1" applyFont="1" applyFill="1" applyBorder="1" applyAlignment="1">
      <alignment horizontal="center" vertical="center"/>
    </xf>
    <xf numFmtId="9" fontId="27" fillId="2" borderId="59" xfId="0" applyNumberFormat="1" applyFont="1" applyFill="1" applyBorder="1" applyAlignment="1">
      <alignment horizontal="center" vertical="center"/>
    </xf>
    <xf numFmtId="9" fontId="27" fillId="2" borderId="60" xfId="0" applyNumberFormat="1" applyFont="1" applyFill="1" applyBorder="1" applyAlignment="1">
      <alignment horizontal="center" vertical="center"/>
    </xf>
    <xf numFmtId="3" fontId="0" fillId="2" borderId="0" xfId="0" applyNumberFormat="1" applyFill="1"/>
    <xf numFmtId="10" fontId="0" fillId="3" borderId="0" xfId="0" applyNumberFormat="1" applyFill="1"/>
    <xf numFmtId="9" fontId="13" fillId="2" borderId="0" xfId="0" applyNumberFormat="1" applyFont="1" applyFill="1" applyAlignment="1">
      <alignment horizontal="center" vertical="center"/>
    </xf>
    <xf numFmtId="0" fontId="0" fillId="2" borderId="2" xfId="0" applyFill="1" applyBorder="1" applyAlignment="1">
      <alignment horizontal="right"/>
    </xf>
    <xf numFmtId="164" fontId="0" fillId="2" borderId="52" xfId="0" applyNumberForma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1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quotePrefix="1" applyFill="1"/>
    <xf numFmtId="1" fontId="0" fillId="2" borderId="0" xfId="0" applyNumberFormat="1" applyFill="1"/>
    <xf numFmtId="0" fontId="0" fillId="2" borderId="68" xfId="0" applyFill="1" applyBorder="1"/>
    <xf numFmtId="10" fontId="0" fillId="2" borderId="69" xfId="0" applyNumberFormat="1" applyFill="1" applyBorder="1"/>
    <xf numFmtId="0" fontId="0" fillId="2" borderId="70" xfId="0" applyFill="1" applyBorder="1"/>
    <xf numFmtId="10" fontId="0" fillId="2" borderId="71" xfId="0" applyNumberFormat="1" applyFill="1" applyBorder="1"/>
    <xf numFmtId="3" fontId="0" fillId="2" borderId="71" xfId="0" applyNumberFormat="1" applyFill="1" applyBorder="1"/>
    <xf numFmtId="0" fontId="0" fillId="2" borderId="70" xfId="0" applyFill="1" applyBorder="1" applyAlignment="1">
      <alignment wrapText="1"/>
    </xf>
    <xf numFmtId="4" fontId="0" fillId="2" borderId="71" xfId="0" applyNumberFormat="1" applyFill="1" applyBorder="1"/>
    <xf numFmtId="0" fontId="0" fillId="2" borderId="72" xfId="0" applyFill="1" applyBorder="1"/>
    <xf numFmtId="3" fontId="0" fillId="2" borderId="73" xfId="0" applyNumberFormat="1" applyFill="1" applyBorder="1"/>
    <xf numFmtId="3" fontId="0" fillId="2" borderId="69" xfId="0" applyNumberFormat="1" applyFill="1" applyBorder="1"/>
    <xf numFmtId="164" fontId="0" fillId="2" borderId="73" xfId="0" applyNumberFormat="1" applyFill="1" applyBorder="1"/>
    <xf numFmtId="0" fontId="0" fillId="2" borderId="0" xfId="0" applyFill="1" applyAlignment="1">
      <alignment horizontal="right" wrapText="1"/>
    </xf>
    <xf numFmtId="10" fontId="0" fillId="3" borderId="0" xfId="0" applyNumberFormat="1" applyFill="1" applyAlignment="1">
      <alignment horizontal="center"/>
    </xf>
    <xf numFmtId="166" fontId="0" fillId="2" borderId="7" xfId="1" applyNumberFormat="1" applyFont="1" applyFill="1" applyBorder="1" applyAlignment="1">
      <alignment horizontal="center" vertical="center"/>
    </xf>
    <xf numFmtId="166" fontId="0" fillId="2" borderId="15" xfId="1" applyNumberFormat="1" applyFont="1" applyFill="1" applyBorder="1" applyAlignment="1">
      <alignment horizontal="center" vertical="center"/>
    </xf>
    <xf numFmtId="167" fontId="0" fillId="2" borderId="7" xfId="0" applyNumberFormat="1" applyFill="1" applyBorder="1" applyAlignment="1">
      <alignment horizontal="center" vertical="center"/>
    </xf>
    <xf numFmtId="167" fontId="0" fillId="2" borderId="15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167" fontId="0" fillId="2" borderId="13" xfId="0" applyNumberFormat="1" applyFill="1" applyBorder="1" applyAlignment="1">
      <alignment horizontal="center" vertical="center"/>
    </xf>
    <xf numFmtId="3" fontId="0" fillId="2" borderId="50" xfId="0" applyNumberFormat="1" applyFill="1" applyBorder="1" applyAlignment="1">
      <alignment horizontal="center" vertical="center"/>
    </xf>
    <xf numFmtId="3" fontId="0" fillId="2" borderId="51" xfId="0" applyNumberFormat="1" applyFill="1" applyBorder="1" applyAlignment="1">
      <alignment horizontal="center" vertical="center"/>
    </xf>
    <xf numFmtId="0" fontId="0" fillId="2" borderId="74" xfId="0" applyFill="1" applyBorder="1" applyAlignment="1">
      <alignment horizontal="right" vertical="center" indent="1"/>
    </xf>
    <xf numFmtId="0" fontId="0" fillId="4" borderId="75" xfId="0" applyFill="1" applyBorder="1" applyAlignment="1">
      <alignment horizontal="right" vertical="center" indent="1"/>
    </xf>
    <xf numFmtId="166" fontId="0" fillId="2" borderId="76" xfId="1" applyNumberFormat="1" applyFont="1" applyFill="1" applyBorder="1" applyAlignment="1">
      <alignment horizontal="center" vertical="center"/>
    </xf>
    <xf numFmtId="167" fontId="0" fillId="2" borderId="76" xfId="0" applyNumberFormat="1" applyFill="1" applyBorder="1" applyAlignment="1">
      <alignment horizontal="center" vertical="center"/>
    </xf>
    <xf numFmtId="0" fontId="0" fillId="4" borderId="77" xfId="0" applyFill="1" applyBorder="1" applyAlignment="1">
      <alignment horizontal="right" vertical="center" indent="1"/>
    </xf>
    <xf numFmtId="166" fontId="0" fillId="2" borderId="78" xfId="1" applyNumberFormat="1" applyFont="1" applyFill="1" applyBorder="1" applyAlignment="1">
      <alignment horizontal="center" vertical="center"/>
    </xf>
    <xf numFmtId="167" fontId="0" fillId="2" borderId="78" xfId="0" applyNumberFormat="1" applyFill="1" applyBorder="1" applyAlignment="1">
      <alignment horizontal="center" vertical="center"/>
    </xf>
    <xf numFmtId="0" fontId="0" fillId="4" borderId="79" xfId="0" applyFill="1" applyBorder="1" applyAlignment="1">
      <alignment horizontal="right" vertical="center" indent="1"/>
    </xf>
    <xf numFmtId="166" fontId="0" fillId="2" borderId="80" xfId="1" applyNumberFormat="1" applyFont="1" applyFill="1" applyBorder="1" applyAlignment="1">
      <alignment horizontal="center" vertical="center"/>
    </xf>
    <xf numFmtId="167" fontId="0" fillId="2" borderId="80" xfId="0" applyNumberFormat="1" applyFill="1" applyBorder="1" applyAlignment="1">
      <alignment horizontal="center" vertical="center"/>
    </xf>
    <xf numFmtId="167" fontId="0" fillId="2" borderId="81" xfId="0" applyNumberFormat="1" applyFill="1" applyBorder="1" applyAlignment="1">
      <alignment horizontal="center" vertical="center"/>
    </xf>
    <xf numFmtId="166" fontId="0" fillId="2" borderId="69" xfId="1" applyNumberFormat="1" applyFont="1" applyFill="1" applyBorder="1" applyAlignment="1">
      <alignment horizontal="center" vertical="center"/>
    </xf>
    <xf numFmtId="166" fontId="0" fillId="2" borderId="82" xfId="1" applyNumberFormat="1" applyFont="1" applyFill="1" applyBorder="1" applyAlignment="1">
      <alignment horizontal="center" vertical="center"/>
    </xf>
    <xf numFmtId="166" fontId="0" fillId="2" borderId="71" xfId="1" applyNumberFormat="1" applyFont="1" applyFill="1" applyBorder="1" applyAlignment="1">
      <alignment horizontal="center" vertical="center"/>
    </xf>
    <xf numFmtId="166" fontId="0" fillId="2" borderId="83" xfId="1" applyNumberFormat="1" applyFont="1" applyFill="1" applyBorder="1" applyAlignment="1">
      <alignment horizontal="center" vertical="center"/>
    </xf>
    <xf numFmtId="166" fontId="0" fillId="2" borderId="73" xfId="1" applyNumberFormat="1" applyFont="1" applyFill="1" applyBorder="1" applyAlignment="1">
      <alignment horizontal="center" vertical="center"/>
    </xf>
    <xf numFmtId="166" fontId="0" fillId="2" borderId="84" xfId="1" applyNumberFormat="1" applyFont="1" applyFill="1" applyBorder="1" applyAlignment="1">
      <alignment horizontal="center" vertical="center"/>
    </xf>
    <xf numFmtId="0" fontId="0" fillId="6" borderId="55" xfId="0" applyFill="1" applyBorder="1" applyAlignment="1">
      <alignment horizontal="right" vertical="center"/>
    </xf>
    <xf numFmtId="0" fontId="0" fillId="6" borderId="51" xfId="0" applyFill="1" applyBorder="1" applyAlignment="1">
      <alignment horizontal="right" vertical="center"/>
    </xf>
    <xf numFmtId="0" fontId="0" fillId="8" borderId="51" xfId="0" applyFill="1" applyBorder="1" applyAlignment="1">
      <alignment horizontal="right" vertical="center"/>
    </xf>
    <xf numFmtId="0" fontId="0" fillId="9" borderId="51" xfId="0" applyFill="1" applyBorder="1" applyAlignment="1">
      <alignment horizontal="right" vertical="center"/>
    </xf>
    <xf numFmtId="0" fontId="0" fillId="2" borderId="56" xfId="0" applyFill="1" applyBorder="1" applyAlignment="1">
      <alignment horizontal="right" vertical="center"/>
    </xf>
    <xf numFmtId="1" fontId="2" fillId="7" borderId="85" xfId="0" applyNumberFormat="1" applyFont="1" applyFill="1" applyBorder="1" applyAlignment="1">
      <alignment vertical="center"/>
    </xf>
    <xf numFmtId="0" fontId="0" fillId="2" borderId="85" xfId="0" applyFill="1" applyBorder="1" applyAlignment="1">
      <alignment vertical="center"/>
    </xf>
    <xf numFmtId="0" fontId="0" fillId="6" borderId="86" xfId="0" applyFill="1" applyBorder="1" applyAlignment="1">
      <alignment horizontal="right" vertical="center"/>
    </xf>
    <xf numFmtId="0" fontId="0" fillId="6" borderId="50" xfId="0" applyFill="1" applyBorder="1" applyAlignment="1">
      <alignment horizontal="right" vertical="center"/>
    </xf>
    <xf numFmtId="0" fontId="0" fillId="8" borderId="50" xfId="0" applyFill="1" applyBorder="1" applyAlignment="1">
      <alignment horizontal="right" vertical="center"/>
    </xf>
    <xf numFmtId="0" fontId="0" fillId="9" borderId="50" xfId="0" applyFill="1" applyBorder="1" applyAlignment="1">
      <alignment horizontal="right" vertical="center"/>
    </xf>
    <xf numFmtId="0" fontId="0" fillId="2" borderId="87" xfId="0" applyFill="1" applyBorder="1" applyAlignment="1">
      <alignment horizontal="right" vertical="center"/>
    </xf>
    <xf numFmtId="2" fontId="0" fillId="2" borderId="0" xfId="0" applyNumberFormat="1" applyFill="1"/>
    <xf numFmtId="164" fontId="0" fillId="6" borderId="88" xfId="0" applyNumberForma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0" fillId="19" borderId="2" xfId="3" applyFont="1" applyFill="1">
      <alignment horizontal="left" vertical="center" readingOrder="1"/>
    </xf>
    <xf numFmtId="0" fontId="15" fillId="16" borderId="0" xfId="5" applyFill="1" applyBorder="1">
      <alignment horizontal="center"/>
    </xf>
    <xf numFmtId="0" fontId="31" fillId="19" borderId="64" xfId="6" applyFont="1" applyFill="1">
      <alignment horizontal="left"/>
    </xf>
    <xf numFmtId="0" fontId="31" fillId="19" borderId="64" xfId="7" applyFont="1" applyFill="1">
      <alignment horizontal="right"/>
    </xf>
    <xf numFmtId="0" fontId="31" fillId="19" borderId="62" xfId="8" applyFont="1" applyFill="1">
      <alignment horizontal="left"/>
    </xf>
    <xf numFmtId="0" fontId="31" fillId="19" borderId="62" xfId="4" applyFont="1" applyFill="1">
      <alignment horizontal="right"/>
    </xf>
    <xf numFmtId="3" fontId="24" fillId="18" borderId="66" xfId="27" applyFont="1" applyFill="1">
      <alignment horizontal="right"/>
    </xf>
    <xf numFmtId="0" fontId="31" fillId="19" borderId="64" xfId="28" applyFont="1" applyFill="1">
      <alignment horizontal="centerContinuous"/>
    </xf>
    <xf numFmtId="0" fontId="31" fillId="19" borderId="62" xfId="29" applyFont="1" applyFill="1">
      <alignment horizontal="centerContinuous"/>
    </xf>
    <xf numFmtId="169" fontId="22" fillId="16" borderId="65" xfId="30" applyFont="1" applyFill="1">
      <alignment horizontal="right"/>
    </xf>
    <xf numFmtId="168" fontId="22" fillId="16" borderId="89" xfId="31" applyFont="1" applyFill="1">
      <alignment horizontal="right"/>
    </xf>
    <xf numFmtId="169" fontId="24" fillId="16" borderId="65" xfId="32" applyFont="1" applyFill="1">
      <alignment horizontal="right"/>
    </xf>
    <xf numFmtId="168" fontId="24" fillId="16" borderId="89" xfId="33" applyFont="1" applyFill="1">
      <alignment horizontal="right"/>
    </xf>
    <xf numFmtId="4" fontId="22" fillId="16" borderId="65" xfId="34" applyFont="1" applyFill="1">
      <alignment horizontal="right"/>
    </xf>
    <xf numFmtId="10" fontId="22" fillId="16" borderId="89" xfId="35" applyFont="1" applyFill="1">
      <alignment horizontal="right"/>
    </xf>
    <xf numFmtId="4" fontId="24" fillId="16" borderId="65" xfId="36" applyFont="1" applyFill="1">
      <alignment horizontal="right"/>
    </xf>
    <xf numFmtId="10" fontId="24" fillId="16" borderId="89" xfId="37" applyFont="1" applyFill="1">
      <alignment horizontal="right"/>
    </xf>
    <xf numFmtId="10" fontId="0" fillId="2" borderId="3" xfId="0" applyNumberFormat="1" applyFill="1" applyBorder="1"/>
    <xf numFmtId="14" fontId="0" fillId="2" borderId="2" xfId="0" applyNumberFormat="1" applyFill="1" applyBorder="1"/>
    <xf numFmtId="164" fontId="0" fillId="3" borderId="3" xfId="0" applyNumberFormat="1" applyFill="1" applyBorder="1"/>
    <xf numFmtId="0" fontId="22" fillId="16" borderId="90" xfId="9" applyFont="1" applyFill="1" applyBorder="1"/>
    <xf numFmtId="169" fontId="22" fillId="16" borderId="64" xfId="10" applyFont="1" applyFill="1" applyBorder="1">
      <alignment horizontal="right"/>
    </xf>
    <xf numFmtId="0" fontId="25" fillId="16" borderId="91" xfId="15" applyFont="1" applyFill="1" applyBorder="1"/>
    <xf numFmtId="169" fontId="26" fillId="16" borderId="62" xfId="16" applyFont="1" applyFill="1" applyBorder="1">
      <alignment horizontal="right"/>
    </xf>
    <xf numFmtId="10" fontId="22" fillId="16" borderId="66" xfId="18" applyNumberFormat="1" applyFont="1" applyFill="1">
      <alignment horizontal="right"/>
    </xf>
    <xf numFmtId="3" fontId="0" fillId="2" borderId="7" xfId="0" applyNumberFormat="1" applyFill="1" applyBorder="1" applyAlignment="1">
      <alignment horizontal="center" vertical="center"/>
    </xf>
    <xf numFmtId="3" fontId="0" fillId="2" borderId="90" xfId="0" applyNumberFormat="1" applyFill="1" applyBorder="1" applyAlignment="1">
      <alignment horizontal="center" vertical="center"/>
    </xf>
    <xf numFmtId="3" fontId="0" fillId="2" borderId="92" xfId="0" applyNumberFormat="1" applyFill="1" applyBorder="1" applyAlignment="1">
      <alignment horizontal="center" vertical="center"/>
    </xf>
    <xf numFmtId="164" fontId="0" fillId="6" borderId="65" xfId="0" applyNumberFormat="1" applyFill="1" applyBorder="1" applyAlignment="1">
      <alignment horizontal="center" vertical="center"/>
    </xf>
    <xf numFmtId="164" fontId="0" fillId="6" borderId="89" xfId="0" applyNumberFormat="1" applyFill="1" applyBorder="1" applyAlignment="1">
      <alignment horizontal="center" vertical="center"/>
    </xf>
    <xf numFmtId="164" fontId="0" fillId="2" borderId="65" xfId="0" applyNumberFormat="1" applyFill="1" applyBorder="1" applyAlignment="1">
      <alignment horizontal="center" vertical="center"/>
    </xf>
    <xf numFmtId="164" fontId="0" fillId="2" borderId="89" xfId="0" applyNumberFormat="1" applyFill="1" applyBorder="1" applyAlignment="1">
      <alignment horizontal="center" vertical="center"/>
    </xf>
    <xf numFmtId="164" fontId="0" fillId="2" borderId="91" xfId="0" applyNumberFormat="1" applyFill="1" applyBorder="1" applyAlignment="1">
      <alignment horizontal="center" vertical="center"/>
    </xf>
    <xf numFmtId="164" fontId="0" fillId="2" borderId="63" xfId="0" applyNumberFormat="1" applyFill="1" applyBorder="1" applyAlignment="1">
      <alignment horizontal="center" vertical="center"/>
    </xf>
    <xf numFmtId="0" fontId="0" fillId="2" borderId="93" xfId="0" applyFill="1" applyBorder="1"/>
    <xf numFmtId="9" fontId="27" fillId="2" borderId="95" xfId="0" applyNumberFormat="1" applyFont="1" applyFill="1" applyBorder="1" applyAlignment="1">
      <alignment horizontal="center" vertical="center"/>
    </xf>
    <xf numFmtId="9" fontId="27" fillId="2" borderId="96" xfId="0" applyNumberFormat="1" applyFont="1" applyFill="1" applyBorder="1" applyAlignment="1">
      <alignment horizontal="center" vertical="center"/>
    </xf>
    <xf numFmtId="9" fontId="27" fillId="2" borderId="97" xfId="0" applyNumberFormat="1" applyFont="1" applyFill="1" applyBorder="1" applyAlignment="1">
      <alignment horizontal="center" vertical="center"/>
    </xf>
    <xf numFmtId="10" fontId="0" fillId="2" borderId="94" xfId="0" applyNumberFormat="1" applyFill="1" applyBorder="1" applyAlignment="1">
      <alignment horizontal="center" vertical="center"/>
    </xf>
    <xf numFmtId="10" fontId="11" fillId="2" borderId="94" xfId="0" applyNumberFormat="1" applyFont="1" applyFill="1" applyBorder="1" applyAlignment="1">
      <alignment horizontal="center" vertical="center"/>
    </xf>
    <xf numFmtId="9" fontId="27" fillId="2" borderId="99" xfId="0" applyNumberFormat="1" applyFont="1" applyFill="1" applyBorder="1" applyAlignment="1">
      <alignment horizontal="center" vertical="center"/>
    </xf>
    <xf numFmtId="9" fontId="27" fillId="2" borderId="100" xfId="0" applyNumberFormat="1" applyFont="1" applyFill="1" applyBorder="1" applyAlignment="1">
      <alignment horizontal="center" vertical="center"/>
    </xf>
    <xf numFmtId="9" fontId="27" fillId="2" borderId="101" xfId="0" applyNumberFormat="1" applyFont="1" applyFill="1" applyBorder="1" applyAlignment="1">
      <alignment horizontal="center" vertical="center"/>
    </xf>
    <xf numFmtId="168" fontId="0" fillId="2" borderId="98" xfId="0" applyNumberFormat="1" applyFill="1" applyBorder="1" applyAlignment="1">
      <alignment horizontal="right" vertical="center"/>
    </xf>
    <xf numFmtId="168" fontId="11" fillId="2" borderId="98" xfId="0" applyNumberFormat="1" applyFont="1" applyFill="1" applyBorder="1" applyAlignment="1">
      <alignment horizontal="right" vertical="center"/>
    </xf>
    <xf numFmtId="171" fontId="31" fillId="19" borderId="62" xfId="4" applyNumberFormat="1" applyFont="1" applyFill="1">
      <alignment horizontal="right"/>
    </xf>
    <xf numFmtId="2" fontId="0" fillId="0" borderId="0" xfId="0" applyNumberFormat="1"/>
    <xf numFmtId="10" fontId="0" fillId="0" borderId="0" xfId="0" applyNumberFormat="1"/>
    <xf numFmtId="1" fontId="0" fillId="2" borderId="64" xfId="0" applyNumberFormat="1" applyFill="1" applyBorder="1"/>
    <xf numFmtId="10" fontId="0" fillId="2" borderId="62" xfId="0" applyNumberFormat="1" applyFill="1" applyBorder="1"/>
    <xf numFmtId="0" fontId="32" fillId="2" borderId="0" xfId="0" applyFont="1" applyFill="1" applyAlignment="1">
      <alignment horizontal="center"/>
    </xf>
    <xf numFmtId="0" fontId="32" fillId="2" borderId="0" xfId="0" applyFont="1" applyFill="1" applyAlignment="1">
      <alignment horizontal="right" vertical="center" textRotation="90"/>
    </xf>
    <xf numFmtId="1" fontId="2" fillId="5" borderId="7" xfId="0" applyNumberFormat="1" applyFont="1" applyFill="1" applyBorder="1" applyAlignment="1">
      <alignment horizontal="center" vertical="center"/>
    </xf>
    <xf numFmtId="1" fontId="2" fillId="5" borderId="8" xfId="0" applyNumberFormat="1" applyFont="1" applyFill="1" applyBorder="1" applyAlignment="1">
      <alignment horizontal="center" vertical="center"/>
    </xf>
    <xf numFmtId="1" fontId="2" fillId="5" borderId="9" xfId="0" applyNumberFormat="1" applyFont="1" applyFill="1" applyBorder="1" applyAlignment="1">
      <alignment horizontal="center" vertical="center"/>
    </xf>
    <xf numFmtId="1" fontId="2" fillId="7" borderId="12" xfId="0" applyNumberFormat="1" applyFont="1" applyFill="1" applyBorder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13" borderId="65" xfId="12"/>
    <xf numFmtId="4" fontId="19" fillId="13" borderId="66" xfId="23">
      <alignment horizontal="right"/>
    </xf>
    <xf numFmtId="4" fontId="17" fillId="13" borderId="66" xfId="20">
      <alignment horizontal="right"/>
    </xf>
  </cellXfs>
  <cellStyles count="38">
    <cellStyle name="blp_column_header" xfId="26" xr:uid="{0644E47A-BBF3-4320-967E-60914A1A33EF}"/>
    <cellStyle name="blp_title_header_row_left" xfId="3" xr:uid="{97DB8782-AD68-4E52-916F-1E7A42A8AB93}"/>
    <cellStyle name="fa_column_header_bottom" xfId="4" xr:uid="{D9CAD33D-F096-48FC-9389-58467A2B1222}"/>
    <cellStyle name="fa_column_header_bottom_centered" xfId="29" xr:uid="{A2B7D0FC-0580-48C0-984C-642FBB77DFFE}"/>
    <cellStyle name="fa_column_header_bottom_left" xfId="8" xr:uid="{D18CDAC1-333F-46FF-9906-19290D080C5A}"/>
    <cellStyle name="fa_column_header_empty" xfId="5" xr:uid="{E15FCF8C-A48F-4EBE-9D48-D718F075359B}"/>
    <cellStyle name="fa_column_header_top" xfId="7" xr:uid="{DFDC3DFA-FD96-492B-9B74-D506CF52D4F3}"/>
    <cellStyle name="fa_column_header_top_centered" xfId="28" xr:uid="{E4F1A196-E95F-4482-B9CB-E14C5AA573BC}"/>
    <cellStyle name="fa_column_header_top_left" xfId="6" xr:uid="{9330BF3C-3676-4D2E-83AA-B887B6007BE9}"/>
    <cellStyle name="fa_data_bold_0_grouped" xfId="18" xr:uid="{D9418596-690B-47B8-8D5E-296F4CE38297}"/>
    <cellStyle name="fa_data_bold_1_grouped" xfId="10" xr:uid="{7CADBD03-8883-4B0A-BBE5-40A753674D92}"/>
    <cellStyle name="fa_data_bold_1_grouped_single_border" xfId="30" xr:uid="{36ABA091-7BCC-4DB1-85CE-C2BF78D1FE3E}"/>
    <cellStyle name="fa_data_bold_1_percent_single_border" xfId="31" xr:uid="{7256F1B9-79F5-4A91-A04F-92127EF58E43}"/>
    <cellStyle name="fa_data_bold_2_grouped" xfId="20" xr:uid="{CD5084C8-47E3-4EED-9023-BC4B48232FB5}"/>
    <cellStyle name="fa_data_bold_2_grouped_single_border" xfId="34" xr:uid="{7422E43F-C5AE-472B-85F0-781424B6AB02}"/>
    <cellStyle name="fa_data_bold_2_percent_single_border" xfId="35" xr:uid="{5D8A0316-CF8B-4B91-9358-1BF4A95C1D26}"/>
    <cellStyle name="fa_data_current_bold_0_grouped" xfId="19" xr:uid="{631DC164-945A-42F8-BEFE-2EBCF554B6D9}"/>
    <cellStyle name="fa_data_current_bold_1_grouped" xfId="11" xr:uid="{D584F516-BCE1-490E-A07B-3E5AEB04058E}"/>
    <cellStyle name="fa_data_current_bold_2_grouped" xfId="21" xr:uid="{6B81EB0F-BFC7-4F3B-B5F3-420D6891399A}"/>
    <cellStyle name="fa_data_current_italic_1_grouped" xfId="17" xr:uid="{83B101D2-FB55-4A6F-B2A5-32630BFE8098}"/>
    <cellStyle name="fa_data_current_standard_0_grouped" xfId="27" xr:uid="{754126A9-5988-4077-9F91-A32805487CD9}"/>
    <cellStyle name="fa_data_current_standard_1_grouped" xfId="14" xr:uid="{81AD7441-4BA7-4C0F-9E32-ABC2F51AF0E8}"/>
    <cellStyle name="fa_data_current_standard_2_grouped" xfId="24" xr:uid="{A9EC6E7E-923E-4C6B-A3A2-79C7947252AD}"/>
    <cellStyle name="fa_data_italic_1_grouped" xfId="16" xr:uid="{DC0CD586-0B46-49C1-9380-48CA4FA86208}"/>
    <cellStyle name="fa_data_standard_0_grouped" xfId="22" xr:uid="{0D48543F-18A1-4444-9846-F9C477FEE8C0}"/>
    <cellStyle name="fa_data_standard_1_grouped" xfId="13" xr:uid="{9A1C6F76-0E18-4908-8B92-79D69A9ADD00}"/>
    <cellStyle name="fa_data_standard_1_grouped_single_border" xfId="32" xr:uid="{14048D56-CB56-40B3-BC8C-0A71170242AD}"/>
    <cellStyle name="fa_data_standard_1_percent_single_border" xfId="33" xr:uid="{0FE14164-D232-4BFF-8195-B77458260045}"/>
    <cellStyle name="fa_data_standard_2_grouped" xfId="23" xr:uid="{C834FEB7-4A14-4092-8B8E-4EAB154EB758}"/>
    <cellStyle name="fa_data_standard_2_grouped_single_border" xfId="36" xr:uid="{26DCC697-9B11-47AB-A6F2-C00709E21145}"/>
    <cellStyle name="fa_data_standard_2_percent_single_border" xfId="37" xr:uid="{EA11B34B-8282-4449-A504-64C3F9A5DE57}"/>
    <cellStyle name="fa_footer_italic" xfId="25" xr:uid="{2588CD13-5450-4C04-8341-A4E1DA729D1A}"/>
    <cellStyle name="fa_row_header_bold" xfId="9" xr:uid="{019A23B0-7181-4282-9673-3027AC87361C}"/>
    <cellStyle name="fa_row_header_italic" xfId="15" xr:uid="{929B632C-2067-4844-89B5-27B14DDD5A72}"/>
    <cellStyle name="fa_row_header_standard" xfId="12" xr:uid="{B65A9784-8C23-4143-A9D3-314A4FEFD30C}"/>
    <cellStyle name="Normal" xfId="0" builtinId="0"/>
    <cellStyle name="Normal 2" xfId="2" xr:uid="{35EF5890-8843-2249-B2E9-07876A0801C3}"/>
    <cellStyle name="Per cent" xfId="1" builtinId="5"/>
  </cellStyles>
  <dxfs count="2">
    <dxf>
      <font>
        <color rgb="FFFF0000"/>
      </font>
    </dxf>
    <dxf>
      <font>
        <color rgb="FF00B050"/>
      </font>
    </dxf>
  </dxfs>
  <tableStyles count="0" defaultTableStyle="TableStyleMedium2" defaultPivotStyle="PivotStyleMedium9"/>
  <colors>
    <mruColors>
      <color rgb="FF5195D3"/>
      <color rgb="FF000000"/>
      <color rgb="FFEE20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BDH|15258842148306994537</stp>
        <tr r="BA14" s="7"/>
      </tp>
      <tp t="s">
        <v>#N/A N/A</v>
        <stp/>
        <stp>BDH|12113974427853252174</stp>
        <tr r="BN14" s="7"/>
      </tp>
      <tp t="s">
        <v>#N/A N/A</v>
        <stp/>
        <stp>BDH|13916517881333755635</stp>
        <tr r="AT6" s="7"/>
      </tp>
      <tp t="s">
        <v>#N/A N/A</v>
        <stp/>
        <stp>BDH|10891973566374331526</stp>
        <tr r="AH6" s="7"/>
      </tp>
      <tp t="s">
        <v>#N/A N/A</v>
        <stp/>
        <stp>BDH|17144856671752938530</stp>
        <tr r="AV6" s="7"/>
      </tp>
      <tp t="s">
        <v>#N/A N/A</v>
        <stp/>
        <stp>BDH|11877646783075281699</stp>
        <tr r="AI6" s="7"/>
      </tp>
      <tp t="s">
        <v>#N/A N/A</v>
        <stp/>
        <stp>BDH|15135013654259094424</stp>
        <tr r="AF6" s="7"/>
      </tp>
      <tp t="s">
        <v>#N/A N/A</v>
        <stp/>
        <stp>BDH|15181001133725566006</stp>
        <tr r="BK14" s="7"/>
      </tp>
      <tp t="s">
        <v>#N/A N/A</v>
        <stp/>
        <stp>BDH|14655676668822444544</stp>
        <tr r="AK6" s="7"/>
      </tp>
      <tp t="s">
        <v>#N/A N/A</v>
        <stp/>
        <stp>BDH|16946123489497631808</stp>
        <tr r="AZ14" s="7"/>
      </tp>
      <tp t="s">
        <v>#N/A N/A</v>
        <stp/>
        <stp>BDH|10089257742717939091</stp>
        <tr r="BG14" s="7"/>
      </tp>
      <tp t="s">
        <v>#N/A N/A</v>
        <stp/>
        <stp>BDH|12167284049593489680</stp>
        <tr r="BR14" s="7"/>
      </tp>
      <tp t="s">
        <v>#N/A N/A</v>
        <stp/>
        <stp>BDH|17634057574565300277</stp>
        <tr r="AU6" s="7"/>
      </tp>
      <tp t="s">
        <v>#N/A N/A</v>
        <stp/>
        <stp>BDH|13032259174542395377</stp>
        <tr r="AR6" s="7"/>
      </tp>
      <tp t="s">
        <v>#N/A N/A</v>
        <stp/>
        <stp>BDH|12477499735612010049</stp>
        <tr r="BH14" s="7"/>
      </tp>
      <tp t="s">
        <v>#N/A N/A</v>
        <stp/>
        <stp>BDH|10057041822556621055</stp>
        <tr r="AS6" s="7"/>
      </tp>
      <tp t="s">
        <v>#N/A N/A</v>
        <stp/>
        <stp>BDH|2741095885053645533</stp>
        <tr r="AQ6" s="7"/>
      </tp>
      <tp t="s">
        <v>#N/A N/A</v>
        <stp/>
        <stp>BDH|2107584299205909745</stp>
        <tr r="BM14" s="7"/>
      </tp>
      <tp t="s">
        <v>#N/A N/A</v>
        <stp/>
        <stp>BDH|7391686816834790937</stp>
        <tr r="BF14" s="7"/>
      </tp>
      <tp t="s">
        <v>#N/A N/A</v>
        <stp/>
        <stp>BDH|1866466391484776643</stp>
        <tr r="BP14" s="7"/>
      </tp>
      <tp t="s">
        <v>#N/A N/A</v>
        <stp/>
        <stp>BDH|2993990426832811461</stp>
        <tr r="BQ14" s="7"/>
      </tp>
      <tp t="s">
        <v>#N/A N/A</v>
        <stp/>
        <stp>BDH|6016459985561646437</stp>
        <tr r="BE14" s="7"/>
      </tp>
      <tp t="s">
        <v>#N/A N/A</v>
        <stp/>
        <stp>BDH|7895147495690248764</stp>
        <tr r="BB14" s="7"/>
      </tp>
      <tp t="s">
        <v>#N/A N/A</v>
        <stp/>
        <stp>BDH|3379007277645827918</stp>
        <tr r="BJ14" s="7"/>
      </tp>
      <tp t="s">
        <v>#N/A N/A</v>
        <stp/>
        <stp>BDH|8334307410684093790</stp>
        <tr r="AE6" s="7"/>
      </tp>
      <tp t="s">
        <v>#N/A N/A</v>
        <stp/>
        <stp>BDH|1764912678901781702</stp>
        <tr r="AP6" s="7"/>
      </tp>
      <tp t="s">
        <v>#N/A N/A</v>
        <stp/>
        <stp>BDH|7945543035662599976</stp>
        <tr r="BD14" s="7"/>
      </tp>
      <tp t="s">
        <v>#N/A N/A</v>
        <stp/>
        <stp>BDH|5122778003088715090</stp>
        <tr r="AL6" s="7"/>
      </tp>
      <tp t="s">
        <v>#N/A N/A</v>
        <stp/>
        <stp>BDH|4368901221321936445</stp>
        <tr r="AM6" s="7"/>
      </tp>
      <tp t="s">
        <v>#N/A N/A</v>
        <stp/>
        <stp>BDH|2979146152954921950</stp>
        <tr r="AD6" s="7"/>
      </tp>
      <tp t="s">
        <v>#N/A N/A</v>
        <stp/>
        <stp>BDH|5363304641640363653</stp>
        <tr r="BC14" s="7"/>
      </tp>
      <tp t="s">
        <v>#N/A N/A</v>
        <stp/>
        <stp>BDH|3263504326470107188</stp>
        <tr r="BS14" s="7"/>
      </tp>
      <tp t="s">
        <v>#N/A N/A</v>
        <stp/>
        <stp>BDH|6743009437817822422</stp>
        <tr r="AO6" s="7"/>
      </tp>
      <tp t="s">
        <v>#N/A N/A</v>
        <stp/>
        <stp>BDH|1312770904012746214</stp>
        <tr r="BL14" s="7"/>
      </tp>
      <tp t="s">
        <v>#N/A N/A</v>
        <stp/>
        <stp>BDH|9283907103800289663</stp>
        <tr r="AG6" s="7"/>
      </tp>
      <tp t="s">
        <v>#N/A N/A</v>
        <stp/>
        <stp>BDH|1467173389600311937</stp>
        <tr r="AJ6" s="7"/>
      </tp>
      <tp t="s">
        <v>#N/A N/A</v>
        <stp/>
        <stp>BDH|3046618207561264592</stp>
        <tr r="BI14" s="7"/>
      </tp>
      <tp t="s">
        <v>#N/A N/A</v>
        <stp/>
        <stp>BDH|284551242614376714</stp>
        <tr r="AC6" s="7"/>
      </tp>
      <tp t="s">
        <v>#N/A N/A</v>
        <stp/>
        <stp>BDH|787324474368991349</stp>
        <tr r="BO14" s="7"/>
      </tp>
      <tp t="s">
        <v>#N/A N/A</v>
        <stp/>
        <stp>BDH|500752732739658309</stp>
        <tr r="AN6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DCF!$C$5:$I$5</c:f>
              <c:numCache>
                <c:formatCode>0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xVal>
          <c:yVal>
            <c:numRef>
              <c:f>DCF!$C$16:$I$16</c:f>
              <c:numCache>
                <c:formatCode>#,##0.0</c:formatCode>
                <c:ptCount val="7"/>
                <c:pt idx="0">
                  <c:v>5249</c:v>
                </c:pt>
                <c:pt idx="1">
                  <c:v>5156</c:v>
                </c:pt>
                <c:pt idx="2">
                  <c:v>5613</c:v>
                </c:pt>
                <c:pt idx="3">
                  <c:v>6096</c:v>
                </c:pt>
                <c:pt idx="4">
                  <c:v>5742</c:v>
                </c:pt>
                <c:pt idx="5">
                  <c:v>4846.03</c:v>
                </c:pt>
                <c:pt idx="6">
                  <c:v>6040.8059999999996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E-40C6-B277-CFBDE2EE4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176351"/>
        <c:axId val="1842788959"/>
      </c:scatterChart>
      <c:valAx>
        <c:axId val="157517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788959"/>
        <c:crosses val="autoZero"/>
        <c:crossBetween val="midCat"/>
      </c:valAx>
      <c:valAx>
        <c:axId val="18427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7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1"/>
            <c:dispEq val="0"/>
            <c:trendlineLbl>
              <c:layout>
                <c:manualLayout>
                  <c:x val="-1.7028422440396838E-2"/>
                  <c:y val="-0.388759690476360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Summary!$N$4:$AV$4</c:f>
              <c:strCache>
                <c:ptCount val="35"/>
                <c:pt idx="0">
                  <c:v>12/31/1988</c:v>
                </c:pt>
                <c:pt idx="1">
                  <c:v>12/31/1989</c:v>
                </c:pt>
                <c:pt idx="2">
                  <c:v>12/31/1990</c:v>
                </c:pt>
                <c:pt idx="3">
                  <c:v>12/31/1991</c:v>
                </c:pt>
                <c:pt idx="4">
                  <c:v>12/31/1992</c:v>
                </c:pt>
                <c:pt idx="5">
                  <c:v>12/31/1993</c:v>
                </c:pt>
                <c:pt idx="6">
                  <c:v>12/30/1994</c:v>
                </c:pt>
                <c:pt idx="7">
                  <c:v>12/30/1995</c:v>
                </c:pt>
                <c:pt idx="8">
                  <c:v>12/31/1996</c:v>
                </c:pt>
                <c:pt idx="9">
                  <c:v>12/26/1997</c:v>
                </c:pt>
                <c:pt idx="10">
                  <c:v>12/31/1998</c:v>
                </c:pt>
                <c:pt idx="11">
                  <c:v>12/31/1999</c:v>
                </c:pt>
                <c:pt idx="12">
                  <c:v>12/29/2000</c:v>
                </c:pt>
                <c:pt idx="13">
                  <c:v>12/28/2001</c:v>
                </c:pt>
                <c:pt idx="14">
                  <c:v>12/27/2002</c:v>
                </c:pt>
                <c:pt idx="15">
                  <c:v>12/26/2003</c:v>
                </c:pt>
                <c:pt idx="16">
                  <c:v>12/31/2004</c:v>
                </c:pt>
                <c:pt idx="17">
                  <c:v>12/30/2005</c:v>
                </c:pt>
                <c:pt idx="18">
                  <c:v>12/29/2006</c:v>
                </c:pt>
                <c:pt idx="19">
                  <c:v>12/28/2007</c:v>
                </c:pt>
                <c:pt idx="20">
                  <c:v>12/26/2008</c:v>
                </c:pt>
                <c:pt idx="21">
                  <c:v>12/25/2009</c:v>
                </c:pt>
                <c:pt idx="22">
                  <c:v>12/31/2010</c:v>
                </c:pt>
                <c:pt idx="23">
                  <c:v>12/30/2011</c:v>
                </c:pt>
                <c:pt idx="24">
                  <c:v>12/28/2012</c:v>
                </c:pt>
                <c:pt idx="25">
                  <c:v>12/27/2013</c:v>
                </c:pt>
                <c:pt idx="26">
                  <c:v>12/26/2014</c:v>
                </c:pt>
                <c:pt idx="27">
                  <c:v>12/25/2015</c:v>
                </c:pt>
                <c:pt idx="28">
                  <c:v>12/30/2016</c:v>
                </c:pt>
                <c:pt idx="29">
                  <c:v>12/31/2017</c:v>
                </c:pt>
                <c:pt idx="30">
                  <c:v>12/31/2018</c:v>
                </c:pt>
                <c:pt idx="31">
                  <c:v>12/31/2019</c:v>
                </c:pt>
                <c:pt idx="32">
                  <c:v>12/31/2020</c:v>
                </c:pt>
                <c:pt idx="33">
                  <c:v>12/31/2021</c:v>
                </c:pt>
                <c:pt idx="34">
                  <c:v>12/31/2022</c:v>
                </c:pt>
              </c:strCache>
            </c:strRef>
          </c:cat>
          <c:val>
            <c:numRef>
              <c:f>Summary!$N$6:$AV$6</c:f>
              <c:numCache>
                <c:formatCode>#,##0.00</c:formatCode>
                <c:ptCount val="35"/>
                <c:pt idx="15">
                  <c:v>3.5129000000000001</c:v>
                </c:pt>
                <c:pt idx="16">
                  <c:v>5.7484000000000002</c:v>
                </c:pt>
                <c:pt idx="17">
                  <c:v>11.1584</c:v>
                </c:pt>
                <c:pt idx="18">
                  <c:v>14.729699999999999</c:v>
                </c:pt>
                <c:pt idx="19">
                  <c:v>4.5255999999999998</c:v>
                </c:pt>
                <c:pt idx="20">
                  <c:v>10.3605</c:v>
                </c:pt>
                <c:pt idx="21">
                  <c:v>-21.296600000000002</c:v>
                </c:pt>
                <c:pt idx="22">
                  <c:v>19.953299999999999</c:v>
                </c:pt>
                <c:pt idx="23">
                  <c:v>15.278499999999999</c:v>
                </c:pt>
                <c:pt idx="24">
                  <c:v>7.0000999999999998</c:v>
                </c:pt>
                <c:pt idx="25">
                  <c:v>4.9555999999999996</c:v>
                </c:pt>
                <c:pt idx="26">
                  <c:v>9.2201000000000004</c:v>
                </c:pt>
                <c:pt idx="27">
                  <c:v>-9.0670000000000002</c:v>
                </c:pt>
                <c:pt idx="28">
                  <c:v>-8.5820000000000007</c:v>
                </c:pt>
                <c:pt idx="29">
                  <c:v>6.5141999999999998</c:v>
                </c:pt>
                <c:pt idx="30">
                  <c:v>7.4953000000000003</c:v>
                </c:pt>
                <c:pt idx="31">
                  <c:v>-4.9229000000000003</c:v>
                </c:pt>
                <c:pt idx="32">
                  <c:v>-10.019299999999999</c:v>
                </c:pt>
                <c:pt idx="33">
                  <c:v>11.6265</c:v>
                </c:pt>
                <c:pt idx="34">
                  <c:v>14.0846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0-BA4E-876B-6C0FABC7C4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70045856"/>
        <c:axId val="570053552"/>
      </c:barChart>
      <c:catAx>
        <c:axId val="5700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53552"/>
        <c:crosses val="autoZero"/>
        <c:auto val="1"/>
        <c:lblAlgn val="ctr"/>
        <c:lblOffset val="100"/>
        <c:noMultiLvlLbl val="0"/>
      </c:catAx>
      <c:valAx>
        <c:axId val="5700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0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lt1"/>
            </a:solidFill>
            <a:ln w="25400">
              <a:solidFill>
                <a:schemeClr val="bg1"/>
              </a:solidFill>
            </a:ln>
            <a:effectLst/>
          </c:spPr>
          <c:dPt>
            <c:idx val="0"/>
            <c:bubble3D val="0"/>
            <c:spPr>
              <a:solidFill>
                <a:srgbClr val="00206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6-467B-9FA9-BD3B1220E858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86-467B-9FA9-BD3B1220E858}"/>
              </c:ext>
            </c:extLst>
          </c:dPt>
          <c:dPt>
            <c:idx val="2"/>
            <c:bubble3D val="0"/>
            <c:spPr>
              <a:solidFill>
                <a:srgbClr val="5195D3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4CB-6040-B129-E7C6670AE3D9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E2-486D-B2A6-94E75F1C3E8D}"/>
              </c:ext>
            </c:extLst>
          </c:dPt>
          <c:dPt>
            <c:idx val="4"/>
            <c:bubble3D val="0"/>
            <c:spPr>
              <a:solidFill>
                <a:srgbClr val="000000"/>
              </a:solidFill>
              <a:ln w="254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EE2-486D-B2A6-94E75F1C3E8D}"/>
              </c:ext>
            </c:extLst>
          </c:dPt>
          <c:dLbls>
            <c:dLbl>
              <c:idx val="0"/>
              <c:layout>
                <c:manualLayout>
                  <c:x val="0.19874721211739199"/>
                  <c:y val="-2.77873805908427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5199B58-FC7C-4CB7-B686-B1A02F497969}" type="CATEGORYNAME">
                      <a:rPr lang="en-US" sz="1600">
                        <a:solidFill>
                          <a:srgbClr val="002060"/>
                        </a:solidFill>
                      </a:rPr>
                      <a:pPr>
                        <a:defRPr sz="1100">
                          <a:solidFill>
                            <a:srgbClr val="002060"/>
                          </a:solidFill>
                        </a:defRPr>
                      </a:pPr>
                      <a:t>[CATEGORY NAME]</a:t>
                    </a:fld>
                    <a:r>
                      <a:rPr lang="en-US" sz="1800" baseline="0">
                        <a:solidFill>
                          <a:srgbClr val="002060"/>
                        </a:solidFill>
                      </a:rPr>
                      <a:t>
</a:t>
                    </a:r>
                    <a:fld id="{37A71064-9C85-4D4B-A74A-2DC9EF58457E}" type="PERCENTAGE">
                      <a:rPr lang="en-US" sz="1400" baseline="0">
                        <a:solidFill>
                          <a:srgbClr val="002060"/>
                        </a:solidFill>
                      </a:rPr>
                      <a:pPr>
                        <a:defRPr sz="1100">
                          <a:solidFill>
                            <a:srgbClr val="002060"/>
                          </a:solidFill>
                        </a:defRPr>
                      </a:pPr>
                      <a:t>[PERCENTAGE]</a:t>
                    </a:fld>
                    <a:endParaRPr lang="en-US" sz="1800" baseline="0">
                      <a:solidFill>
                        <a:srgbClr val="00206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38171822504591"/>
                      <c:h val="0.27722543369464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86-467B-9FA9-BD3B1220E858}"/>
                </c:ext>
              </c:extLst>
            </c:dLbl>
            <c:dLbl>
              <c:idx val="1"/>
              <c:layout>
                <c:manualLayout>
                  <c:x val="-0.137073593193206"/>
                  <c:y val="0.1481993631511617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accent5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F9D40B-CD9C-41B8-8E73-F52225000613}" type="CATEGORYNAME">
                      <a:rPr lang="en-US" sz="140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chemeClr val="accent5">
                              <a:lumMod val="75000"/>
                            </a:schemeClr>
                          </a:solidFill>
                        </a:defRPr>
                      </a:pPr>
                      <a:t>[CATEGORY NAME]</a:t>
                    </a:fld>
                    <a:r>
                      <a:rPr lang="en-US" sz="1400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t>
</a:t>
                    </a:r>
                    <a:fld id="{CEDA5C39-07DD-43D2-829D-9B75C8F7CFC7}" type="PERCENTAGE">
                      <a:rPr lang="en-US" sz="1400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 sz="1100">
                          <a:solidFill>
                            <a:schemeClr val="accent5">
                              <a:lumMod val="7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sz="1400" baseline="0">
                      <a:solidFill>
                        <a:schemeClr val="accent5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386-467B-9FA9-BD3B1220E858}"/>
                </c:ext>
              </c:extLst>
            </c:dLbl>
            <c:dLbl>
              <c:idx val="2"/>
              <c:layout>
                <c:manualLayout>
                  <c:x val="-0.14529800878479834"/>
                  <c:y val="4.936891284973080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1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1498B6F-9562-411E-91A5-F4E986699942}" type="CATEGORYNAME">
                      <a:rPr lang="en-US" sz="1400">
                        <a:solidFill>
                          <a:srgbClr val="5195D3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sz="1400" baseline="0">
                        <a:solidFill>
                          <a:srgbClr val="5195D3"/>
                        </a:solidFill>
                      </a:rPr>
                      <a:t>
</a:t>
                    </a:r>
                    <a:fld id="{DA536483-376B-4F87-915C-7CC181BA695B}" type="PERCENTAGE">
                      <a:rPr lang="en-US" sz="1400" baseline="0">
                        <a:solidFill>
                          <a:srgbClr val="5195D3"/>
                        </a:solidFill>
                      </a:rPr>
                      <a:pPr>
                        <a:defRPr sz="1100"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sz="1400" baseline="0">
                      <a:solidFill>
                        <a:srgbClr val="5195D3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4CB-6040-B129-E7C6670AE3D9}"/>
                </c:ext>
              </c:extLst>
            </c:dLbl>
            <c:dLbl>
              <c:idx val="3"/>
              <c:layout>
                <c:manualLayout>
                  <c:x val="-0.12884917760161366"/>
                  <c:y val="-5.557476118168575E-2"/>
                </c:manualLayout>
              </c:layout>
              <c:tx>
                <c:rich>
                  <a:bodyPr/>
                  <a:lstStyle/>
                  <a:p>
                    <a:fld id="{C07CFDF4-0950-44B2-9696-59481C0EABC1}" type="CATEGORYNAME">
                      <a:rPr lang="en-US" sz="1400">
                        <a:solidFill>
                          <a:srgbClr val="00B0F0"/>
                        </a:solidFill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rgbClr val="00B0F0"/>
                        </a:solidFill>
                      </a:rPr>
                      <a:t>
</a:t>
                    </a:r>
                    <a:fld id="{00CB2F64-AB4B-4BD7-8DBE-733549E03BE8}" type="PERCENTAGE">
                      <a:rPr lang="en-US" sz="1400" baseline="0">
                        <a:solidFill>
                          <a:srgbClr val="00B0F0"/>
                        </a:solidFill>
                      </a:rPr>
                      <a:pPr/>
                      <a:t>[PERCENTAGE]</a:t>
                    </a:fld>
                    <a:endParaRPr lang="en-US" sz="1400" baseline="0">
                      <a:solidFill>
                        <a:srgbClr val="00B0F0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3EE2-486D-B2A6-94E75F1C3E8D}"/>
                </c:ext>
              </c:extLst>
            </c:dLbl>
            <c:dLbl>
              <c:idx val="4"/>
              <c:layout>
                <c:manualLayout>
                  <c:x val="-0.11240034641842896"/>
                  <c:y val="-0.13430567285574047"/>
                </c:manualLayout>
              </c:layout>
              <c:tx>
                <c:rich>
                  <a:bodyPr/>
                  <a:lstStyle/>
                  <a:p>
                    <a:fld id="{13EDFAF0-7377-416F-83D6-AB4A97312FFA}" type="CATEGORYNAME">
                      <a:rPr lang="en-US" sz="1400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r>
                      <a:rPr lang="en-US" sz="1400" baseline="0">
                        <a:solidFill>
                          <a:schemeClr val="tx1"/>
                        </a:solidFill>
                      </a:rPr>
                      <a:t>
</a:t>
                    </a:r>
                    <a:fld id="{D87EE65D-CFE4-4472-8827-A5ACB2F7D4C3}" type="PERCENTAGE">
                      <a:rPr lang="en-US" sz="1400" baseline="0">
                        <a:solidFill>
                          <a:schemeClr val="tx1"/>
                        </a:solidFill>
                      </a:rPr>
                      <a:pPr/>
                      <a:t>[PERCENTAGE]</a:t>
                    </a:fld>
                    <a:endParaRPr lang="en-US" sz="1400" baseline="0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3EE2-486D-B2A6-94E75F1C3E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Graphs!$B$27:$B$31</c:f>
              <c:strCache>
                <c:ptCount val="5"/>
                <c:pt idx="0">
                  <c:v>Merchandise</c:v>
                </c:pt>
                <c:pt idx="1">
                  <c:v>Intermodal</c:v>
                </c:pt>
                <c:pt idx="2">
                  <c:v>Trucking</c:v>
                </c:pt>
                <c:pt idx="3">
                  <c:v>Other</c:v>
                </c:pt>
                <c:pt idx="4">
                  <c:v>Coal</c:v>
                </c:pt>
              </c:strCache>
            </c:strRef>
          </c:cat>
          <c:val>
            <c:numRef>
              <c:f>Graphs!$C$27:$C$31</c:f>
              <c:numCache>
                <c:formatCode>General</c:formatCode>
                <c:ptCount val="5"/>
                <c:pt idx="0">
                  <c:v>55.5</c:v>
                </c:pt>
                <c:pt idx="1">
                  <c:v>15.5</c:v>
                </c:pt>
                <c:pt idx="2">
                  <c:v>6.5</c:v>
                </c:pt>
                <c:pt idx="3">
                  <c:v>6.1</c:v>
                </c:pt>
                <c:pt idx="4">
                  <c:v>16.399999999999999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6-467B-9FA9-BD3B1220E8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7032645230259"/>
          <c:y val="5.6847545219638244E-2"/>
          <c:w val="0.84889881166040582"/>
          <c:h val="0.75615861970742027"/>
        </c:manualLayout>
      </c:layout>
      <c:barChart>
        <c:barDir val="col"/>
        <c:grouping val="clustered"/>
        <c:varyColors val="0"/>
        <c:ser>
          <c:idx val="0"/>
          <c:order val="0"/>
          <c:tx>
            <c:v>Bear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Graphs!$E$47:$E$52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Graphs!$F$47:$F$52</c:f>
              <c:numCache>
                <c:formatCode>General</c:formatCode>
                <c:ptCount val="6"/>
                <c:pt idx="0">
                  <c:v>12.5</c:v>
                </c:pt>
                <c:pt idx="1">
                  <c:v>15</c:v>
                </c:pt>
                <c:pt idx="2">
                  <c:v>4</c:v>
                </c:pt>
                <c:pt idx="3">
                  <c:v>7</c:v>
                </c:pt>
                <c:pt idx="4">
                  <c:v>5.5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C-41F1-8052-297FF9A34FA5}"/>
            </c:ext>
          </c:extLst>
        </c:ser>
        <c:ser>
          <c:idx val="1"/>
          <c:order val="1"/>
          <c:tx>
            <c:v>Base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Graphs!$E$47:$E$52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Graphs!$G$47:$G$52</c:f>
              <c:numCache>
                <c:formatCode>General</c:formatCode>
                <c:ptCount val="6"/>
                <c:pt idx="0">
                  <c:v>24</c:v>
                </c:pt>
                <c:pt idx="1">
                  <c:v>17</c:v>
                </c:pt>
                <c:pt idx="2">
                  <c:v>9</c:v>
                </c:pt>
                <c:pt idx="3">
                  <c:v>9</c:v>
                </c:pt>
                <c:pt idx="4">
                  <c:v>7.5</c:v>
                </c:pt>
                <c:pt idx="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C-41F1-8052-297FF9A34FA5}"/>
            </c:ext>
          </c:extLst>
        </c:ser>
        <c:ser>
          <c:idx val="2"/>
          <c:order val="2"/>
          <c:tx>
            <c:v>Bull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Graphs!$E$47:$E$52</c:f>
              <c:strCache>
                <c:ptCount val="6"/>
                <c:pt idx="0">
                  <c:v>China</c:v>
                </c:pt>
                <c:pt idx="1">
                  <c:v>North America</c:v>
                </c:pt>
                <c:pt idx="2">
                  <c:v>India</c:v>
                </c:pt>
                <c:pt idx="3">
                  <c:v>Europe</c:v>
                </c:pt>
                <c:pt idx="4">
                  <c:v>Russia</c:v>
                </c:pt>
                <c:pt idx="5">
                  <c:v>Japan</c:v>
                </c:pt>
              </c:strCache>
            </c:strRef>
          </c:cat>
          <c:val>
            <c:numRef>
              <c:f>Graphs!$H$47:$H$52</c:f>
              <c:numCache>
                <c:formatCode>General</c:formatCode>
                <c:ptCount val="6"/>
                <c:pt idx="0">
                  <c:v>32.5</c:v>
                </c:pt>
                <c:pt idx="1">
                  <c:v>23</c:v>
                </c:pt>
                <c:pt idx="2">
                  <c:v>13.5</c:v>
                </c:pt>
                <c:pt idx="3">
                  <c:v>12</c:v>
                </c:pt>
                <c:pt idx="4">
                  <c:v>8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C-41F1-8052-297FF9A34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763904"/>
        <c:axId val="968765704"/>
      </c:barChart>
      <c:catAx>
        <c:axId val="96876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65704"/>
        <c:crosses val="autoZero"/>
        <c:auto val="1"/>
        <c:lblAlgn val="ctr"/>
        <c:lblOffset val="100"/>
        <c:tickMarkSkip val="1"/>
        <c:noMultiLvlLbl val="0"/>
      </c:catAx>
      <c:valAx>
        <c:axId val="96876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409294908204061"/>
          <c:y val="7.0022584386254041E-2"/>
          <c:w val="0.43110400229092649"/>
          <c:h val="8.7209912714399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771787878590634E-2"/>
          <c:y val="4.9214785651793526E-2"/>
          <c:w val="0.91675240594925633"/>
          <c:h val="0.8416746864975212"/>
        </c:manualLayout>
      </c:layout>
      <c:barChart>
        <c:barDir val="bar"/>
        <c:grouping val="stacked"/>
        <c:varyColors val="0"/>
        <c:ser>
          <c:idx val="0"/>
          <c:order val="0"/>
          <c:tx>
            <c:v>2022 Achievement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Graphs!$Q$37:$Q$43</c:f>
              <c:numCache>
                <c:formatCode>General</c:formatCode>
                <c:ptCount val="7"/>
                <c:pt idx="0">
                  <c:v>0.05</c:v>
                </c:pt>
                <c:pt idx="1">
                  <c:v>0.16</c:v>
                </c:pt>
                <c:pt idx="2">
                  <c:v>0.18539999999999998</c:v>
                </c:pt>
                <c:pt idx="3">
                  <c:v>0.04</c:v>
                </c:pt>
                <c:pt idx="4">
                  <c:v>0.04</c:v>
                </c:pt>
                <c:pt idx="5">
                  <c:v>0.06</c:v>
                </c:pt>
                <c:pt idx="6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A-45BB-841B-C33B7E57D3F7}"/>
            </c:ext>
          </c:extLst>
        </c:ser>
        <c:ser>
          <c:idx val="1"/>
          <c:order val="1"/>
          <c:tx>
            <c:v>Remaining to target</c:v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val>
            <c:numRef>
              <c:f>Graphs!$S$37:$S$43</c:f>
              <c:numCache>
                <c:formatCode>General</c:formatCode>
                <c:ptCount val="7"/>
                <c:pt idx="0">
                  <c:v>0.37</c:v>
                </c:pt>
                <c:pt idx="1">
                  <c:v>0.21</c:v>
                </c:pt>
                <c:pt idx="2">
                  <c:v>6.4600000000000005E-2</c:v>
                </c:pt>
                <c:pt idx="3">
                  <c:v>0.38</c:v>
                </c:pt>
                <c:pt idx="4">
                  <c:v>0.26</c:v>
                </c:pt>
                <c:pt idx="5">
                  <c:v>0.39</c:v>
                </c:pt>
                <c:pt idx="6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A-45BB-841B-C33B7E57D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481712"/>
        <c:axId val="886355488"/>
      </c:barChart>
      <c:catAx>
        <c:axId val="881481712"/>
        <c:scaling>
          <c:orientation val="minMax"/>
        </c:scaling>
        <c:delete val="1"/>
        <c:axPos val="l"/>
        <c:majorTickMark val="none"/>
        <c:minorTickMark val="none"/>
        <c:tickLblPos val="nextTo"/>
        <c:crossAx val="886355488"/>
        <c:crosses val="autoZero"/>
        <c:auto val="1"/>
        <c:lblAlgn val="ctr"/>
        <c:lblOffset val="100"/>
        <c:noMultiLvlLbl val="0"/>
      </c:catAx>
      <c:valAx>
        <c:axId val="886355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8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755008</xdr:colOff>
      <xdr:row>0</xdr:row>
      <xdr:rowOff>149412</xdr:rowOff>
    </xdr:from>
    <xdr:to>
      <xdr:col>9</xdr:col>
      <xdr:colOff>96086</xdr:colOff>
      <xdr:row>2</xdr:row>
      <xdr:rowOff>117254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D4BDAC-5087-1BAE-7E46-09117969D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2256" y="149412"/>
          <a:ext cx="995573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319367</xdr:colOff>
      <xdr:row>2</xdr:row>
      <xdr:rowOff>23531</xdr:rowOff>
    </xdr:from>
    <xdr:to>
      <xdr:col>19</xdr:col>
      <xdr:colOff>521073</xdr:colOff>
      <xdr:row>16</xdr:row>
      <xdr:rowOff>99731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84B5E-6410-3C77-9347-CCFF08706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327141</xdr:colOff>
      <xdr:row>0</xdr:row>
      <xdr:rowOff>137660</xdr:rowOff>
    </xdr:from>
    <xdr:to>
      <xdr:col>12</xdr:col>
      <xdr:colOff>447566</xdr:colOff>
      <xdr:row>3</xdr:row>
      <xdr:rowOff>5501</xdr:rowOff>
    </xdr:to>
    <xdr:pic>
      <xdr:nvPicPr>
        <xdr:cNvPr id="3" name="Picture 2" descr="Wabtec - Wikipedia">
          <a:extLst>
            <a:ext uri="{FF2B5EF4-FFF2-40B4-BE49-F238E27FC236}">
              <a16:creationId xmlns:a16="http://schemas.microsoft.com/office/drawing/2014/main" id="{B59DE0DF-9C0E-D840-B429-894B5CD4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7433" y="137660"/>
          <a:ext cx="1770498" cy="666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22412</xdr:colOff>
      <xdr:row>9</xdr:row>
      <xdr:rowOff>91440</xdr:rowOff>
    </xdr:from>
    <xdr:to>
      <xdr:col>43</xdr:col>
      <xdr:colOff>345440</xdr:colOff>
      <xdr:row>27</xdr:row>
      <xdr:rowOff>94129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76AFB-B498-5D5A-D8DB-E9F050015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118842</xdr:colOff>
      <xdr:row>25</xdr:row>
      <xdr:rowOff>42721</xdr:rowOff>
    </xdr:from>
    <xdr:to>
      <xdr:col>9</xdr:col>
      <xdr:colOff>380999</xdr:colOff>
      <xdr:row>39</xdr:row>
      <xdr:rowOff>117973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1999E-BEEC-8E7F-0AB5-0E289491F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316985</xdr:colOff>
      <xdr:row>43</xdr:row>
      <xdr:rowOff>133160</xdr:rowOff>
    </xdr:from>
    <xdr:to>
      <xdr:col>11</xdr:col>
      <xdr:colOff>768742</xdr:colOff>
      <xdr:row>56</xdr:row>
      <xdr:rowOff>114110</xdr:rowOff>
    </xdr:to>
    <xdr:graphicFrame macro="">
      <xdr:nvGraphicFramePr>
        <xdr:cNvPr id="45" name="Chart 12">
          <a:extLst>
            <a:ext uri="{FF2B5EF4-FFF2-40B4-BE49-F238E27FC236}">
              <a16:creationId xmlns:a16="http://schemas.microsoft.com/office/drawing/2014/main" id="{6EB6CCEB-5D73-6ACA-97AC-6C2D7ED40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108001</xdr:colOff>
      <xdr:row>19</xdr:row>
      <xdr:rowOff>10007</xdr:rowOff>
    </xdr:from>
    <xdr:to>
      <xdr:col>16</xdr:col>
      <xdr:colOff>108001</xdr:colOff>
      <xdr:row>33</xdr:row>
      <xdr:rowOff>86207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9986A-B50A-1B33-50FB-07D4EB935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</xdr:row>
      <xdr:rowOff>0</xdr:rowOff>
    </xdr:from>
    <xdr:to>
      <xdr:col>29</xdr:col>
      <xdr:colOff>618000</xdr:colOff>
      <xdr:row>26</xdr:row>
      <xdr:rowOff>92416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DD56A6-BD40-9DCE-8535-873C4D9B2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91029" y="381000"/>
          <a:ext cx="9000000" cy="4742857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31</xdr:col>
      <xdr:colOff>637048</xdr:colOff>
      <xdr:row>54</xdr:row>
      <xdr:rowOff>104190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785987-01B3-7C75-2456-44AF4341D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15029" y="5793441"/>
          <a:ext cx="9019048" cy="467619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21</xdr:col>
      <xdr:colOff>599238</xdr:colOff>
      <xdr:row>56</xdr:row>
      <xdr:rowOff>18786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3168411-22AA-B1E2-B7AA-D2318C790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81029" y="8650941"/>
          <a:ext cx="6695238" cy="2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60"/>
  <sheetViews>
    <sheetView tabSelected="1" view="pageBreakPreview" zoomScale="85" zoomScaleNormal="69" zoomScaleSheetLayoutView="85" workbookViewId="0">
      <selection activeCell="P20" sqref="P20"/>
    </sheetView>
  </sheetViews>
  <sheetFormatPr defaultColWidth="10.85546875" defaultRowHeight="15" customHeight="1" x14ac:dyDescent="0.25"/>
  <cols>
    <col min="1" max="1" width="5.85546875" customWidth="1"/>
    <col min="2" max="2" width="17.42578125" customWidth="1"/>
    <col min="3" max="12" width="10.85546875" customWidth="1"/>
    <col min="13" max="13" width="5.85546875" customWidth="1"/>
  </cols>
  <sheetData>
    <row r="1" spans="1:15" ht="1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5" ht="24" customHeight="1" x14ac:dyDescent="0.25">
      <c r="A2" s="3"/>
      <c r="B2" s="5" t="s">
        <v>23</v>
      </c>
      <c r="C2" s="3"/>
      <c r="E2" s="3"/>
      <c r="F2" s="4" t="s">
        <v>767</v>
      </c>
      <c r="G2" s="3"/>
      <c r="H2" s="3"/>
      <c r="J2" s="9"/>
      <c r="K2" s="3"/>
      <c r="L2" s="3"/>
      <c r="M2" s="3"/>
    </row>
    <row r="3" spans="1:15" ht="15" customHeight="1" x14ac:dyDescent="0.25">
      <c r="A3" s="3"/>
      <c r="B3" s="3"/>
      <c r="C3" s="3"/>
      <c r="D3" s="3"/>
      <c r="E3" s="3"/>
      <c r="F3" s="3"/>
      <c r="G3" s="3"/>
      <c r="H3" s="6"/>
      <c r="I3" s="6"/>
      <c r="J3" s="6"/>
      <c r="K3" s="6"/>
      <c r="L3" s="6"/>
      <c r="M3" s="3"/>
    </row>
    <row r="4" spans="1:15" ht="15" customHeight="1" x14ac:dyDescent="0.25">
      <c r="A4" s="3"/>
      <c r="B4" s="3"/>
      <c r="C4" s="3"/>
      <c r="D4" s="3"/>
      <c r="E4" s="3"/>
      <c r="F4" s="3"/>
      <c r="G4" s="3"/>
      <c r="H4" s="6">
        <v>0.5</v>
      </c>
      <c r="I4" s="6">
        <f>H4+1</f>
        <v>1.5</v>
      </c>
      <c r="J4" s="6">
        <f>I4+1</f>
        <v>2.5</v>
      </c>
      <c r="K4" s="6">
        <f>J4+1</f>
        <v>3.5</v>
      </c>
      <c r="L4" s="6">
        <f>K4+1</f>
        <v>4.5</v>
      </c>
      <c r="M4" s="3"/>
    </row>
    <row r="5" spans="1:15" ht="15" customHeight="1" x14ac:dyDescent="0.25">
      <c r="A5" s="3"/>
      <c r="B5" s="1" t="s">
        <v>768</v>
      </c>
      <c r="C5" s="1">
        <v>2018</v>
      </c>
      <c r="D5" s="1">
        <v>2019</v>
      </c>
      <c r="E5" s="1">
        <v>2020</v>
      </c>
      <c r="F5" s="1">
        <v>2021</v>
      </c>
      <c r="G5" s="1">
        <v>2022</v>
      </c>
      <c r="H5" s="1">
        <v>2023</v>
      </c>
      <c r="I5" s="1">
        <v>2024</v>
      </c>
      <c r="J5" s="1">
        <v>2025</v>
      </c>
      <c r="K5" s="1">
        <v>2026</v>
      </c>
      <c r="L5" s="1">
        <v>2027</v>
      </c>
      <c r="M5" s="3"/>
    </row>
    <row r="6" spans="1:15" ht="15" customHeight="1" x14ac:dyDescent="0.25">
      <c r="A6" s="3"/>
      <c r="B6" s="203" t="s">
        <v>450</v>
      </c>
      <c r="C6" s="100">
        <v>22832</v>
      </c>
      <c r="D6" s="100">
        <v>21708</v>
      </c>
      <c r="E6" s="100">
        <v>19533</v>
      </c>
      <c r="F6" s="100">
        <v>21804</v>
      </c>
      <c r="G6" s="100">
        <v>24875</v>
      </c>
      <c r="H6" s="204">
        <v>23991.759999999998</v>
      </c>
      <c r="I6" s="204">
        <v>25025.16</v>
      </c>
      <c r="J6" s="204"/>
      <c r="K6" s="204"/>
      <c r="L6" s="204"/>
      <c r="M6" s="3"/>
    </row>
    <row r="7" spans="1:15" ht="15" customHeight="1" x14ac:dyDescent="0.25">
      <c r="A7" s="3"/>
      <c r="B7" s="101" t="s">
        <v>451</v>
      </c>
      <c r="C7" s="102">
        <v>7.4953000000000003</v>
      </c>
      <c r="D7" s="102">
        <v>-4.9229000000000003</v>
      </c>
      <c r="E7" s="102">
        <v>-10.019299999999999</v>
      </c>
      <c r="F7" s="102">
        <v>11.6265</v>
      </c>
      <c r="G7" s="102">
        <v>14.0846</v>
      </c>
      <c r="H7" s="102">
        <v>-3.5507135678391899</v>
      </c>
      <c r="I7" s="102">
        <v>4.3073121771808198</v>
      </c>
      <c r="J7" s="102"/>
      <c r="K7" s="102"/>
      <c r="L7" s="102"/>
      <c r="M7" s="3"/>
      <c r="O7" s="114"/>
    </row>
    <row r="8" spans="1:15" ht="15" customHeight="1" x14ac:dyDescent="0.25">
      <c r="A8" s="3"/>
      <c r="B8" s="96" t="s">
        <v>452</v>
      </c>
      <c r="C8" s="100" t="s">
        <v>201</v>
      </c>
      <c r="D8" s="100" t="s">
        <v>201</v>
      </c>
      <c r="E8" s="100" t="s">
        <v>201</v>
      </c>
      <c r="F8" s="100" t="s">
        <v>201</v>
      </c>
      <c r="G8" s="100" t="s">
        <v>201</v>
      </c>
      <c r="H8" s="100">
        <v>8975.7972511999997</v>
      </c>
      <c r="I8" s="100">
        <v>9995.7996588000005</v>
      </c>
      <c r="J8" s="100"/>
      <c r="K8" s="100"/>
      <c r="L8" s="100"/>
      <c r="M8" s="3"/>
    </row>
    <row r="9" spans="1:15" ht="15" customHeight="1" x14ac:dyDescent="0.25">
      <c r="A9" s="3"/>
      <c r="B9" s="101" t="s">
        <v>453</v>
      </c>
      <c r="C9" s="102" t="s">
        <v>201</v>
      </c>
      <c r="D9" s="102" t="s">
        <v>201</v>
      </c>
      <c r="E9" s="102" t="s">
        <v>201</v>
      </c>
      <c r="F9" s="102" t="s">
        <v>201</v>
      </c>
      <c r="G9" s="102" t="s">
        <v>201</v>
      </c>
      <c r="H9" s="102">
        <v>37.411999999999999</v>
      </c>
      <c r="I9" s="102">
        <v>39.942999999999998</v>
      </c>
      <c r="J9" s="102"/>
      <c r="K9" s="102"/>
      <c r="L9" s="102"/>
      <c r="M9" s="3"/>
    </row>
    <row r="10" spans="1:15" ht="15" customHeight="1" x14ac:dyDescent="0.25">
      <c r="A10" s="3"/>
      <c r="B10" s="96" t="s">
        <v>454</v>
      </c>
      <c r="C10" s="100">
        <v>10708</v>
      </c>
      <c r="D10" s="100">
        <v>11136</v>
      </c>
      <c r="E10" s="100">
        <v>10570</v>
      </c>
      <c r="F10" s="100">
        <v>11849</v>
      </c>
      <c r="G10" s="100">
        <v>12593</v>
      </c>
      <c r="H10" s="100">
        <v>11291.6</v>
      </c>
      <c r="I10" s="100">
        <v>12238.916999999999</v>
      </c>
      <c r="J10" s="100"/>
      <c r="K10" s="100"/>
      <c r="L10" s="100"/>
      <c r="M10" s="3"/>
    </row>
    <row r="11" spans="1:15" ht="15" customHeight="1" x14ac:dyDescent="0.25">
      <c r="A11" s="3"/>
      <c r="B11" s="101" t="s">
        <v>453</v>
      </c>
      <c r="C11" s="102">
        <v>46.899088997897699</v>
      </c>
      <c r="D11" s="102">
        <v>51.2990602542841</v>
      </c>
      <c r="E11" s="102">
        <v>54.113551425792302</v>
      </c>
      <c r="F11" s="102">
        <v>54.3432397725188</v>
      </c>
      <c r="G11" s="102">
        <v>50.625125628140701</v>
      </c>
      <c r="H11" s="102">
        <v>47.0644921423022</v>
      </c>
      <c r="I11" s="102">
        <v>48.9064485501791</v>
      </c>
      <c r="J11" s="102"/>
      <c r="K11" s="102"/>
      <c r="L11" s="102"/>
      <c r="M11" s="3"/>
    </row>
    <row r="12" spans="1:15" ht="15" customHeight="1" x14ac:dyDescent="0.25">
      <c r="A12" s="3"/>
      <c r="B12" s="96" t="s">
        <v>455</v>
      </c>
      <c r="C12" s="100">
        <v>6027.62</v>
      </c>
      <c r="D12" s="100">
        <v>5903.2</v>
      </c>
      <c r="E12" s="100">
        <v>5510.4629999999997</v>
      </c>
      <c r="F12" s="100">
        <v>6417.14</v>
      </c>
      <c r="G12" s="100">
        <v>7067</v>
      </c>
      <c r="H12" s="100">
        <v>6251.192</v>
      </c>
      <c r="I12" s="100">
        <v>6836.8850000000002</v>
      </c>
      <c r="J12" s="100"/>
      <c r="K12" s="100"/>
      <c r="L12" s="100"/>
      <c r="M12" s="3"/>
    </row>
    <row r="13" spans="1:15" ht="15" customHeight="1" x14ac:dyDescent="0.25">
      <c r="A13" s="3"/>
      <c r="B13" s="101" t="s">
        <v>453</v>
      </c>
      <c r="C13" s="102">
        <v>26.399877365101599</v>
      </c>
      <c r="D13" s="102">
        <v>27.193661323014599</v>
      </c>
      <c r="E13" s="102">
        <v>28.211042850560599</v>
      </c>
      <c r="F13" s="102">
        <v>29.4310218308567</v>
      </c>
      <c r="G13" s="102">
        <v>28.410050251256301</v>
      </c>
      <c r="H13" s="102">
        <v>26.0555790821515</v>
      </c>
      <c r="I13" s="102">
        <v>27.320045106604699</v>
      </c>
      <c r="J13" s="102"/>
      <c r="K13" s="102"/>
      <c r="L13" s="102"/>
      <c r="M13" s="3"/>
    </row>
    <row r="14" spans="1:15" ht="15" customHeight="1" x14ac:dyDescent="0.25">
      <c r="A14" s="3"/>
      <c r="B14" s="96" t="s">
        <v>456</v>
      </c>
      <c r="C14" s="112">
        <v>7.9916999999999998</v>
      </c>
      <c r="D14" s="112">
        <v>8.3575999999999997</v>
      </c>
      <c r="E14" s="112">
        <v>8.1178000000000008</v>
      </c>
      <c r="F14" s="112">
        <v>9.7885000000000009</v>
      </c>
      <c r="G14" s="112">
        <v>11.320600000000001</v>
      </c>
      <c r="H14" s="112">
        <v>10.253</v>
      </c>
      <c r="I14" s="112">
        <v>11.321999999999999</v>
      </c>
      <c r="J14" s="112"/>
      <c r="K14" s="112"/>
      <c r="L14" s="112"/>
      <c r="M14" s="3"/>
    </row>
    <row r="15" spans="1:15" ht="15" customHeight="1" x14ac:dyDescent="0.25">
      <c r="A15" s="3"/>
      <c r="B15" s="101" t="s">
        <v>451</v>
      </c>
      <c r="C15" s="102">
        <v>-39.580614942141601</v>
      </c>
      <c r="D15" s="102">
        <v>4.5789051930429698</v>
      </c>
      <c r="E15" s="102">
        <v>-2.8700022877315301</v>
      </c>
      <c r="F15" s="102">
        <v>20.5810469883317</v>
      </c>
      <c r="G15" s="102">
        <v>15.652041992219401</v>
      </c>
      <c r="H15" s="102">
        <v>-9.4304115417438492</v>
      </c>
      <c r="I15" s="102">
        <v>10.4262167170584</v>
      </c>
      <c r="J15" s="102"/>
      <c r="K15" s="102"/>
      <c r="L15" s="102"/>
      <c r="M15" s="3"/>
    </row>
    <row r="16" spans="1:15" ht="15" customHeight="1" x14ac:dyDescent="0.25">
      <c r="A16" s="3"/>
      <c r="B16" s="96" t="s">
        <v>459</v>
      </c>
      <c r="C16" s="100">
        <v>5249</v>
      </c>
      <c r="D16" s="100">
        <v>5156</v>
      </c>
      <c r="E16" s="100">
        <v>5613</v>
      </c>
      <c r="F16" s="100">
        <v>6096</v>
      </c>
      <c r="G16" s="100">
        <v>5742</v>
      </c>
      <c r="H16" s="100">
        <v>4846.03</v>
      </c>
      <c r="I16" s="100">
        <v>6040.8059999999996</v>
      </c>
      <c r="J16" s="100">
        <v>6100</v>
      </c>
      <c r="K16" s="100">
        <v>6300</v>
      </c>
      <c r="L16" s="100">
        <v>7000</v>
      </c>
      <c r="M16" s="3"/>
    </row>
    <row r="17" spans="1:22" ht="15" customHeight="1" x14ac:dyDescent="0.25">
      <c r="A17" s="3"/>
      <c r="B17" s="205" t="s">
        <v>769</v>
      </c>
      <c r="C17" s="206"/>
      <c r="D17" s="206"/>
      <c r="E17" s="206"/>
      <c r="F17" s="206"/>
      <c r="G17" s="206"/>
      <c r="H17" s="206">
        <f>H16/(1+wacc)^H4</f>
        <v>4744.0553258843229</v>
      </c>
      <c r="I17" s="206" cm="1">
        <f t="array" ref="I17">I16/(1+wacc)^I4</f>
        <v>5667.4256199305219</v>
      </c>
      <c r="J17" s="206" cm="1">
        <f t="array" ref="J17">J16/(1+wacc)^J4</f>
        <v>5484.6392731713886</v>
      </c>
      <c r="K17" s="206">
        <f>K16/(1+wacc)^K4</f>
        <v>5428.577936262267</v>
      </c>
      <c r="L17" s="206">
        <f>L16/(1+wacc)^L4</f>
        <v>5780.5726192068432</v>
      </c>
      <c r="M17" s="3"/>
      <c r="P17" s="3"/>
      <c r="Q17" s="3"/>
      <c r="R17" s="3"/>
      <c r="S17" s="3"/>
    </row>
    <row r="18" spans="1:22" ht="15" customHeight="1" thickBot="1" x14ac:dyDescent="0.3">
      <c r="A18" s="3"/>
      <c r="B18" s="3"/>
      <c r="C18" s="3"/>
      <c r="D18" s="3"/>
      <c r="E18" s="8"/>
      <c r="F18" s="3"/>
      <c r="G18" s="3"/>
      <c r="H18" s="3"/>
      <c r="I18" s="3"/>
      <c r="J18" s="3"/>
      <c r="K18" s="3"/>
      <c r="L18" s="3"/>
      <c r="M18" s="3"/>
    </row>
    <row r="19" spans="1:22" ht="15" customHeight="1" x14ac:dyDescent="0.25">
      <c r="A19" s="3"/>
      <c r="B19" s="130" t="s">
        <v>473</v>
      </c>
      <c r="C19" s="139">
        <f>fcff*(1+tgr)/(wacc-tgr)</f>
        <v>304444.45541233319</v>
      </c>
      <c r="D19" s="129"/>
      <c r="E19" s="130" t="s">
        <v>9</v>
      </c>
      <c r="F19" s="131">
        <f>C22/F28</f>
        <v>0.73466857214913206</v>
      </c>
      <c r="G19" s="129"/>
      <c r="H19" s="141" t="s">
        <v>20</v>
      </c>
      <c r="I19" s="142">
        <v>0.09</v>
      </c>
      <c r="J19" s="3" t="s">
        <v>63</v>
      </c>
      <c r="K19" s="129"/>
      <c r="L19" s="129"/>
      <c r="M19" s="129"/>
      <c r="N19" s="7" t="s">
        <v>22</v>
      </c>
      <c r="O19" s="201">
        <v>45251</v>
      </c>
      <c r="P19" s="202">
        <v>224.28</v>
      </c>
      <c r="Q19" s="3"/>
      <c r="R19" s="3"/>
      <c r="S19" s="3"/>
      <c r="T19" s="90"/>
      <c r="U19" s="3"/>
      <c r="V19" s="3"/>
    </row>
    <row r="20" spans="1:22" ht="15" customHeight="1" x14ac:dyDescent="0.25">
      <c r="A20" s="3"/>
      <c r="B20" s="132" t="s">
        <v>5</v>
      </c>
      <c r="C20" s="134">
        <f>SUM(H17:K17,C19)</f>
        <v>325769.15356758167</v>
      </c>
      <c r="D20" s="129"/>
      <c r="E20" s="132" t="s">
        <v>10</v>
      </c>
      <c r="F20" s="133">
        <f>Summary!$AZ$9/100</f>
        <v>4.1243999999999996E-2</v>
      </c>
      <c r="G20" s="129"/>
      <c r="H20" s="90" t="s">
        <v>2</v>
      </c>
      <c r="I20" s="142">
        <v>0.02</v>
      </c>
      <c r="J20" s="9"/>
      <c r="K20" s="129"/>
      <c r="L20" s="129"/>
      <c r="M20" s="129"/>
      <c r="N20" s="3"/>
      <c r="O20" s="123" t="s">
        <v>460</v>
      </c>
      <c r="P20" s="89">
        <f>AVERAGE(C25)/P19-1</f>
        <v>1.1334500096805136</v>
      </c>
      <c r="Q20" s="121"/>
      <c r="R20" s="3"/>
    </row>
    <row r="21" spans="1:22" ht="15" customHeight="1" x14ac:dyDescent="0.25">
      <c r="A21" s="3"/>
      <c r="B21" s="132" t="s">
        <v>18</v>
      </c>
      <c r="C21" s="134">
        <f>Summary!G6</f>
        <v>1019</v>
      </c>
      <c r="D21" s="129"/>
      <c r="E21" s="132" t="s">
        <v>11</v>
      </c>
      <c r="F21" s="133">
        <v>0.23100000000000001</v>
      </c>
      <c r="G21" s="129"/>
      <c r="H21" s="129"/>
      <c r="I21" s="129"/>
      <c r="J21" s="129"/>
      <c r="K21" s="129"/>
      <c r="L21" s="129"/>
      <c r="M21" s="129"/>
      <c r="N21" s="3"/>
      <c r="O21" s="90" t="s">
        <v>64</v>
      </c>
      <c r="P21" s="200">
        <f>((1+P20)^(1/3.5))-1</f>
        <v>0.24171967673629013</v>
      </c>
      <c r="Q21" s="9"/>
      <c r="R21" s="3"/>
    </row>
    <row r="22" spans="1:22" ht="15" customHeight="1" x14ac:dyDescent="0.25">
      <c r="A22" s="3"/>
      <c r="B22" s="132" t="s">
        <v>19</v>
      </c>
      <c r="C22" s="134">
        <f>Summary!G8</f>
        <v>34957</v>
      </c>
      <c r="D22" s="129"/>
      <c r="E22" s="132" t="s">
        <v>6</v>
      </c>
      <c r="F22" s="134">
        <f>BS!G72</f>
        <v>12625</v>
      </c>
      <c r="G22" s="129"/>
      <c r="H22" s="129"/>
      <c r="I22" s="231" t="s">
        <v>773</v>
      </c>
      <c r="J22" s="129"/>
      <c r="K22" s="129"/>
      <c r="L22" s="129"/>
      <c r="M22" s="129"/>
      <c r="N22" s="3"/>
      <c r="O22" s="3"/>
      <c r="P22" s="3"/>
      <c r="Q22" s="3"/>
      <c r="R22" s="3"/>
      <c r="S22" s="88"/>
      <c r="T22" s="3"/>
      <c r="U22" s="3"/>
      <c r="V22" s="3"/>
    </row>
    <row r="23" spans="1:22" ht="15" customHeight="1" thickBot="1" x14ac:dyDescent="0.3">
      <c r="A23" s="3"/>
      <c r="B23" s="132" t="s">
        <v>6</v>
      </c>
      <c r="C23" s="134">
        <f>C20+C21-C22</f>
        <v>291831.15356758167</v>
      </c>
      <c r="D23" s="129"/>
      <c r="E23" s="132" t="s">
        <v>12</v>
      </c>
      <c r="F23" s="133">
        <f>F22/F28</f>
        <v>0.265331427850868</v>
      </c>
      <c r="G23" s="129"/>
      <c r="H23" s="129"/>
      <c r="I23" s="232">
        <f>F23*G24+(F19*F20*(1-F21))</f>
        <v>4.3452553899625906E-2</v>
      </c>
      <c r="J23" s="129"/>
      <c r="K23" s="129"/>
      <c r="L23" s="129"/>
      <c r="M23" s="129"/>
      <c r="N23" s="3"/>
      <c r="O23" s="3"/>
      <c r="P23" s="233" t="s">
        <v>62</v>
      </c>
      <c r="Q23" s="233"/>
      <c r="R23" s="233"/>
      <c r="S23" s="233"/>
      <c r="T23" s="233"/>
      <c r="U23" s="111"/>
      <c r="V23" s="3"/>
    </row>
    <row r="24" spans="1:22" ht="15" customHeight="1" thickTop="1" thickBot="1" x14ac:dyDescent="0.3">
      <c r="A24" s="3"/>
      <c r="B24" s="132" t="s">
        <v>7</v>
      </c>
      <c r="C24" s="134">
        <v>609.9</v>
      </c>
      <c r="D24" s="129"/>
      <c r="E24" s="135" t="s">
        <v>21</v>
      </c>
      <c r="F24" s="133">
        <f>Summary!$AZ$6/100</f>
        <v>8.2299999999999998E-2</v>
      </c>
      <c r="G24" s="9">
        <f>F25+F27*F26</f>
        <v>7.5947799999999996E-2</v>
      </c>
      <c r="H24" s="129"/>
      <c r="I24" s="129"/>
      <c r="J24" s="129"/>
      <c r="K24" s="129"/>
      <c r="L24" s="129"/>
      <c r="M24" s="129"/>
      <c r="N24" s="3"/>
      <c r="O24" s="217"/>
      <c r="P24" s="221">
        <f>Q24-0.005</f>
        <v>9.9999999999999985E-3</v>
      </c>
      <c r="Q24" s="221">
        <f>R24-0.005</f>
        <v>1.4999999999999999E-2</v>
      </c>
      <c r="R24" s="222">
        <f>tgr</f>
        <v>0.02</v>
      </c>
      <c r="S24" s="221">
        <f>R24+0.005</f>
        <v>2.5000000000000001E-2</v>
      </c>
      <c r="T24" s="221">
        <f>S24+0.005</f>
        <v>3.0000000000000002E-2</v>
      </c>
      <c r="U24" s="57"/>
      <c r="V24" s="3"/>
    </row>
    <row r="25" spans="1:22" ht="15" customHeight="1" thickBot="1" x14ac:dyDescent="0.3">
      <c r="A25" s="3"/>
      <c r="B25" s="137" t="s">
        <v>8</v>
      </c>
      <c r="C25" s="140">
        <f>C23/C24</f>
        <v>478.49016817114557</v>
      </c>
      <c r="D25" s="88"/>
      <c r="E25" s="132" t="s">
        <v>13</v>
      </c>
      <c r="F25" s="133">
        <v>4.41E-2</v>
      </c>
      <c r="G25" s="126" t="s">
        <v>57</v>
      </c>
      <c r="H25" s="88"/>
      <c r="I25" s="88"/>
      <c r="J25" s="88"/>
      <c r="K25" s="88"/>
      <c r="L25" s="88"/>
      <c r="M25" s="88"/>
      <c r="N25" s="234" t="s">
        <v>61</v>
      </c>
      <c r="O25" s="226">
        <f>O26+0.005</f>
        <v>5.3452553899625901E-2</v>
      </c>
      <c r="P25" s="223" t="str">
        <f t="shared" ref="P25:T26" si="0">TEXT((((((fcff*(1+P$24))/ABS($O25-P$24))+SUM($H$17:$K$17)-$C$22+$C$21)/$C$24/$P$19)-1),"0.0%")
&amp;" / "&amp;
TEXT((((fcff*(1+P$24))/ABS($O25-P$24))+SUM($H$17:$K$17)-$C$22+$C$21)/$C$24,"$0.00")</f>
        <v>9.7% / $246.09</v>
      </c>
      <c r="Q25" s="218" t="str">
        <f t="shared" si="0"/>
        <v>25.9% / $282.28</v>
      </c>
      <c r="R25" s="219" t="str">
        <f t="shared" si="0"/>
        <v>46.8% / $329.27</v>
      </c>
      <c r="S25" s="219" t="str">
        <f t="shared" si="0"/>
        <v>75.1% / $392.79</v>
      </c>
      <c r="T25" s="220" t="str">
        <f t="shared" si="0"/>
        <v>115.5% / $483.38</v>
      </c>
      <c r="U25" s="122"/>
      <c r="V25" s="3"/>
    </row>
    <row r="26" spans="1:22" ht="15" customHeight="1" thickBot="1" x14ac:dyDescent="0.3">
      <c r="A26" s="3"/>
      <c r="B26" s="3"/>
      <c r="C26" s="180">
        <f>AVERAGE(CCA!M43,CCA!M46)</f>
        <v>164.82843710057645</v>
      </c>
      <c r="D26" s="9"/>
      <c r="E26" s="132" t="s">
        <v>14</v>
      </c>
      <c r="F26" s="136">
        <v>0.98599999999999999</v>
      </c>
      <c r="G26" s="9"/>
      <c r="H26" s="9"/>
      <c r="I26" s="9"/>
      <c r="J26" s="9"/>
      <c r="K26" s="9"/>
      <c r="L26" s="9"/>
      <c r="M26" s="9"/>
      <c r="N26" s="234"/>
      <c r="O26" s="226">
        <f>O27+0.005</f>
        <v>4.8452553899625904E-2</v>
      </c>
      <c r="P26" s="224" t="str">
        <f t="shared" si="0"/>
        <v>25.2% / $280.78</v>
      </c>
      <c r="Q26" s="115" t="str">
        <f t="shared" si="0"/>
        <v>46.0% / $327.56</v>
      </c>
      <c r="R26" s="115" t="str">
        <f t="shared" si="0"/>
        <v>74.2% / $390.77</v>
      </c>
      <c r="S26" s="115" t="str">
        <f t="shared" si="0"/>
        <v>114.4% / $480.94</v>
      </c>
      <c r="T26" s="116" t="str">
        <f t="shared" si="0"/>
        <v>176.4% / $619.97</v>
      </c>
      <c r="U26" s="122"/>
      <c r="V26" s="3"/>
    </row>
    <row r="27" spans="1:22" ht="15" customHeight="1" thickBot="1" x14ac:dyDescent="0.3">
      <c r="A27" s="3"/>
      <c r="B27" s="3"/>
      <c r="C27" s="229"/>
      <c r="D27" s="9"/>
      <c r="E27" s="135" t="s">
        <v>58</v>
      </c>
      <c r="F27" s="133">
        <f>G27-F25</f>
        <v>3.2299999999999995E-2</v>
      </c>
      <c r="G27" s="12">
        <v>7.6399999999999996E-2</v>
      </c>
      <c r="H27" s="9"/>
      <c r="I27" s="3"/>
      <c r="J27" s="3"/>
      <c r="K27" s="3"/>
      <c r="L27" s="3"/>
      <c r="M27" s="9"/>
      <c r="N27" s="234"/>
      <c r="O27" s="227">
        <f>wacc</f>
        <v>4.3452553899625906E-2</v>
      </c>
      <c r="P27" s="224" t="str">
        <f t="shared" ref="P27:Q29" si="1">TEXT((((((fcff*(1+P$24))/ABS($O27-P$24))+SUM($H$17:$K$17)-$C$22+$C$21)/$C$24/$P$19)-1),"0.0%")
&amp;" / "&amp;
TEXT((((fcff*(1+P$24))/ABS($O27-P$24))+SUM($H$17:$K$17)-$C$22+$C$21)/$C$24,"$0.00")</f>
        <v>45.3% / $325.84</v>
      </c>
      <c r="Q27" s="115" t="str">
        <f t="shared" si="1"/>
        <v>73.3% / $388.75</v>
      </c>
      <c r="R27" s="117" t="str">
        <f>TEXT(((((fcff*(1+R$24)/($O27-R$24))+SUM($H$17:$K$17)-$C$22+$C$21)/$C$24/$P$19)-1),"0.0%")
&amp;" / "&amp;
TEXT((((fcff*(1+R$24))/ABS($O27-R$24))+SUM($H$17:$K$17)-$C$22+$C$21)/$C$24,"$0.00")</f>
        <v>113.3% / $478.49</v>
      </c>
      <c r="S27" s="115" t="str">
        <f t="shared" ref="S27:T29" si="2">TEXT((((((fcff*(1+S$24))/ABS($O27-S$24))+SUM($H$17:$K$17)-$C$22+$C$21)/$C$24/$P$19)-1),"0.0%")
&amp;" / "&amp;
TEXT((((fcff*(1+S$24))/ABS($O27-S$24))+SUM($H$17:$K$17)-$C$22+$C$21)/$C$24,"$0.00")</f>
        <v>175.0% / $616.86</v>
      </c>
      <c r="T27" s="116" t="str">
        <f t="shared" si="2"/>
        <v>282.6% / $858.08</v>
      </c>
      <c r="U27" s="122"/>
      <c r="V27" s="3"/>
    </row>
    <row r="28" spans="1:22" ht="15" customHeight="1" thickBot="1" x14ac:dyDescent="0.3">
      <c r="A28" s="3"/>
      <c r="B28" s="3"/>
      <c r="C28" s="180">
        <v>40</v>
      </c>
      <c r="D28" s="9"/>
      <c r="E28" s="137" t="s">
        <v>15</v>
      </c>
      <c r="F28" s="138">
        <f>C22+F22</f>
        <v>47582</v>
      </c>
      <c r="G28" s="9"/>
      <c r="H28" s="9"/>
      <c r="I28" s="9"/>
      <c r="J28" s="9"/>
      <c r="K28" s="9"/>
      <c r="L28" s="9"/>
      <c r="M28" s="9"/>
      <c r="N28" s="234"/>
      <c r="O28" s="226">
        <f>O27-0.005</f>
        <v>3.8452553899625909E-2</v>
      </c>
      <c r="P28" s="224" t="str">
        <f t="shared" si="1"/>
        <v>72.4% / $386.74</v>
      </c>
      <c r="Q28" s="115" t="str">
        <f t="shared" si="1"/>
        <v>112.3% / $476.04</v>
      </c>
      <c r="R28" s="115" t="str">
        <f>TEXT((((((fcff*(1+R$24))/ABS($O28-R$24))+SUM($H$17:$K$17)-$C$22+$C$21)/$C$24/$P$19)-1),"0.0%")
&amp;" / "&amp;
TEXT((((fcff*(1+R$24))/ABS($O28-R$24))+SUM($H$17:$K$17)-$C$22+$C$21)/$C$24,"$0.00")</f>
        <v>173.7% / $613.75</v>
      </c>
      <c r="S28" s="115" t="str">
        <f t="shared" si="2"/>
        <v>280.7% / $853.82</v>
      </c>
      <c r="T28" s="116" t="str">
        <f t="shared" si="2"/>
        <v>514.4% / $1377.90</v>
      </c>
      <c r="U28" s="122"/>
      <c r="V28" s="3"/>
    </row>
    <row r="29" spans="1:22" ht="15" customHeight="1" x14ac:dyDescent="0.25">
      <c r="A29" s="3"/>
      <c r="B29" s="3"/>
      <c r="C29" s="3"/>
      <c r="D29" s="120"/>
      <c r="E29" s="125"/>
      <c r="F29" s="9"/>
      <c r="G29" s="120"/>
      <c r="H29" s="120"/>
      <c r="I29" s="120"/>
      <c r="J29" s="120"/>
      <c r="K29" s="120"/>
      <c r="L29" s="120"/>
      <c r="M29" s="120"/>
      <c r="N29" s="234"/>
      <c r="O29" s="226">
        <f>O28-0.005</f>
        <v>3.3452553899625911E-2</v>
      </c>
      <c r="P29" s="225" t="str">
        <f t="shared" si="1"/>
        <v>111.2% / $473.60</v>
      </c>
      <c r="Q29" s="118" t="str">
        <f t="shared" si="1"/>
        <v>172.3% / $610.64</v>
      </c>
      <c r="R29" s="118" t="str">
        <f>TEXT((((((fcff*(1+R$24))/ABS($O29-R$24))+SUM($H$17:$K$17)-$C$22+$C$21)/$C$24/$P$19)-1),"0.0%")
&amp;" / "&amp;
TEXT((((fcff*(1+R$24))/ABS($O29-R$24))+SUM($H$17:$K$17)-$C$22+$C$21)/$C$24,"$0.00")</f>
        <v>278.8% / $849.55</v>
      </c>
      <c r="S29" s="118" t="str">
        <f t="shared" si="2"/>
        <v>511.3% / $1371.11</v>
      </c>
      <c r="T29" s="119" t="str">
        <f t="shared" si="2"/>
        <v>1417.5% / $3403.34</v>
      </c>
      <c r="U29" s="122"/>
      <c r="V29" s="3"/>
    </row>
    <row r="30" spans="1:22" ht="15" customHeight="1" x14ac:dyDescent="0.25">
      <c r="A30" s="3"/>
      <c r="B30" s="3"/>
      <c r="C30" s="3"/>
      <c r="D30" s="9"/>
      <c r="E30" s="3"/>
      <c r="F30" s="9"/>
      <c r="G30" s="9"/>
      <c r="H30" s="9"/>
      <c r="I30" s="9"/>
      <c r="J30" s="9"/>
      <c r="K30" s="9"/>
      <c r="L30" s="9"/>
      <c r="M30" s="9"/>
      <c r="N30" s="3"/>
      <c r="V30" s="3"/>
    </row>
    <row r="31" spans="1:22" ht="16.350000000000001" customHeight="1" x14ac:dyDescent="0.25">
      <c r="A31" s="3"/>
      <c r="B31" s="3"/>
      <c r="C31" s="3"/>
      <c r="D31" s="9"/>
      <c r="E31" s="9"/>
      <c r="F31" s="9"/>
      <c r="G31" s="9"/>
      <c r="H31" s="9"/>
      <c r="I31" s="9"/>
      <c r="J31" s="9"/>
      <c r="K31" s="9"/>
      <c r="L31" s="9"/>
      <c r="M31" s="9"/>
      <c r="N31" s="3"/>
      <c r="V31" s="3"/>
    </row>
    <row r="32" spans="1:22" ht="15" customHeight="1" x14ac:dyDescent="0.25">
      <c r="A32" s="3"/>
      <c r="B32" s="3"/>
      <c r="C32" s="3"/>
      <c r="D32" s="3">
        <f>(D16-C16)/C16</f>
        <v>-1.7717660506763194E-2</v>
      </c>
      <c r="E32" s="3">
        <f t="shared" ref="E32:I32" si="3">(E16-D16)/D16</f>
        <v>8.8634600465477109E-2</v>
      </c>
      <c r="F32" s="3">
        <f t="shared" si="3"/>
        <v>8.6050240513094609E-2</v>
      </c>
      <c r="G32" s="3">
        <f t="shared" si="3"/>
        <v>-5.8070866141732284E-2</v>
      </c>
      <c r="H32" s="3">
        <f t="shared" si="3"/>
        <v>-0.15603796586555213</v>
      </c>
      <c r="I32" s="3">
        <f t="shared" si="3"/>
        <v>0.24654738002034654</v>
      </c>
      <c r="J32" s="3"/>
      <c r="K32" s="3"/>
      <c r="L32" s="3"/>
      <c r="M32" s="3"/>
    </row>
    <row r="33" spans="1:13" ht="15" customHeight="1" x14ac:dyDescent="0.25">
      <c r="A33" s="3"/>
      <c r="B33" s="3"/>
      <c r="C33" s="3"/>
      <c r="D33" s="127"/>
      <c r="E33" s="3"/>
      <c r="F33" s="3"/>
      <c r="G33" s="3"/>
      <c r="H33" s="3"/>
      <c r="I33" s="3"/>
      <c r="J33" s="3"/>
      <c r="K33" s="3"/>
      <c r="L33" s="3"/>
      <c r="M33" s="3"/>
    </row>
    <row r="34" spans="1:13" ht="15" customHeight="1" x14ac:dyDescent="0.25">
      <c r="A34" s="3"/>
      <c r="B34" s="3"/>
      <c r="C34" s="3"/>
      <c r="D34" s="3"/>
      <c r="E34" s="128"/>
      <c r="F34" s="3"/>
      <c r="G34" s="3"/>
      <c r="H34" s="3"/>
      <c r="I34" s="3"/>
      <c r="J34" s="3"/>
      <c r="K34" s="3"/>
      <c r="L34" s="3"/>
      <c r="M34" s="3"/>
    </row>
    <row r="35" spans="1:13" ht="15" customHeight="1" x14ac:dyDescent="0.25">
      <c r="A35" s="3"/>
      <c r="B35" s="3"/>
      <c r="C35" s="3"/>
      <c r="D35" s="3"/>
      <c r="E35" s="9"/>
      <c r="F35" s="3"/>
      <c r="G35" s="3"/>
      <c r="H35" s="3"/>
      <c r="I35" s="3"/>
      <c r="J35" s="3"/>
      <c r="K35" s="3"/>
      <c r="L35" s="3"/>
      <c r="M35" s="3"/>
    </row>
    <row r="36" spans="1:13" ht="15" customHeight="1" x14ac:dyDescent="0.25">
      <c r="A36" s="3"/>
      <c r="B36" s="3"/>
      <c r="C36" s="3"/>
      <c r="D36" s="3"/>
      <c r="E36" s="3"/>
      <c r="F36" s="3"/>
      <c r="K36" s="3"/>
      <c r="L36" s="3"/>
      <c r="M36" s="3"/>
    </row>
    <row r="37" spans="1:13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customHeight="1" x14ac:dyDescent="0.25">
      <c r="A38" s="3"/>
      <c r="B38" s="3"/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" customHeight="1" x14ac:dyDescent="0.25">
      <c r="A39" s="3"/>
      <c r="M39" s="3"/>
    </row>
    <row r="40" spans="1:13" ht="15" customHeight="1" x14ac:dyDescent="0.25">
      <c r="C40" s="2"/>
    </row>
    <row r="45" spans="1:13" ht="16.350000000000001" customHeight="1" x14ac:dyDescent="0.25"/>
    <row r="57" ht="16.350000000000001" customHeight="1" x14ac:dyDescent="0.25"/>
    <row r="60" ht="16.350000000000001" customHeight="1" x14ac:dyDescent="0.25"/>
  </sheetData>
  <mergeCells count="2">
    <mergeCell ref="P23:T23"/>
    <mergeCell ref="N25:N29"/>
  </mergeCells>
  <conditionalFormatting sqref="C7:L7 C9:L9 C11:L11 C14:L14">
    <cfRule type="expression" dxfId="1" priority="6">
      <formula>C7&gt;0</formula>
    </cfRule>
    <cfRule type="expression" dxfId="0" priority="7">
      <formula>C7&lt;0</formula>
    </cfRule>
  </conditionalFormatting>
  <conditionalFormatting sqref="P25:T29">
    <cfRule type="colorScale" priority="1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conditionalFormatting sqref="U25:U29">
    <cfRule type="colorScale" priority="2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FF04-4261-40E9-8867-CFBF0DCA1268}">
  <sheetPr>
    <pageSetUpPr fitToPage="1"/>
  </sheetPr>
  <dimension ref="A1:AE54"/>
  <sheetViews>
    <sheetView view="pageBreakPreview" topLeftCell="A7" zoomScale="93" zoomScaleNormal="94" zoomScaleSheetLayoutView="93" workbookViewId="0">
      <selection activeCell="L39" sqref="L39:N39"/>
    </sheetView>
  </sheetViews>
  <sheetFormatPr defaultColWidth="10.85546875" defaultRowHeight="15" customHeight="1" x14ac:dyDescent="0.25"/>
  <cols>
    <col min="1" max="1" width="5.85546875" style="3" customWidth="1"/>
    <col min="2" max="14" width="10.85546875" style="3" customWidth="1"/>
    <col min="15" max="15" width="5.85546875" style="3" customWidth="1"/>
    <col min="16" max="16384" width="10.85546875" style="3"/>
  </cols>
  <sheetData>
    <row r="1" spans="1:16" ht="15" customHeight="1" x14ac:dyDescent="0.25">
      <c r="M1" s="10"/>
      <c r="N1" s="10"/>
      <c r="O1" s="10"/>
      <c r="P1" s="10"/>
    </row>
    <row r="2" spans="1:16" ht="23.25" x14ac:dyDescent="0.25">
      <c r="B2" s="5" t="s">
        <v>53</v>
      </c>
      <c r="D2"/>
      <c r="G2" s="4" t="s">
        <v>42</v>
      </c>
      <c r="M2" s="10"/>
      <c r="N2" s="10"/>
      <c r="O2" s="10"/>
      <c r="P2" s="10"/>
    </row>
    <row r="3" spans="1:16" ht="24" customHeight="1" x14ac:dyDescent="0.25">
      <c r="G3" s="4" t="s">
        <v>43</v>
      </c>
      <c r="M3" s="10"/>
      <c r="N3" s="10"/>
      <c r="O3" s="10"/>
      <c r="P3" s="10"/>
    </row>
    <row r="4" spans="1:16" ht="15" customHeight="1" x14ac:dyDescent="0.25">
      <c r="G4" s="10"/>
      <c r="H4" s="10"/>
      <c r="I4" s="10"/>
      <c r="J4" s="10"/>
    </row>
    <row r="5" spans="1:16" ht="15" customHeight="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6" ht="15" customHeight="1" thickBot="1" x14ac:dyDescent="0.3">
      <c r="A6" s="11"/>
      <c r="B6" s="10"/>
      <c r="C6" s="10"/>
      <c r="D6" s="10"/>
      <c r="E6" s="10"/>
      <c r="F6" s="10"/>
      <c r="G6" s="10"/>
      <c r="H6" s="10"/>
      <c r="I6" s="10"/>
      <c r="J6" s="10"/>
    </row>
    <row r="7" spans="1:16" ht="15" customHeight="1" thickBot="1" x14ac:dyDescent="0.3">
      <c r="A7" s="11"/>
      <c r="B7" s="10"/>
      <c r="C7" s="10"/>
      <c r="D7" s="11"/>
      <c r="E7" s="11"/>
      <c r="F7" s="11"/>
      <c r="G7" s="11"/>
      <c r="H7" s="240" t="s">
        <v>39</v>
      </c>
      <c r="I7" s="241"/>
      <c r="J7" s="242"/>
      <c r="K7" s="240" t="s">
        <v>40</v>
      </c>
      <c r="L7" s="242"/>
      <c r="M7" s="240" t="s">
        <v>41</v>
      </c>
      <c r="N7" s="242"/>
      <c r="O7" s="10"/>
      <c r="P7" s="10"/>
    </row>
    <row r="8" spans="1:16" ht="15.75" thickBot="1" x14ac:dyDescent="0.3">
      <c r="A8" s="11"/>
      <c r="B8" s="15" t="s">
        <v>0</v>
      </c>
      <c r="C8" s="16" t="s">
        <v>37</v>
      </c>
      <c r="D8" s="17" t="s">
        <v>8</v>
      </c>
      <c r="E8" s="17" t="s">
        <v>38</v>
      </c>
      <c r="F8" s="17" t="s">
        <v>5</v>
      </c>
      <c r="G8" s="17" t="s">
        <v>36</v>
      </c>
      <c r="H8" s="18">
        <v>2021</v>
      </c>
      <c r="I8" s="17">
        <v>2022</v>
      </c>
      <c r="J8" s="19">
        <v>2023</v>
      </c>
      <c r="K8" s="18">
        <v>2022</v>
      </c>
      <c r="L8" s="19">
        <v>2023</v>
      </c>
      <c r="M8" s="17">
        <v>2022</v>
      </c>
      <c r="N8" s="19">
        <v>2023</v>
      </c>
      <c r="O8" s="10"/>
      <c r="P8" s="10"/>
    </row>
    <row r="9" spans="1:16" ht="15" customHeight="1" thickBot="1" x14ac:dyDescent="0.3">
      <c r="A9" s="11"/>
      <c r="B9" s="49" t="s">
        <v>54</v>
      </c>
      <c r="C9" s="20" t="s">
        <v>55</v>
      </c>
      <c r="D9" s="21">
        <f>DCF!P19</f>
        <v>224.28</v>
      </c>
      <c r="E9" s="22">
        <f>DCF!C24</f>
        <v>609.9</v>
      </c>
      <c r="F9" s="23">
        <f>Summary!G9</f>
        <v>160746.285</v>
      </c>
      <c r="G9" s="23">
        <f>Summary!G5</f>
        <v>126808.285</v>
      </c>
      <c r="H9" s="24">
        <f>DCF!F6</f>
        <v>21804</v>
      </c>
      <c r="I9" s="23">
        <f>DCF!G6</f>
        <v>24875</v>
      </c>
      <c r="J9" s="25">
        <f>DCF!H6</f>
        <v>23991.759999999998</v>
      </c>
      <c r="K9" s="24">
        <f>Summary!G15</f>
        <v>12593</v>
      </c>
      <c r="L9" s="25">
        <f>Summary!I15</f>
        <v>11291.6</v>
      </c>
      <c r="M9" s="23">
        <f>Summary!G17</f>
        <v>7067</v>
      </c>
      <c r="N9" s="25">
        <f>Summary!I17</f>
        <v>6251.192</v>
      </c>
      <c r="O9" s="10"/>
      <c r="P9" s="10"/>
    </row>
    <row r="10" spans="1:16" ht="15" customHeight="1" x14ac:dyDescent="0.25">
      <c r="A10" s="11"/>
      <c r="B10" s="50" t="s">
        <v>461</v>
      </c>
      <c r="C10" s="26" t="s">
        <v>65</v>
      </c>
      <c r="D10" s="27">
        <v>0.73</v>
      </c>
      <c r="E10" s="28">
        <v>24327</v>
      </c>
      <c r="F10" s="29">
        <v>22821</v>
      </c>
      <c r="G10" s="29">
        <v>19479</v>
      </c>
      <c r="H10" s="30">
        <v>35000</v>
      </c>
      <c r="I10" s="29">
        <v>33152</v>
      </c>
      <c r="J10" s="31">
        <v>33384</v>
      </c>
      <c r="K10" s="30">
        <v>3008</v>
      </c>
      <c r="L10" s="31">
        <v>3119</v>
      </c>
      <c r="M10" s="29">
        <v>1411</v>
      </c>
      <c r="N10" s="31">
        <v>1688</v>
      </c>
      <c r="O10" s="10"/>
      <c r="P10" s="10"/>
    </row>
    <row r="11" spans="1:16" ht="15" customHeight="1" x14ac:dyDescent="0.25">
      <c r="A11" s="11"/>
      <c r="B11" s="51" t="s">
        <v>462</v>
      </c>
      <c r="C11" s="32" t="s">
        <v>66</v>
      </c>
      <c r="D11" s="33">
        <v>1.31</v>
      </c>
      <c r="E11" s="34">
        <v>783</v>
      </c>
      <c r="F11" s="35">
        <v>1132</v>
      </c>
      <c r="G11" s="35">
        <v>1028</v>
      </c>
      <c r="H11" s="36">
        <v>588</v>
      </c>
      <c r="I11" s="35">
        <v>525.6</v>
      </c>
      <c r="J11" s="37">
        <v>523.70000000000005</v>
      </c>
      <c r="K11" s="36">
        <v>47.5</v>
      </c>
      <c r="L11" s="37">
        <v>52.9</v>
      </c>
      <c r="M11" s="35">
        <v>26.3</v>
      </c>
      <c r="N11" s="37">
        <v>35.200000000000003</v>
      </c>
      <c r="O11" s="10"/>
      <c r="P11" s="10"/>
    </row>
    <row r="12" spans="1:16" ht="15" customHeight="1" x14ac:dyDescent="0.25">
      <c r="A12" s="11"/>
      <c r="B12" s="51" t="s">
        <v>56</v>
      </c>
      <c r="C12" s="32" t="s">
        <v>67</v>
      </c>
      <c r="D12" s="33">
        <v>35.81</v>
      </c>
      <c r="E12" s="34">
        <v>31.1</v>
      </c>
      <c r="F12" s="35">
        <v>2725.2</v>
      </c>
      <c r="G12" s="35">
        <v>1114</v>
      </c>
      <c r="H12" s="36">
        <v>1748</v>
      </c>
      <c r="I12" s="35">
        <v>2997</v>
      </c>
      <c r="J12" s="37">
        <v>3944</v>
      </c>
      <c r="K12" s="36">
        <v>193.5</v>
      </c>
      <c r="L12" s="37">
        <v>325.7</v>
      </c>
      <c r="M12" s="35">
        <v>17.5</v>
      </c>
      <c r="N12" s="37">
        <v>85.7</v>
      </c>
      <c r="O12" s="10"/>
      <c r="P12" s="10"/>
    </row>
    <row r="13" spans="1:16" ht="15" customHeight="1" x14ac:dyDescent="0.25">
      <c r="A13" s="11"/>
      <c r="B13" s="51" t="s">
        <v>463</v>
      </c>
      <c r="C13" s="32" t="s">
        <v>68</v>
      </c>
      <c r="D13" s="33">
        <v>35.92</v>
      </c>
      <c r="E13" s="34">
        <v>100</v>
      </c>
      <c r="F13" s="35">
        <v>3815</v>
      </c>
      <c r="G13" s="35">
        <v>3592</v>
      </c>
      <c r="H13" s="36">
        <v>3976</v>
      </c>
      <c r="I13" s="35">
        <v>3930</v>
      </c>
      <c r="J13" s="37">
        <v>4317</v>
      </c>
      <c r="K13" s="36">
        <v>322</v>
      </c>
      <c r="L13" s="37">
        <v>367</v>
      </c>
      <c r="M13" s="35">
        <v>75</v>
      </c>
      <c r="N13" s="37">
        <v>163</v>
      </c>
      <c r="O13" s="10"/>
      <c r="P13" s="10"/>
    </row>
    <row r="14" spans="1:16" ht="15" customHeight="1" x14ac:dyDescent="0.25">
      <c r="A14" s="11"/>
      <c r="B14" s="58" t="s">
        <v>464</v>
      </c>
      <c r="C14" s="59" t="s">
        <v>466</v>
      </c>
      <c r="D14" s="60">
        <v>30.8</v>
      </c>
      <c r="E14" s="61">
        <v>34.299999999999997</v>
      </c>
      <c r="F14" s="62">
        <v>1374</v>
      </c>
      <c r="G14" s="62">
        <v>1056</v>
      </c>
      <c r="H14" s="63">
        <v>3480</v>
      </c>
      <c r="I14" s="62">
        <v>3334</v>
      </c>
      <c r="J14" s="64">
        <v>3958</v>
      </c>
      <c r="K14" s="63">
        <v>244.6</v>
      </c>
      <c r="L14" s="64">
        <v>295.60000000000002</v>
      </c>
      <c r="M14" s="62">
        <v>52.6</v>
      </c>
      <c r="N14" s="64">
        <v>79</v>
      </c>
      <c r="O14" s="10"/>
      <c r="P14" s="10"/>
    </row>
    <row r="15" spans="1:16" ht="15" customHeight="1" x14ac:dyDescent="0.25">
      <c r="A15" s="11"/>
      <c r="B15" s="51" t="s">
        <v>465</v>
      </c>
      <c r="C15" s="32" t="s">
        <v>69</v>
      </c>
      <c r="D15" s="33">
        <v>14.38</v>
      </c>
      <c r="E15" s="34">
        <v>384.3</v>
      </c>
      <c r="F15" s="35">
        <v>12050</v>
      </c>
      <c r="G15" s="35">
        <v>5514</v>
      </c>
      <c r="H15" s="36">
        <v>10252</v>
      </c>
      <c r="I15" s="35">
        <v>17983</v>
      </c>
      <c r="J15" s="37">
        <v>17189</v>
      </c>
      <c r="K15" s="36">
        <v>1162</v>
      </c>
      <c r="L15" s="37">
        <v>1203</v>
      </c>
      <c r="M15" s="35">
        <v>-436.5</v>
      </c>
      <c r="N15" s="37">
        <v>135.5</v>
      </c>
      <c r="O15" s="10"/>
      <c r="P15" s="10"/>
    </row>
    <row r="16" spans="1:16" ht="15" customHeight="1" x14ac:dyDescent="0.25">
      <c r="A16" s="11"/>
      <c r="B16" s="51" t="s">
        <v>474</v>
      </c>
      <c r="C16" s="32" t="s">
        <v>475</v>
      </c>
      <c r="D16" s="33">
        <v>30.45</v>
      </c>
      <c r="E16" s="34">
        <v>1980</v>
      </c>
      <c r="F16" s="35">
        <v>77680</v>
      </c>
      <c r="G16" s="35">
        <v>60163</v>
      </c>
      <c r="H16" s="36">
        <v>12550</v>
      </c>
      <c r="I16" s="35">
        <v>14853</v>
      </c>
      <c r="J16" s="37">
        <v>14707</v>
      </c>
      <c r="K16" s="36">
        <v>7656</v>
      </c>
      <c r="L16" s="37">
        <v>7437</v>
      </c>
      <c r="M16" s="35">
        <v>4166</v>
      </c>
      <c r="N16" s="37">
        <v>3847</v>
      </c>
      <c r="O16" s="10"/>
      <c r="P16" s="10"/>
    </row>
    <row r="17" spans="1:31" ht="15" customHeight="1" x14ac:dyDescent="0.25">
      <c r="A17" s="11"/>
      <c r="B17" s="51" t="s">
        <v>476</v>
      </c>
      <c r="C17" s="32" t="s">
        <v>477</v>
      </c>
      <c r="D17" s="33">
        <v>199.07</v>
      </c>
      <c r="E17" s="34">
        <v>226.14</v>
      </c>
      <c r="F17" s="35">
        <v>60090</v>
      </c>
      <c r="G17" s="35">
        <v>45017</v>
      </c>
      <c r="H17" s="36">
        <v>11142</v>
      </c>
      <c r="I17" s="35">
        <v>12745</v>
      </c>
      <c r="J17" s="37">
        <v>12320</v>
      </c>
      <c r="K17" s="36">
        <v>6043</v>
      </c>
      <c r="L17" s="37">
        <v>4688</v>
      </c>
      <c r="M17" s="35">
        <v>3270</v>
      </c>
      <c r="N17" s="37">
        <v>2090</v>
      </c>
      <c r="O17" s="10"/>
      <c r="P17" s="10"/>
    </row>
    <row r="18" spans="1:31" ht="15" customHeight="1" x14ac:dyDescent="0.25">
      <c r="A18" s="11"/>
      <c r="B18" s="58" t="s">
        <v>478</v>
      </c>
      <c r="C18" s="59" t="s">
        <v>479</v>
      </c>
      <c r="D18" s="60">
        <v>112.54</v>
      </c>
      <c r="E18" s="61">
        <v>647.70000000000005</v>
      </c>
      <c r="F18" s="62">
        <v>86100</v>
      </c>
      <c r="G18" s="62">
        <v>72908</v>
      </c>
      <c r="H18" s="63">
        <v>14477</v>
      </c>
      <c r="I18" s="62">
        <v>17107</v>
      </c>
      <c r="J18" s="64">
        <v>16899</v>
      </c>
      <c r="K18" s="63">
        <v>9040</v>
      </c>
      <c r="L18" s="64">
        <v>8978</v>
      </c>
      <c r="M18" s="62">
        <v>5118</v>
      </c>
      <c r="N18" s="64">
        <v>4915</v>
      </c>
      <c r="O18" s="10"/>
      <c r="P18" s="10"/>
    </row>
    <row r="19" spans="1:31" ht="15" customHeight="1" x14ac:dyDescent="0.25">
      <c r="A19" s="11"/>
      <c r="B19" s="51" t="s">
        <v>480</v>
      </c>
      <c r="C19" s="32" t="s">
        <v>481</v>
      </c>
      <c r="D19" s="33">
        <v>23.32</v>
      </c>
      <c r="E19" s="34">
        <v>81.87</v>
      </c>
      <c r="F19" s="35">
        <v>7580</v>
      </c>
      <c r="G19" s="35">
        <v>1909</v>
      </c>
      <c r="H19" s="36">
        <v>1516</v>
      </c>
      <c r="I19" s="35">
        <v>1977</v>
      </c>
      <c r="J19" s="37">
        <v>2451</v>
      </c>
      <c r="K19" s="36">
        <v>334</v>
      </c>
      <c r="L19" s="37">
        <v>658</v>
      </c>
      <c r="M19" s="35">
        <v>86</v>
      </c>
      <c r="N19" s="37">
        <v>94</v>
      </c>
      <c r="O19" s="10"/>
      <c r="P19" s="10"/>
    </row>
    <row r="20" spans="1:31" ht="15" customHeight="1" x14ac:dyDescent="0.25">
      <c r="A20" s="11"/>
      <c r="B20" s="58" t="s">
        <v>482</v>
      </c>
      <c r="C20" s="59" t="s">
        <v>483</v>
      </c>
      <c r="D20" s="60">
        <v>215.33</v>
      </c>
      <c r="E20" s="61">
        <v>609.6</v>
      </c>
      <c r="F20" s="62">
        <v>161370</v>
      </c>
      <c r="G20" s="62">
        <v>127650</v>
      </c>
      <c r="H20" s="63">
        <v>21804</v>
      </c>
      <c r="I20" s="62">
        <v>24875</v>
      </c>
      <c r="J20" s="64">
        <v>24140</v>
      </c>
      <c r="K20" s="63">
        <v>12589</v>
      </c>
      <c r="L20" s="64">
        <v>11860</v>
      </c>
      <c r="M20" s="62">
        <v>6998</v>
      </c>
      <c r="N20" s="64">
        <v>6365</v>
      </c>
      <c r="O20" s="10"/>
      <c r="P20" s="10"/>
    </row>
    <row r="21" spans="1:31" ht="15" customHeight="1" thickBot="1" x14ac:dyDescent="0.3">
      <c r="A21" s="11"/>
      <c r="B21" s="52" t="s">
        <v>484</v>
      </c>
      <c r="C21" s="38" t="s">
        <v>485</v>
      </c>
      <c r="D21" s="39">
        <v>16.09</v>
      </c>
      <c r="E21" s="40">
        <v>540</v>
      </c>
      <c r="F21" s="41">
        <v>12620</v>
      </c>
      <c r="G21" s="41">
        <v>8490</v>
      </c>
      <c r="H21" s="42">
        <v>774</v>
      </c>
      <c r="I21" s="41">
        <v>1606</v>
      </c>
      <c r="J21" s="43">
        <v>1962</v>
      </c>
      <c r="K21" s="42">
        <v>460</v>
      </c>
      <c r="L21" s="43">
        <v>617</v>
      </c>
      <c r="M21" s="41">
        <v>252</v>
      </c>
      <c r="N21" s="43">
        <v>358</v>
      </c>
      <c r="O21" s="10"/>
      <c r="P21" s="10"/>
    </row>
    <row r="22" spans="1:31" ht="15" customHeight="1" thickBot="1" x14ac:dyDescent="0.3">
      <c r="A22" s="1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48"/>
      <c r="N22" s="48"/>
      <c r="O22" s="10"/>
      <c r="P22" s="10"/>
    </row>
    <row r="23" spans="1:31" ht="15" customHeight="1" x14ac:dyDescent="0.25">
      <c r="A23" s="11"/>
      <c r="B23" s="11"/>
      <c r="C23" s="240" t="s">
        <v>24</v>
      </c>
      <c r="D23" s="242"/>
      <c r="E23" s="240" t="s">
        <v>25</v>
      </c>
      <c r="F23" s="242"/>
      <c r="G23" s="240" t="s">
        <v>26</v>
      </c>
      <c r="H23" s="242"/>
      <c r="I23" s="240" t="s">
        <v>27</v>
      </c>
      <c r="J23" s="242"/>
      <c r="K23" s="240" t="s">
        <v>28</v>
      </c>
      <c r="L23" s="242"/>
      <c r="M23" s="240" t="s">
        <v>29</v>
      </c>
      <c r="N23" s="242"/>
      <c r="O23" s="10"/>
      <c r="P23" s="10"/>
      <c r="R23" s="180"/>
    </row>
    <row r="24" spans="1:31" ht="15" customHeight="1" thickBot="1" x14ac:dyDescent="0.3">
      <c r="A24" s="11"/>
      <c r="B24" s="11"/>
      <c r="C24" s="13">
        <v>2022</v>
      </c>
      <c r="D24" s="14">
        <v>2023</v>
      </c>
      <c r="E24" s="13">
        <v>2022</v>
      </c>
      <c r="F24" s="14">
        <v>2023</v>
      </c>
      <c r="G24" s="13">
        <v>2022</v>
      </c>
      <c r="H24" s="14">
        <v>2023</v>
      </c>
      <c r="I24" s="13">
        <v>2022</v>
      </c>
      <c r="J24" s="14">
        <v>2023</v>
      </c>
      <c r="K24" s="13">
        <v>2022</v>
      </c>
      <c r="L24" s="14">
        <v>2023</v>
      </c>
      <c r="M24" s="13">
        <v>2022</v>
      </c>
      <c r="N24" s="14">
        <v>2023</v>
      </c>
      <c r="O24" s="10"/>
      <c r="P24" s="10"/>
      <c r="Q24" s="12"/>
      <c r="R24" s="9"/>
    </row>
    <row r="25" spans="1:31" ht="15" customHeight="1" thickBot="1" x14ac:dyDescent="0.3">
      <c r="A25" s="182">
        <v>0</v>
      </c>
      <c r="B25" s="151" t="str">
        <f t="shared" ref="B25:B31" si="0">B9</f>
        <v>WAB</v>
      </c>
      <c r="C25" s="143">
        <f t="shared" ref="C25:D31" si="1">I9/H9-1</f>
        <v>0.14084571638231513</v>
      </c>
      <c r="D25" s="144">
        <f t="shared" si="1"/>
        <v>-3.5507135678392032E-2</v>
      </c>
      <c r="E25" s="143">
        <f>K9/I9</f>
        <v>0.50625125628140699</v>
      </c>
      <c r="F25" s="144">
        <f t="shared" ref="E25:F31" si="2">L9/J9</f>
        <v>0.47064492142302194</v>
      </c>
      <c r="G25" s="143">
        <f t="shared" ref="G25:H31" si="3">M9/I9</f>
        <v>0.2841005025125628</v>
      </c>
      <c r="H25" s="144">
        <f t="shared" si="3"/>
        <v>0.26055579082151542</v>
      </c>
      <c r="I25" s="145">
        <f>$F9/I9</f>
        <v>6.4621622110552766</v>
      </c>
      <c r="J25" s="146">
        <f t="shared" ref="I25:L32" si="4">$F9/J9</f>
        <v>6.7000622296988634</v>
      </c>
      <c r="K25" s="145">
        <f t="shared" si="4"/>
        <v>12.764733185102836</v>
      </c>
      <c r="L25" s="146">
        <f t="shared" si="4"/>
        <v>14.235917407630451</v>
      </c>
      <c r="M25" s="145">
        <f t="shared" ref="M25:N31" si="5">$G9/M9</f>
        <v>17.943722230083488</v>
      </c>
      <c r="N25" s="146">
        <f t="shared" si="5"/>
        <v>20.285456757687175</v>
      </c>
      <c r="O25" s="11"/>
      <c r="P25" s="11"/>
      <c r="Q25" s="57"/>
      <c r="R25" s="5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1" ht="15" customHeight="1" x14ac:dyDescent="0.25">
      <c r="A26" s="182">
        <v>1</v>
      </c>
      <c r="B26" s="152" t="str">
        <f t="shared" si="0"/>
        <v>CRRC</v>
      </c>
      <c r="C26" s="153">
        <f t="shared" si="1"/>
        <v>-5.2799999999999958E-2</v>
      </c>
      <c r="D26" s="162">
        <f t="shared" si="1"/>
        <v>6.9980694980695812E-3</v>
      </c>
      <c r="E26" s="163">
        <f t="shared" si="2"/>
        <v>9.0733590733590733E-2</v>
      </c>
      <c r="F26" s="162">
        <f t="shared" si="2"/>
        <v>9.3427989456026844E-2</v>
      </c>
      <c r="G26" s="163">
        <f t="shared" si="3"/>
        <v>4.2561534749034749E-2</v>
      </c>
      <c r="H26" s="162">
        <f t="shared" si="3"/>
        <v>5.0563144021087948E-2</v>
      </c>
      <c r="I26" s="154">
        <f t="shared" si="4"/>
        <v>0.68837475868725873</v>
      </c>
      <c r="J26" s="161">
        <f t="shared" si="4"/>
        <v>0.68359094176851187</v>
      </c>
      <c r="K26" s="154">
        <f t="shared" si="4"/>
        <v>7.5867686170212769</v>
      </c>
      <c r="L26" s="161">
        <f t="shared" si="4"/>
        <v>7.3167681949342738</v>
      </c>
      <c r="M26" s="154">
        <f t="shared" si="5"/>
        <v>13.805102763997166</v>
      </c>
      <c r="N26" s="161">
        <f t="shared" si="5"/>
        <v>11.539691943127963</v>
      </c>
      <c r="O26" s="10"/>
      <c r="P26" s="10"/>
      <c r="Q26" s="88"/>
      <c r="S26" s="11"/>
      <c r="T26" s="11"/>
      <c r="U26" s="11"/>
      <c r="AE26" s="47"/>
    </row>
    <row r="27" spans="1:31" ht="15" customHeight="1" x14ac:dyDescent="0.25">
      <c r="A27" s="182">
        <v>2</v>
      </c>
      <c r="B27" s="155" t="str">
        <f t="shared" si="0"/>
        <v>KTK</v>
      </c>
      <c r="C27" s="156">
        <f t="shared" si="1"/>
        <v>-0.10612244897959178</v>
      </c>
      <c r="D27" s="164">
        <f t="shared" si="1"/>
        <v>-3.6149162861490725E-3</v>
      </c>
      <c r="E27" s="165">
        <f t="shared" si="2"/>
        <v>9.0372907153729073E-2</v>
      </c>
      <c r="F27" s="164">
        <f t="shared" si="2"/>
        <v>0.10101202978804658</v>
      </c>
      <c r="G27" s="165">
        <f t="shared" si="3"/>
        <v>5.0038051750380515E-2</v>
      </c>
      <c r="H27" s="164">
        <f t="shared" si="3"/>
        <v>6.721405384762269E-2</v>
      </c>
      <c r="I27" s="157">
        <f t="shared" si="4"/>
        <v>2.1537290715372905</v>
      </c>
      <c r="J27" s="147">
        <f t="shared" si="4"/>
        <v>2.1615428680542292</v>
      </c>
      <c r="K27" s="157">
        <f t="shared" si="4"/>
        <v>23.831578947368421</v>
      </c>
      <c r="L27" s="147">
        <f t="shared" si="4"/>
        <v>21.398865784499055</v>
      </c>
      <c r="M27" s="157">
        <f t="shared" si="5"/>
        <v>39.087452471482891</v>
      </c>
      <c r="N27" s="147">
        <f t="shared" si="5"/>
        <v>29.204545454545453</v>
      </c>
      <c r="O27" s="10"/>
      <c r="P27" s="10"/>
      <c r="Q27" s="88"/>
      <c r="T27" s="11"/>
      <c r="U27" s="11"/>
    </row>
    <row r="28" spans="1:31" ht="15" customHeight="1" x14ac:dyDescent="0.25">
      <c r="A28" s="182">
        <v>3</v>
      </c>
      <c r="B28" s="155" t="str">
        <f t="shared" si="0"/>
        <v>GBX</v>
      </c>
      <c r="C28" s="156">
        <f t="shared" si="1"/>
        <v>0.71453089244851253</v>
      </c>
      <c r="D28" s="164">
        <f t="shared" si="1"/>
        <v>0.31598264931598274</v>
      </c>
      <c r="E28" s="165">
        <f t="shared" si="2"/>
        <v>6.4564564564564567E-2</v>
      </c>
      <c r="F28" s="164">
        <f t="shared" si="2"/>
        <v>8.258113590263691E-2</v>
      </c>
      <c r="G28" s="165">
        <f t="shared" si="3"/>
        <v>5.8391725058391727E-3</v>
      </c>
      <c r="H28" s="164">
        <f t="shared" si="3"/>
        <v>2.1729208924949291E-2</v>
      </c>
      <c r="I28" s="157">
        <f t="shared" si="4"/>
        <v>0.9093093093093092</v>
      </c>
      <c r="J28" s="147">
        <f t="shared" si="4"/>
        <v>0.69097363083164298</v>
      </c>
      <c r="K28" s="157">
        <f t="shared" si="4"/>
        <v>14.083720930232557</v>
      </c>
      <c r="L28" s="147">
        <f t="shared" si="4"/>
        <v>8.3672090881178995</v>
      </c>
      <c r="M28" s="157">
        <f t="shared" si="5"/>
        <v>63.657142857142858</v>
      </c>
      <c r="N28" s="147">
        <f t="shared" si="5"/>
        <v>12.998833138856476</v>
      </c>
      <c r="O28" s="10"/>
      <c r="P28" s="10"/>
      <c r="Q28" s="88"/>
      <c r="T28" s="47"/>
      <c r="U28" s="47"/>
    </row>
    <row r="29" spans="1:31" ht="15" customHeight="1" x14ac:dyDescent="0.25">
      <c r="A29" s="182">
        <v>4</v>
      </c>
      <c r="B29" s="155" t="str">
        <f t="shared" si="0"/>
        <v>SRAIL</v>
      </c>
      <c r="C29" s="156">
        <f t="shared" si="1"/>
        <v>-1.1569416498994012E-2</v>
      </c>
      <c r="D29" s="164">
        <f t="shared" si="1"/>
        <v>9.8473282442748111E-2</v>
      </c>
      <c r="E29" s="165">
        <f t="shared" si="2"/>
        <v>8.1933842239185747E-2</v>
      </c>
      <c r="F29" s="164">
        <f t="shared" si="2"/>
        <v>8.5012740328932135E-2</v>
      </c>
      <c r="G29" s="165">
        <f t="shared" si="3"/>
        <v>1.9083969465648856E-2</v>
      </c>
      <c r="H29" s="164">
        <f t="shared" si="3"/>
        <v>3.775770210794533E-2</v>
      </c>
      <c r="I29" s="157">
        <f t="shared" si="4"/>
        <v>0.97073791348600513</v>
      </c>
      <c r="J29" s="147">
        <f t="shared" si="4"/>
        <v>0.88371554320129719</v>
      </c>
      <c r="K29" s="157">
        <f t="shared" si="4"/>
        <v>11.847826086956522</v>
      </c>
      <c r="L29" s="147">
        <f t="shared" si="4"/>
        <v>10.395095367847411</v>
      </c>
      <c r="M29" s="157">
        <f t="shared" si="5"/>
        <v>47.893333333333331</v>
      </c>
      <c r="N29" s="147">
        <f t="shared" si="5"/>
        <v>22.036809815950921</v>
      </c>
      <c r="O29" s="10"/>
      <c r="P29" s="10"/>
      <c r="Q29" s="88"/>
      <c r="T29" s="47"/>
      <c r="U29" s="47"/>
    </row>
    <row r="30" spans="1:31" ht="15" customHeight="1" x14ac:dyDescent="0.25">
      <c r="A30" s="182">
        <v>5</v>
      </c>
      <c r="B30" s="155" t="str">
        <f t="shared" si="0"/>
        <v>CAF</v>
      </c>
      <c r="C30" s="156">
        <f t="shared" si="1"/>
        <v>-4.1954022988505701E-2</v>
      </c>
      <c r="D30" s="164">
        <f t="shared" si="1"/>
        <v>0.18716256748650273</v>
      </c>
      <c r="E30" s="165">
        <f t="shared" si="2"/>
        <v>7.3365326934613076E-2</v>
      </c>
      <c r="F30" s="164">
        <f t="shared" si="2"/>
        <v>7.4684183931278431E-2</v>
      </c>
      <c r="G30" s="165">
        <f t="shared" si="3"/>
        <v>1.5776844631073785E-2</v>
      </c>
      <c r="H30" s="164">
        <f t="shared" si="3"/>
        <v>1.9959575543203639E-2</v>
      </c>
      <c r="I30" s="157">
        <f t="shared" si="4"/>
        <v>0.41211757648470304</v>
      </c>
      <c r="J30" s="147">
        <f t="shared" si="4"/>
        <v>0.34714502273875697</v>
      </c>
      <c r="K30" s="157">
        <f t="shared" si="4"/>
        <v>5.6173344235486509</v>
      </c>
      <c r="L30" s="147">
        <f t="shared" si="4"/>
        <v>4.6481732070365354</v>
      </c>
      <c r="M30" s="157">
        <f t="shared" si="5"/>
        <v>20.076045627376427</v>
      </c>
      <c r="N30" s="147">
        <f t="shared" si="5"/>
        <v>13.367088607594937</v>
      </c>
      <c r="O30" s="10"/>
      <c r="P30" s="10"/>
      <c r="Q30" s="88"/>
      <c r="T30" s="47"/>
      <c r="U30" s="47"/>
    </row>
    <row r="31" spans="1:31" ht="15" customHeight="1" x14ac:dyDescent="0.25">
      <c r="A31" s="182">
        <v>6</v>
      </c>
      <c r="B31" s="155" t="str">
        <f t="shared" si="0"/>
        <v>ALO</v>
      </c>
      <c r="C31" s="156">
        <f t="shared" si="1"/>
        <v>0.75409676160749117</v>
      </c>
      <c r="D31" s="164">
        <f t="shared" si="1"/>
        <v>-4.4152810988155489E-2</v>
      </c>
      <c r="E31" s="165">
        <f t="shared" si="2"/>
        <v>6.4616582327753996E-2</v>
      </c>
      <c r="F31" s="164">
        <f t="shared" si="2"/>
        <v>6.9986619349584042E-2</v>
      </c>
      <c r="G31" s="165">
        <f t="shared" si="3"/>
        <v>-2.4272924428627038E-2</v>
      </c>
      <c r="H31" s="164">
        <f t="shared" si="3"/>
        <v>7.8829483972307872E-3</v>
      </c>
      <c r="I31" s="157">
        <f t="shared" si="4"/>
        <v>0.67007729522326642</v>
      </c>
      <c r="J31" s="147">
        <f t="shared" si="4"/>
        <v>0.70102972831461985</v>
      </c>
      <c r="K31" s="157">
        <f t="shared" si="4"/>
        <v>10.370051635111876</v>
      </c>
      <c r="L31" s="147">
        <f t="shared" si="4"/>
        <v>10.016625103906899</v>
      </c>
      <c r="M31" s="157">
        <f t="shared" si="5"/>
        <v>-12.632302405498281</v>
      </c>
      <c r="N31" s="147">
        <f t="shared" si="5"/>
        <v>40.693726937269375</v>
      </c>
      <c r="O31" s="10"/>
      <c r="P31" s="10"/>
      <c r="Q31" s="88"/>
      <c r="T31" s="47"/>
      <c r="U31" s="47"/>
    </row>
    <row r="32" spans="1:31" ht="15" customHeight="1" x14ac:dyDescent="0.25">
      <c r="A32" s="182">
        <v>7</v>
      </c>
      <c r="B32" s="155" t="str">
        <f t="shared" ref="B32:B37" si="6">B16</f>
        <v>CSX</v>
      </c>
      <c r="C32" s="156">
        <f t="shared" ref="C32:D32" si="7">I16/H16-1</f>
        <v>0.18350597609561747</v>
      </c>
      <c r="D32" s="164">
        <f t="shared" si="7"/>
        <v>-9.8296640409344382E-3</v>
      </c>
      <c r="E32" s="165">
        <f t="shared" ref="E32:F32" si="8">K16/I16</f>
        <v>0.51545142395475663</v>
      </c>
      <c r="F32" s="164">
        <f t="shared" si="8"/>
        <v>0.50567756850479362</v>
      </c>
      <c r="G32" s="165">
        <f t="shared" ref="G32:H32" si="9">M16/I16</f>
        <v>0.280482057496802</v>
      </c>
      <c r="H32" s="164">
        <f t="shared" si="9"/>
        <v>0.26157612021486365</v>
      </c>
      <c r="I32" s="157">
        <f t="shared" si="4"/>
        <v>5.2299198815054195</v>
      </c>
      <c r="J32" s="147">
        <f t="shared" si="4"/>
        <v>5.2818385802679</v>
      </c>
      <c r="K32" s="157">
        <f t="shared" si="4"/>
        <v>10.146290491118076</v>
      </c>
      <c r="L32" s="147">
        <f t="shared" si="4"/>
        <v>10.445071937609251</v>
      </c>
      <c r="M32" s="157">
        <f t="shared" ref="M32:N32" si="10">$G16/M16</f>
        <v>14.441430628900624</v>
      </c>
      <c r="N32" s="147">
        <f t="shared" si="10"/>
        <v>15.638939433324669</v>
      </c>
      <c r="O32" s="10"/>
      <c r="P32" s="10"/>
      <c r="Q32" s="88"/>
      <c r="T32" s="47"/>
      <c r="U32" s="47"/>
    </row>
    <row r="33" spans="1:21" ht="15" customHeight="1" x14ac:dyDescent="0.25">
      <c r="A33" s="182">
        <v>8</v>
      </c>
      <c r="B33" s="155" t="str">
        <f>B17</f>
        <v>NSC</v>
      </c>
      <c r="C33" s="156">
        <f t="shared" ref="C33:D33" si="11">I17/H17-1</f>
        <v>0.14387004128522718</v>
      </c>
      <c r="D33" s="164">
        <f t="shared" si="11"/>
        <v>-3.3346410357002698E-2</v>
      </c>
      <c r="E33" s="165">
        <f t="shared" ref="E33:F33" si="12">K17/I17</f>
        <v>0.4741467242055708</v>
      </c>
      <c r="F33" s="164">
        <f t="shared" si="12"/>
        <v>0.38051948051948054</v>
      </c>
      <c r="G33" s="165">
        <f t="shared" ref="G33:H33" si="13">M17/I17</f>
        <v>0.25657120439387993</v>
      </c>
      <c r="H33" s="164">
        <f t="shared" si="13"/>
        <v>0.16964285714285715</v>
      </c>
      <c r="I33" s="157">
        <f t="shared" ref="I33:L33" si="14">$F17/I17</f>
        <v>4.714790113770106</v>
      </c>
      <c r="J33" s="147">
        <f t="shared" si="14"/>
        <v>4.8774350649350646</v>
      </c>
      <c r="K33" s="157">
        <f t="shared" si="14"/>
        <v>9.9437365546913785</v>
      </c>
      <c r="L33" s="147">
        <f t="shared" si="14"/>
        <v>12.81783276450512</v>
      </c>
      <c r="M33" s="157">
        <f t="shared" ref="M33:N33" si="15">$G17/M17</f>
        <v>13.766666666666667</v>
      </c>
      <c r="N33" s="147">
        <f t="shared" si="15"/>
        <v>21.539234449760766</v>
      </c>
      <c r="O33" s="10"/>
      <c r="P33" s="10"/>
      <c r="Q33" s="88"/>
      <c r="T33" s="47"/>
      <c r="U33" s="47"/>
    </row>
    <row r="34" spans="1:21" ht="15" customHeight="1" x14ac:dyDescent="0.25">
      <c r="A34" s="182">
        <v>9</v>
      </c>
      <c r="B34" s="155" t="str">
        <f t="shared" si="6"/>
        <v>CNI</v>
      </c>
      <c r="C34" s="156">
        <f t="shared" ref="C34:D34" si="16">I18/H18-1</f>
        <v>0.18166747254265392</v>
      </c>
      <c r="D34" s="164">
        <f t="shared" si="16"/>
        <v>-1.2158765417665252E-2</v>
      </c>
      <c r="E34" s="165">
        <f t="shared" ref="E34:F34" si="17">K18/I18</f>
        <v>0.52843865084468344</v>
      </c>
      <c r="F34" s="164">
        <f t="shared" si="17"/>
        <v>0.53127403988401678</v>
      </c>
      <c r="G34" s="165">
        <f t="shared" ref="G34:H34" si="18">M18/I18</f>
        <v>0.29917577599812945</v>
      </c>
      <c r="H34" s="164">
        <f t="shared" si="18"/>
        <v>0.29084561216640037</v>
      </c>
      <c r="I34" s="157">
        <f t="shared" ref="I34:L34" si="19">$F18/I18</f>
        <v>5.0330274156777923</v>
      </c>
      <c r="J34" s="147">
        <f t="shared" si="19"/>
        <v>5.0949760340848567</v>
      </c>
      <c r="K34" s="157">
        <f t="shared" si="19"/>
        <v>9.5243362831858409</v>
      </c>
      <c r="L34" s="147">
        <f t="shared" si="19"/>
        <v>9.5901091557139679</v>
      </c>
      <c r="M34" s="157">
        <f t="shared" ref="M34:N34" si="20">$G18/M18</f>
        <v>14.245408362641657</v>
      </c>
      <c r="N34" s="147">
        <f t="shared" si="20"/>
        <v>14.833774160732451</v>
      </c>
      <c r="O34" s="10"/>
      <c r="P34" s="10"/>
      <c r="Q34" s="88"/>
      <c r="T34" s="47"/>
      <c r="U34" s="47"/>
    </row>
    <row r="35" spans="1:21" ht="15" customHeight="1" x14ac:dyDescent="0.25">
      <c r="A35" s="182">
        <v>10</v>
      </c>
      <c r="B35" s="155" t="str">
        <f t="shared" si="6"/>
        <v>TRN</v>
      </c>
      <c r="C35" s="156">
        <f t="shared" ref="C35:D35" si="21">I19/H19-1</f>
        <v>0.30408970976253302</v>
      </c>
      <c r="D35" s="164">
        <f t="shared" si="21"/>
        <v>0.23975720789074351</v>
      </c>
      <c r="E35" s="165">
        <f t="shared" ref="E35:F35" si="22">K19/I19</f>
        <v>0.16894284269094587</v>
      </c>
      <c r="F35" s="164">
        <f t="shared" si="22"/>
        <v>0.26846185230518155</v>
      </c>
      <c r="G35" s="165">
        <f t="shared" ref="G35:H35" si="23">M19/I19</f>
        <v>4.350025290844714E-2</v>
      </c>
      <c r="H35" s="164">
        <f t="shared" si="23"/>
        <v>3.8351693186454511E-2</v>
      </c>
      <c r="I35" s="157">
        <f t="shared" ref="I35:L37" si="24">$F19/I19</f>
        <v>3.8340920586747598</v>
      </c>
      <c r="J35" s="147">
        <f t="shared" si="24"/>
        <v>3.0926152590779274</v>
      </c>
      <c r="K35" s="157">
        <f t="shared" si="24"/>
        <v>22.694610778443113</v>
      </c>
      <c r="L35" s="147">
        <f t="shared" si="24"/>
        <v>11.519756838905774</v>
      </c>
      <c r="M35" s="157">
        <f t="shared" ref="M35:N37" si="25">$G19/M19</f>
        <v>22.197674418604652</v>
      </c>
      <c r="N35" s="147">
        <f t="shared" si="25"/>
        <v>20.308510638297872</v>
      </c>
      <c r="O35" s="10"/>
      <c r="P35" s="10"/>
      <c r="Q35" s="88"/>
      <c r="T35" s="47"/>
      <c r="U35" s="47"/>
    </row>
    <row r="36" spans="1:21" ht="15" customHeight="1" x14ac:dyDescent="0.25">
      <c r="A36" s="182">
        <v>11</v>
      </c>
      <c r="B36" s="155" t="s">
        <v>482</v>
      </c>
      <c r="C36" s="156">
        <f t="shared" ref="C36:C37" si="26">I20/H20-1</f>
        <v>0.14084571638231513</v>
      </c>
      <c r="D36" s="164">
        <f t="shared" ref="D36:D37" si="27">J20/I20-1</f>
        <v>-2.9547738693467385E-2</v>
      </c>
      <c r="E36" s="165">
        <f t="shared" ref="E36:E37" si="28">K20/I20</f>
        <v>0.50609045226130656</v>
      </c>
      <c r="F36" s="164">
        <f t="shared" ref="F36:F37" si="29">L20/J20</f>
        <v>0.49130074565037285</v>
      </c>
      <c r="G36" s="165">
        <f t="shared" ref="G36:G37" si="30">M20/I20</f>
        <v>0.28132663316582912</v>
      </c>
      <c r="H36" s="164">
        <f t="shared" ref="H36:H37" si="31">N20/J20</f>
        <v>0.2636702568351284</v>
      </c>
      <c r="I36" s="157">
        <f t="shared" si="24"/>
        <v>6.4872361809045227</v>
      </c>
      <c r="J36" s="147">
        <f t="shared" si="24"/>
        <v>6.6847555923777966</v>
      </c>
      <c r="K36" s="157">
        <f t="shared" si="24"/>
        <v>12.818333465724045</v>
      </c>
      <c r="L36" s="147">
        <f t="shared" si="24"/>
        <v>13.606239460370995</v>
      </c>
      <c r="M36" s="157">
        <f t="shared" si="25"/>
        <v>18.240925978851099</v>
      </c>
      <c r="N36" s="147">
        <f t="shared" si="25"/>
        <v>20.054988216810685</v>
      </c>
      <c r="O36" s="10"/>
      <c r="P36" s="10"/>
      <c r="Q36" s="88"/>
      <c r="T36" s="47"/>
      <c r="U36" s="47"/>
    </row>
    <row r="37" spans="1:21" ht="15" customHeight="1" thickBot="1" x14ac:dyDescent="0.3">
      <c r="A37" s="182">
        <v>12</v>
      </c>
      <c r="B37" s="158" t="str">
        <f t="shared" si="6"/>
        <v>GET</v>
      </c>
      <c r="C37" s="159">
        <f t="shared" si="26"/>
        <v>1.0749354005167957</v>
      </c>
      <c r="D37" s="166">
        <f t="shared" si="27"/>
        <v>0.22166874221668742</v>
      </c>
      <c r="E37" s="167">
        <f t="shared" si="28"/>
        <v>0.28642590286425901</v>
      </c>
      <c r="F37" s="166">
        <f t="shared" si="29"/>
        <v>0.31447502548419981</v>
      </c>
      <c r="G37" s="167">
        <f t="shared" si="30"/>
        <v>0.1569115815691158</v>
      </c>
      <c r="H37" s="166">
        <f t="shared" si="31"/>
        <v>0.18246687054026503</v>
      </c>
      <c r="I37" s="160">
        <f t="shared" si="24"/>
        <v>7.8580323785803241</v>
      </c>
      <c r="J37" s="148">
        <f t="shared" si="24"/>
        <v>6.4322120285423035</v>
      </c>
      <c r="K37" s="160">
        <f t="shared" si="24"/>
        <v>27.434782608695652</v>
      </c>
      <c r="L37" s="148">
        <f t="shared" si="24"/>
        <v>20.453808752025932</v>
      </c>
      <c r="M37" s="160">
        <f t="shared" si="25"/>
        <v>33.69047619047619</v>
      </c>
      <c r="N37" s="148">
        <f t="shared" si="25"/>
        <v>23.715083798882681</v>
      </c>
      <c r="O37" s="10"/>
      <c r="P37" s="10"/>
      <c r="Q37" s="88"/>
      <c r="T37" s="47"/>
      <c r="U37" s="47"/>
    </row>
    <row r="38" spans="1:21" ht="15" customHeight="1" thickBot="1" x14ac:dyDescent="0.3">
      <c r="A38" s="182"/>
      <c r="B38" s="44"/>
      <c r="C38" s="45"/>
      <c r="D38" s="45"/>
      <c r="E38" s="45"/>
      <c r="F38" s="45"/>
      <c r="G38" s="45"/>
      <c r="H38" s="45"/>
      <c r="I38" s="46"/>
      <c r="J38" s="46"/>
      <c r="K38" s="46"/>
      <c r="L38" s="46"/>
      <c r="M38" s="46"/>
      <c r="N38" s="46"/>
      <c r="O38" s="10"/>
      <c r="P38" s="10"/>
      <c r="T38" s="47"/>
      <c r="U38" s="47"/>
    </row>
    <row r="39" spans="1:21" ht="15" customHeight="1" thickBot="1" x14ac:dyDescent="0.3">
      <c r="A39" s="10"/>
      <c r="B39" s="173"/>
      <c r="C39" s="235" t="s">
        <v>32</v>
      </c>
      <c r="D39" s="236"/>
      <c r="E39" s="237"/>
      <c r="F39" s="235" t="s">
        <v>5</v>
      </c>
      <c r="G39" s="236"/>
      <c r="H39" s="237"/>
      <c r="I39" s="235" t="s">
        <v>6</v>
      </c>
      <c r="J39" s="236"/>
      <c r="K39" s="237"/>
      <c r="L39" s="238" t="s">
        <v>1</v>
      </c>
      <c r="M39" s="239"/>
      <c r="N39" s="239"/>
      <c r="O39" s="10"/>
      <c r="P39" s="10"/>
      <c r="Q39" s="10"/>
    </row>
    <row r="40" spans="1:21" ht="15" customHeight="1" thickBot="1" x14ac:dyDescent="0.3">
      <c r="A40" s="10"/>
      <c r="B40" s="174"/>
      <c r="C40" s="53" t="s">
        <v>3</v>
      </c>
      <c r="D40" s="54" t="s">
        <v>16</v>
      </c>
      <c r="E40" s="55" t="s">
        <v>33</v>
      </c>
      <c r="F40" s="54" t="s">
        <v>3</v>
      </c>
      <c r="G40" s="54" t="s">
        <v>16</v>
      </c>
      <c r="H40" s="56" t="s">
        <v>17</v>
      </c>
      <c r="I40" s="54" t="s">
        <v>3</v>
      </c>
      <c r="J40" s="54" t="s">
        <v>16</v>
      </c>
      <c r="K40" s="56" t="s">
        <v>17</v>
      </c>
      <c r="L40" s="208" t="s">
        <v>8</v>
      </c>
      <c r="M40" s="209" t="s">
        <v>16</v>
      </c>
      <c r="N40" s="210" t="s">
        <v>17</v>
      </c>
      <c r="O40" s="10"/>
      <c r="P40" s="10"/>
      <c r="Q40" s="10"/>
    </row>
    <row r="41" spans="1:21" ht="15" customHeight="1" x14ac:dyDescent="0.25">
      <c r="A41" s="175"/>
      <c r="B41" s="168" t="s">
        <v>34</v>
      </c>
      <c r="C41" s="65">
        <f>MIN(reve)</f>
        <v>0.34714502273875697</v>
      </c>
      <c r="D41" s="66">
        <f>MIN(ebi)</f>
        <v>4.6481732070365354</v>
      </c>
      <c r="E41" s="67">
        <f>MIN(N25:N37)</f>
        <v>11.539691943127963</v>
      </c>
      <c r="F41" s="68">
        <f>C41*$J$9</f>
        <v>8328.6200707427997</v>
      </c>
      <c r="G41" s="68">
        <f>D41*$L$9</f>
        <v>52485.312584573745</v>
      </c>
      <c r="H41" s="69">
        <f>N$9*E41</f>
        <v>72136.829957345981</v>
      </c>
      <c r="I41" s="68">
        <f t="shared" ref="I41:K48" si="32">F41+cash-debt</f>
        <v>-25609.3799292572</v>
      </c>
      <c r="J41" s="68">
        <f t="shared" si="32"/>
        <v>18547.312584573745</v>
      </c>
      <c r="K41" s="69">
        <f t="shared" si="32"/>
        <v>38198.829957345981</v>
      </c>
      <c r="L41" s="181">
        <f t="shared" ref="L41:L48" si="33">I41/E$9</f>
        <v>-41.989473568219708</v>
      </c>
      <c r="M41" s="211">
        <f>J41/E$9</f>
        <v>30.410415780576727</v>
      </c>
      <c r="N41" s="212">
        <f t="shared" ref="N41:N48" si="34">K41/E$9</f>
        <v>62.631300143213615</v>
      </c>
      <c r="O41" s="10"/>
      <c r="P41" s="10"/>
      <c r="Q41" s="10"/>
    </row>
    <row r="42" spans="1:21" ht="15" customHeight="1" x14ac:dyDescent="0.25">
      <c r="A42" s="176"/>
      <c r="B42" s="169" t="s">
        <v>59</v>
      </c>
      <c r="C42" s="70">
        <f>QUARTILE(reve,1)</f>
        <v>0.70102972831461985</v>
      </c>
      <c r="D42" s="71">
        <f>QUARTILE(ebi,1)</f>
        <v>9.5901091557139679</v>
      </c>
      <c r="E42" s="72">
        <f>QUARTILE(N25:N37,1)</f>
        <v>14.833774160732451</v>
      </c>
      <c r="F42" s="73">
        <f>C42*$J$9</f>
        <v>16818.936994589563</v>
      </c>
      <c r="G42" s="149">
        <f>D42*$L$9</f>
        <v>108287.67654265984</v>
      </c>
      <c r="H42" s="150">
        <f>N$9*E42</f>
        <v>92728.770363377407</v>
      </c>
      <c r="I42" s="149">
        <f t="shared" si="32"/>
        <v>-17119.063005410437</v>
      </c>
      <c r="J42" s="149">
        <f t="shared" si="32"/>
        <v>74349.676542659843</v>
      </c>
      <c r="K42" s="150">
        <f t="shared" si="32"/>
        <v>58790.770363377407</v>
      </c>
      <c r="L42" s="80">
        <f t="shared" si="33"/>
        <v>-28.068639130038427</v>
      </c>
      <c r="M42" s="213">
        <f t="shared" ref="M42:M48" si="35">J42/E$9</f>
        <v>121.90470002075725</v>
      </c>
      <c r="N42" s="214">
        <f>K42/E$9</f>
        <v>96.394114384944103</v>
      </c>
      <c r="O42" s="10"/>
      <c r="P42" s="10"/>
      <c r="Q42" s="10"/>
    </row>
    <row r="43" spans="1:21" ht="15" customHeight="1" x14ac:dyDescent="0.25">
      <c r="A43" s="177"/>
      <c r="B43" s="170" t="s">
        <v>486</v>
      </c>
      <c r="C43" s="81">
        <f>C44-0.674*_xlfn.STDEV.S(reve)/SQRT(11)</f>
        <v>2.8357772894594921</v>
      </c>
      <c r="D43" s="82">
        <f>D44-0.674*_xlfn.STDEV.S(ebi)/SQRT(11)</f>
        <v>10.940900924392107</v>
      </c>
      <c r="E43" s="83">
        <f>E44-0.674*_xlfn.STDEV.S(N25:N37)/SQRT(11)</f>
        <v>18.881529879719547</v>
      </c>
      <c r="F43" s="84">
        <f t="shared" ref="F43:F46" si="36">C43*$J$9</f>
        <v>68035.288142162666</v>
      </c>
      <c r="G43" s="85">
        <f t="shared" ref="G43:G46" si="37">D43*$L$9</f>
        <v>123540.27687786592</v>
      </c>
      <c r="H43" s="86">
        <f t="shared" ref="H43:H46" si="38">N$9*E43</f>
        <v>118032.0685318638</v>
      </c>
      <c r="I43" s="85">
        <f t="shared" ref="I43:I46" si="39">F43+cash-debt</f>
        <v>34097.288142162666</v>
      </c>
      <c r="J43" s="85">
        <f t="shared" ref="J43:J46" si="40">G43+cash-debt</f>
        <v>89602.276877865923</v>
      </c>
      <c r="K43" s="86">
        <f t="shared" ref="K43:K46" si="41">H43+cash-debt</f>
        <v>84094.068531863799</v>
      </c>
      <c r="L43" s="87">
        <f t="shared" ref="L43:L46" si="42">I43/E$9</f>
        <v>55.906358652504785</v>
      </c>
      <c r="M43" s="213">
        <f t="shared" ref="M43:M46" si="43">J43/E$9</f>
        <v>146.91306259692723</v>
      </c>
      <c r="N43" s="214">
        <f t="shared" ref="N43:N46" si="44">K43/E$9</f>
        <v>137.88173230343301</v>
      </c>
      <c r="O43" s="10"/>
      <c r="P43" s="10"/>
      <c r="Q43" s="10"/>
    </row>
    <row r="44" spans="1:21" ht="15" customHeight="1" x14ac:dyDescent="0.25">
      <c r="A44" s="178"/>
      <c r="B44" s="171" t="s">
        <v>30</v>
      </c>
      <c r="C44" s="81">
        <f>AVERAGE(reve)</f>
        <v>3.3562994249149054</v>
      </c>
      <c r="D44" s="82">
        <f>AVERAGE(ebi)</f>
        <v>11.908574851007968</v>
      </c>
      <c r="E44" s="83">
        <f>AVERAGE(N25:N37)</f>
        <v>20.478206411757032</v>
      </c>
      <c r="F44" s="85">
        <f t="shared" si="36"/>
        <v>80523.530290696421</v>
      </c>
      <c r="G44" s="85">
        <f t="shared" si="37"/>
        <v>134466.86378764157</v>
      </c>
      <c r="H44" s="86">
        <f t="shared" si="38"/>
        <v>128013.20009552427</v>
      </c>
      <c r="I44" s="85">
        <f t="shared" si="39"/>
        <v>46585.530290696421</v>
      </c>
      <c r="J44" s="85">
        <f t="shared" si="40"/>
        <v>100528.86378764157</v>
      </c>
      <c r="K44" s="86">
        <f t="shared" si="41"/>
        <v>94075.200095524269</v>
      </c>
      <c r="L44" s="87">
        <f t="shared" si="42"/>
        <v>76.382243467283857</v>
      </c>
      <c r="M44" s="213">
        <f t="shared" si="43"/>
        <v>164.82843710057645</v>
      </c>
      <c r="N44" s="214">
        <f t="shared" si="44"/>
        <v>154.24692588215163</v>
      </c>
      <c r="O44" s="10"/>
      <c r="P44" s="10"/>
      <c r="Q44" s="10"/>
    </row>
    <row r="45" spans="1:21" ht="15" customHeight="1" x14ac:dyDescent="0.25">
      <c r="A45" s="176"/>
      <c r="B45" s="169" t="s">
        <v>31</v>
      </c>
      <c r="C45" s="70">
        <f>MEDIAN(reve)</f>
        <v>3.0926152590779274</v>
      </c>
      <c r="D45" s="71">
        <f>MEDIAN(ebi)</f>
        <v>10.445071937609251</v>
      </c>
      <c r="E45" s="72">
        <f>MEDIAN(N25:N37)</f>
        <v>20.285456757687175</v>
      </c>
      <c r="F45" s="73">
        <f t="shared" si="36"/>
        <v>74197.283068135454</v>
      </c>
      <c r="G45" s="73">
        <f t="shared" si="37"/>
        <v>117941.57429070862</v>
      </c>
      <c r="H45" s="74">
        <f t="shared" si="38"/>
        <v>126808.285</v>
      </c>
      <c r="I45" s="73">
        <f t="shared" si="39"/>
        <v>40259.283068135454</v>
      </c>
      <c r="J45" s="73">
        <f t="shared" si="40"/>
        <v>84003.574290708624</v>
      </c>
      <c r="K45" s="74">
        <f t="shared" si="41"/>
        <v>92870.285000000003</v>
      </c>
      <c r="L45" s="80">
        <f t="shared" si="42"/>
        <v>66.009645955296691</v>
      </c>
      <c r="M45" s="213">
        <f t="shared" si="43"/>
        <v>137.73335676456571</v>
      </c>
      <c r="N45" s="214">
        <f t="shared" si="44"/>
        <v>152.27133136579769</v>
      </c>
      <c r="O45" s="10"/>
      <c r="P45" s="10"/>
      <c r="Q45" s="10"/>
    </row>
    <row r="46" spans="1:21" ht="15" customHeight="1" x14ac:dyDescent="0.25">
      <c r="A46" s="178"/>
      <c r="B46" s="171" t="s">
        <v>487</v>
      </c>
      <c r="C46" s="81">
        <f>C44+0.674*_xlfn.STDEV.S(reve)/SQRT(11)</f>
        <v>3.8768215603703187</v>
      </c>
      <c r="D46" s="82">
        <f>D44+0.674*_xlfn.STDEV.S(ebi)/SQRT(11)</f>
        <v>12.876248777623829</v>
      </c>
      <c r="E46" s="83">
        <f>E44+0.674*_xlfn.STDEV.S(N25:N37)/SQRT(11)</f>
        <v>22.074882943794517</v>
      </c>
      <c r="F46" s="85">
        <f t="shared" si="36"/>
        <v>93011.77243923019</v>
      </c>
      <c r="G46" s="85">
        <f t="shared" si="37"/>
        <v>145393.45069741723</v>
      </c>
      <c r="H46" s="86">
        <f t="shared" si="38"/>
        <v>137994.33165918474</v>
      </c>
      <c r="I46" s="85">
        <f t="shared" si="39"/>
        <v>59073.77243923019</v>
      </c>
      <c r="J46" s="85">
        <f t="shared" si="40"/>
        <v>111455.45069741723</v>
      </c>
      <c r="K46" s="86">
        <f t="shared" si="41"/>
        <v>104056.33165918474</v>
      </c>
      <c r="L46" s="87">
        <f t="shared" si="42"/>
        <v>96.85812828206295</v>
      </c>
      <c r="M46" s="213">
        <f t="shared" si="43"/>
        <v>182.74381160422567</v>
      </c>
      <c r="N46" s="214">
        <f t="shared" si="44"/>
        <v>170.61211946087022</v>
      </c>
      <c r="O46" s="10"/>
      <c r="P46" s="10"/>
      <c r="Q46" s="10"/>
    </row>
    <row r="47" spans="1:21" ht="15" customHeight="1" x14ac:dyDescent="0.25">
      <c r="A47" s="176"/>
      <c r="B47" s="169" t="s">
        <v>60</v>
      </c>
      <c r="C47" s="70">
        <f>QUARTILE(reve,3)</f>
        <v>5.2818385802679</v>
      </c>
      <c r="D47" s="71">
        <f>QUARTILE(ebi,3)</f>
        <v>13.606239460370995</v>
      </c>
      <c r="E47" s="72">
        <f>QUARTILE(N25:N37,3)</f>
        <v>22.036809815950921</v>
      </c>
      <c r="F47" s="73">
        <f>C47*$J$9</f>
        <v>126720.60357652818</v>
      </c>
      <c r="G47" s="149">
        <f>D47*$L$9</f>
        <v>153636.21349072515</v>
      </c>
      <c r="H47" s="150">
        <f t="shared" ref="H47" si="45">N$9*E47</f>
        <v>137756.32922699387</v>
      </c>
      <c r="I47" s="149">
        <f t="shared" si="32"/>
        <v>92782.603576528185</v>
      </c>
      <c r="J47" s="149">
        <f t="shared" si="32"/>
        <v>119698.21349072515</v>
      </c>
      <c r="K47" s="150">
        <f t="shared" si="32"/>
        <v>103818.32922699387</v>
      </c>
      <c r="L47" s="80">
        <f t="shared" si="33"/>
        <v>152.12756775951499</v>
      </c>
      <c r="M47" s="213">
        <f t="shared" si="35"/>
        <v>196.25875305906732</v>
      </c>
      <c r="N47" s="214">
        <f t="shared" si="34"/>
        <v>170.22188756680418</v>
      </c>
      <c r="O47" s="10"/>
      <c r="P47" s="10"/>
      <c r="Q47" s="10"/>
    </row>
    <row r="48" spans="1:21" ht="15" customHeight="1" thickBot="1" x14ac:dyDescent="0.3">
      <c r="A48" s="179"/>
      <c r="B48" s="172" t="s">
        <v>35</v>
      </c>
      <c r="C48" s="75">
        <f>MAX(J26:J37)</f>
        <v>6.6847555923777966</v>
      </c>
      <c r="D48" s="76">
        <f>MAX(L26:L37)</f>
        <v>21.398865784499055</v>
      </c>
      <c r="E48" s="77">
        <f>MAX(N25:N37)</f>
        <v>40.693726937269375</v>
      </c>
      <c r="F48" s="78">
        <f t="shared" ref="F48" si="46">C48*$J$9</f>
        <v>160379.0518309859</v>
      </c>
      <c r="G48" s="78">
        <f t="shared" ref="G48" si="47">D48*$L$9</f>
        <v>241627.43289224955</v>
      </c>
      <c r="H48" s="79">
        <f>N$9*E48</f>
        <v>254384.30028044281</v>
      </c>
      <c r="I48" s="78">
        <f t="shared" si="32"/>
        <v>126441.0518309859</v>
      </c>
      <c r="J48" s="78">
        <f t="shared" si="32"/>
        <v>207689.43289224955</v>
      </c>
      <c r="K48" s="79">
        <f t="shared" si="32"/>
        <v>220446.30028044281</v>
      </c>
      <c r="L48" s="124">
        <f t="shared" si="33"/>
        <v>207.31439880469898</v>
      </c>
      <c r="M48" s="215">
        <f t="shared" si="35"/>
        <v>340.5303047913585</v>
      </c>
      <c r="N48" s="216">
        <f t="shared" si="34"/>
        <v>361.44663105499723</v>
      </c>
      <c r="O48" s="10"/>
      <c r="P48" s="10"/>
      <c r="Q48" s="10"/>
    </row>
    <row r="49" spans="1:16" ht="1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ht="1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4" spans="1:16" ht="15" customHeight="1" x14ac:dyDescent="0.25">
      <c r="M54" s="9"/>
    </row>
  </sheetData>
  <mergeCells count="13">
    <mergeCell ref="C39:E39"/>
    <mergeCell ref="L39:N39"/>
    <mergeCell ref="H7:J7"/>
    <mergeCell ref="K7:L7"/>
    <mergeCell ref="M7:N7"/>
    <mergeCell ref="C23:D23"/>
    <mergeCell ref="E23:F23"/>
    <mergeCell ref="G23:H23"/>
    <mergeCell ref="I23:J23"/>
    <mergeCell ref="K23:L23"/>
    <mergeCell ref="M23:N23"/>
    <mergeCell ref="F39:H39"/>
    <mergeCell ref="I39:K39"/>
  </mergeCells>
  <conditionalFormatting sqref="J25:J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:N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9" scale="6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58EE-C450-40B7-8139-53A0EC7E959B}">
  <dimension ref="A1:BS95"/>
  <sheetViews>
    <sheetView topLeftCell="M1" zoomScale="70" zoomScaleNormal="70" workbookViewId="0">
      <selection activeCell="N6" sqref="N6"/>
    </sheetView>
  </sheetViews>
  <sheetFormatPr defaultColWidth="8.85546875" defaultRowHeight="15" x14ac:dyDescent="0.25"/>
  <cols>
    <col min="14" max="25" width="9" bestFit="1" customWidth="1"/>
    <col min="26" max="26" width="9.140625" bestFit="1" customWidth="1"/>
    <col min="27" max="44" width="9" bestFit="1" customWidth="1"/>
    <col min="50" max="50" width="13.42578125" customWidth="1"/>
    <col min="52" max="53" width="9.140625" bestFit="1" customWidth="1"/>
    <col min="54" max="54" width="10.140625" bestFit="1" customWidth="1"/>
    <col min="55" max="71" width="9.140625" bestFit="1" customWidth="1"/>
  </cols>
  <sheetData>
    <row r="1" spans="1:71" ht="20.25" x14ac:dyDescent="0.25">
      <c r="A1" s="183" t="s">
        <v>496</v>
      </c>
      <c r="B1" s="183"/>
      <c r="C1" s="183"/>
      <c r="D1" s="183"/>
      <c r="E1" s="183"/>
      <c r="F1" s="183"/>
      <c r="G1" s="183"/>
      <c r="H1" s="183"/>
      <c r="I1" s="183"/>
      <c r="J1" s="183"/>
      <c r="L1" s="183" t="s">
        <v>515</v>
      </c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X1" s="183" t="s">
        <v>727</v>
      </c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</row>
    <row r="2" spans="1:71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</row>
    <row r="3" spans="1:71" x14ac:dyDescent="0.25">
      <c r="A3" s="185" t="s">
        <v>439</v>
      </c>
      <c r="B3" s="185"/>
      <c r="C3" s="186" t="s">
        <v>76</v>
      </c>
      <c r="D3" s="186" t="s">
        <v>77</v>
      </c>
      <c r="E3" s="186" t="s">
        <v>78</v>
      </c>
      <c r="F3" s="186" t="s">
        <v>79</v>
      </c>
      <c r="G3" s="186" t="s">
        <v>80</v>
      </c>
      <c r="H3" s="186" t="s">
        <v>440</v>
      </c>
      <c r="I3" s="186" t="s">
        <v>82</v>
      </c>
      <c r="J3" s="186" t="s">
        <v>83</v>
      </c>
      <c r="L3" s="185" t="s">
        <v>75</v>
      </c>
      <c r="M3" s="185"/>
      <c r="N3" s="186" t="s">
        <v>516</v>
      </c>
      <c r="O3" s="186" t="s">
        <v>517</v>
      </c>
      <c r="P3" s="186" t="s">
        <v>518</v>
      </c>
      <c r="Q3" s="186" t="s">
        <v>519</v>
      </c>
      <c r="R3" s="186" t="s">
        <v>520</v>
      </c>
      <c r="S3" s="186" t="s">
        <v>521</v>
      </c>
      <c r="T3" s="186" t="s">
        <v>522</v>
      </c>
      <c r="U3" s="186" t="s">
        <v>523</v>
      </c>
      <c r="V3" s="186" t="s">
        <v>524</v>
      </c>
      <c r="W3" s="186" t="s">
        <v>525</v>
      </c>
      <c r="X3" s="186" t="s">
        <v>526</v>
      </c>
      <c r="Y3" s="186" t="s">
        <v>527</v>
      </c>
      <c r="Z3" s="186" t="s">
        <v>528</v>
      </c>
      <c r="AA3" s="186" t="s">
        <v>529</v>
      </c>
      <c r="AB3" s="186" t="s">
        <v>530</v>
      </c>
      <c r="AC3" s="186" t="s">
        <v>531</v>
      </c>
      <c r="AD3" s="186" t="s">
        <v>532</v>
      </c>
      <c r="AE3" s="186" t="s">
        <v>533</v>
      </c>
      <c r="AF3" s="186" t="s">
        <v>534</v>
      </c>
      <c r="AG3" s="186" t="s">
        <v>535</v>
      </c>
      <c r="AH3" s="186" t="s">
        <v>536</v>
      </c>
      <c r="AI3" s="186" t="s">
        <v>537</v>
      </c>
      <c r="AJ3" s="186" t="s">
        <v>538</v>
      </c>
      <c r="AK3" s="186" t="s">
        <v>539</v>
      </c>
      <c r="AL3" s="186" t="s">
        <v>540</v>
      </c>
      <c r="AM3" s="186" t="s">
        <v>541</v>
      </c>
      <c r="AN3" s="186" t="s">
        <v>542</v>
      </c>
      <c r="AO3" s="186" t="s">
        <v>543</v>
      </c>
      <c r="AP3" s="186" t="s">
        <v>544</v>
      </c>
      <c r="AQ3" s="186" t="s">
        <v>545</v>
      </c>
      <c r="AR3" s="186" t="s">
        <v>76</v>
      </c>
      <c r="AS3" s="186" t="s">
        <v>77</v>
      </c>
      <c r="AT3" s="186" t="s">
        <v>78</v>
      </c>
      <c r="AU3" s="186" t="s">
        <v>79</v>
      </c>
      <c r="AV3" s="186" t="s">
        <v>80</v>
      </c>
      <c r="AX3" s="185" t="s">
        <v>728</v>
      </c>
      <c r="AY3" s="185"/>
      <c r="AZ3" s="186" t="s">
        <v>80</v>
      </c>
      <c r="BA3" s="186" t="s">
        <v>79</v>
      </c>
      <c r="BB3" s="186" t="s">
        <v>78</v>
      </c>
      <c r="BC3" s="186" t="s">
        <v>77</v>
      </c>
      <c r="BD3" s="186" t="s">
        <v>76</v>
      </c>
      <c r="BE3" s="186" t="s">
        <v>545</v>
      </c>
      <c r="BF3" s="186" t="s">
        <v>544</v>
      </c>
      <c r="BG3" s="186" t="s">
        <v>543</v>
      </c>
      <c r="BH3" s="186" t="s">
        <v>542</v>
      </c>
      <c r="BI3" s="186" t="s">
        <v>541</v>
      </c>
      <c r="BJ3" s="186" t="s">
        <v>540</v>
      </c>
      <c r="BK3" s="186" t="s">
        <v>539</v>
      </c>
      <c r="BL3" s="186" t="s">
        <v>538</v>
      </c>
      <c r="BM3" s="186" t="s">
        <v>537</v>
      </c>
      <c r="BN3" s="186" t="s">
        <v>536</v>
      </c>
      <c r="BO3" s="186" t="s">
        <v>535</v>
      </c>
      <c r="BP3" s="186" t="s">
        <v>534</v>
      </c>
      <c r="BQ3" s="186" t="s">
        <v>533</v>
      </c>
      <c r="BR3" s="186" t="s">
        <v>532</v>
      </c>
      <c r="BS3" s="186" t="s">
        <v>531</v>
      </c>
    </row>
    <row r="4" spans="1:71" x14ac:dyDescent="0.25">
      <c r="A4" s="187" t="s">
        <v>84</v>
      </c>
      <c r="B4" s="187"/>
      <c r="C4" s="188" t="s">
        <v>85</v>
      </c>
      <c r="D4" s="188" t="s">
        <v>86</v>
      </c>
      <c r="E4" s="188" t="s">
        <v>87</v>
      </c>
      <c r="F4" s="188" t="s">
        <v>88</v>
      </c>
      <c r="G4" s="188" t="s">
        <v>89</v>
      </c>
      <c r="H4" s="188" t="s">
        <v>90</v>
      </c>
      <c r="I4" s="188" t="s">
        <v>91</v>
      </c>
      <c r="J4" s="188" t="s">
        <v>92</v>
      </c>
      <c r="L4" s="187" t="s">
        <v>84</v>
      </c>
      <c r="M4" s="187"/>
      <c r="N4" s="228" t="s">
        <v>546</v>
      </c>
      <c r="O4" s="228" t="s">
        <v>547</v>
      </c>
      <c r="P4" s="228" t="s">
        <v>548</v>
      </c>
      <c r="Q4" s="228" t="s">
        <v>549</v>
      </c>
      <c r="R4" s="228" t="s">
        <v>550</v>
      </c>
      <c r="S4" s="228" t="s">
        <v>551</v>
      </c>
      <c r="T4" s="228" t="s">
        <v>552</v>
      </c>
      <c r="U4" s="228" t="s">
        <v>553</v>
      </c>
      <c r="V4" s="228" t="s">
        <v>554</v>
      </c>
      <c r="W4" s="228" t="s">
        <v>555</v>
      </c>
      <c r="X4" s="228" t="s">
        <v>556</v>
      </c>
      <c r="Y4" s="228" t="s">
        <v>557</v>
      </c>
      <c r="Z4" s="228" t="s">
        <v>558</v>
      </c>
      <c r="AA4" s="228" t="s">
        <v>559</v>
      </c>
      <c r="AB4" s="228" t="s">
        <v>560</v>
      </c>
      <c r="AC4" s="228" t="s">
        <v>561</v>
      </c>
      <c r="AD4" s="228" t="s">
        <v>562</v>
      </c>
      <c r="AE4" s="228" t="s">
        <v>563</v>
      </c>
      <c r="AF4" s="228" t="s">
        <v>564</v>
      </c>
      <c r="AG4" s="228" t="s">
        <v>565</v>
      </c>
      <c r="AH4" s="228" t="s">
        <v>566</v>
      </c>
      <c r="AI4" s="228" t="s">
        <v>567</v>
      </c>
      <c r="AJ4" s="228" t="s">
        <v>568</v>
      </c>
      <c r="AK4" s="228" t="s">
        <v>569</v>
      </c>
      <c r="AL4" s="228" t="s">
        <v>570</v>
      </c>
      <c r="AM4" s="228" t="s">
        <v>571</v>
      </c>
      <c r="AN4" s="228" t="s">
        <v>572</v>
      </c>
      <c r="AO4" s="228" t="s">
        <v>573</v>
      </c>
      <c r="AP4" s="228" t="s">
        <v>574</v>
      </c>
      <c r="AQ4" s="228" t="s">
        <v>575</v>
      </c>
      <c r="AR4" s="228" t="s">
        <v>85</v>
      </c>
      <c r="AS4" s="228" t="s">
        <v>86</v>
      </c>
      <c r="AT4" s="228" t="s">
        <v>87</v>
      </c>
      <c r="AU4" s="228" t="s">
        <v>88</v>
      </c>
      <c r="AV4" s="228" t="s">
        <v>89</v>
      </c>
      <c r="AX4" s="187" t="s">
        <v>84</v>
      </c>
      <c r="AY4" s="187"/>
      <c r="AZ4" s="188" t="s">
        <v>89</v>
      </c>
      <c r="BA4" s="188" t="s">
        <v>88</v>
      </c>
      <c r="BB4" s="188" t="s">
        <v>87</v>
      </c>
      <c r="BC4" s="188" t="s">
        <v>86</v>
      </c>
      <c r="BD4" s="188" t="s">
        <v>85</v>
      </c>
      <c r="BE4" s="188" t="s">
        <v>575</v>
      </c>
      <c r="BF4" s="188" t="s">
        <v>574</v>
      </c>
      <c r="BG4" s="188" t="s">
        <v>573</v>
      </c>
      <c r="BH4" s="188" t="s">
        <v>572</v>
      </c>
      <c r="BI4" s="188" t="s">
        <v>571</v>
      </c>
      <c r="BJ4" s="188" t="s">
        <v>570</v>
      </c>
      <c r="BK4" s="188" t="s">
        <v>569</v>
      </c>
      <c r="BL4" s="188" t="s">
        <v>568</v>
      </c>
      <c r="BM4" s="188" t="s">
        <v>567</v>
      </c>
      <c r="BN4" s="188" t="s">
        <v>566</v>
      </c>
      <c r="BO4" s="188" t="s">
        <v>565</v>
      </c>
      <c r="BP4" s="188" t="s">
        <v>564</v>
      </c>
      <c r="BQ4" s="188" t="s">
        <v>563</v>
      </c>
      <c r="BR4" s="188" t="s">
        <v>562</v>
      </c>
      <c r="BS4" s="188" t="s">
        <v>561</v>
      </c>
    </row>
    <row r="5" spans="1:71" x14ac:dyDescent="0.25">
      <c r="A5" s="96" t="s">
        <v>441</v>
      </c>
      <c r="B5" s="96" t="s">
        <v>442</v>
      </c>
      <c r="C5" s="100">
        <v>100224.5863</v>
      </c>
      <c r="D5" s="100">
        <v>125124.87669999999</v>
      </c>
      <c r="E5" s="100">
        <v>139788.78020000001</v>
      </c>
      <c r="F5" s="100">
        <v>160943.37839999999</v>
      </c>
      <c r="G5" s="100">
        <v>126808.285</v>
      </c>
      <c r="H5" s="108">
        <v>136720.5261786</v>
      </c>
      <c r="I5" s="100"/>
      <c r="J5" s="100"/>
      <c r="L5" s="96" t="s">
        <v>576</v>
      </c>
      <c r="M5" s="97"/>
      <c r="N5" s="207" cm="1">
        <f t="array" ref="N5">GEOMEAN(AR6:AV6/100+1)-1</f>
        <v>3.2100100623071004E-2</v>
      </c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7"/>
      <c r="AU5" s="97"/>
      <c r="AV5" s="97"/>
      <c r="AX5" s="96" t="s">
        <v>729</v>
      </c>
      <c r="AY5" s="97"/>
      <c r="AZ5" s="97"/>
      <c r="BA5" s="97"/>
      <c r="BB5" s="97"/>
      <c r="BC5" s="97"/>
      <c r="BD5" s="97"/>
      <c r="BE5" s="97"/>
      <c r="BF5" s="97"/>
      <c r="BG5" s="97"/>
      <c r="BH5" s="97"/>
      <c r="BI5" s="97"/>
      <c r="BJ5" s="97"/>
      <c r="BK5" s="97"/>
      <c r="BL5" s="97"/>
      <c r="BM5" s="97"/>
      <c r="BN5" s="97"/>
      <c r="BO5" s="97"/>
      <c r="BP5" s="97"/>
      <c r="BQ5" s="97"/>
      <c r="BR5" s="97"/>
      <c r="BS5" s="97"/>
    </row>
    <row r="6" spans="1:71" x14ac:dyDescent="0.25">
      <c r="A6" s="98" t="s">
        <v>443</v>
      </c>
      <c r="B6" s="98" t="s">
        <v>444</v>
      </c>
      <c r="C6" s="99">
        <v>1333</v>
      </c>
      <c r="D6" s="99">
        <v>891</v>
      </c>
      <c r="E6" s="99">
        <v>1859</v>
      </c>
      <c r="F6" s="99">
        <v>1006</v>
      </c>
      <c r="G6" s="99">
        <v>1019</v>
      </c>
      <c r="H6" s="107">
        <v>766</v>
      </c>
      <c r="I6" s="99"/>
      <c r="J6" s="99"/>
      <c r="L6" s="243" t="s">
        <v>3</v>
      </c>
      <c r="M6" s="243" t="s">
        <v>435</v>
      </c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>
        <f>_xll.BDH("UNP US Equity","SALES_GROWTH","FY 2003","FY 2003","Currency=USD","Period=FY","BEST_FPERIOD_OVERRIDE=FY","FILING_STATUS=MR","FA_ADJUSTED=GAAP","Sort=A","Dates=H","DateFormat=P","Fill=—","Direction=H","UseDPDF=Y")</f>
        <v>3.5129000000000001</v>
      </c>
      <c r="AD6" s="244">
        <f>_xll.BDH("UNP US Equity","SALES_GROWTH","FY 2004","FY 2004","Currency=USD","Period=FY","BEST_FPERIOD_OVERRIDE=FY","FILING_STATUS=MR","FA_ADJUSTED=GAAP","Sort=A","Dates=H","DateFormat=P","Fill=—","Direction=H","UseDPDF=Y")</f>
        <v>5.7484000000000002</v>
      </c>
      <c r="AE6" s="244">
        <f>_xll.BDH("UNP US Equity","SALES_GROWTH","FY 2005","FY 2005","Currency=USD","Period=FY","BEST_FPERIOD_OVERRIDE=FY","FILING_STATUS=MR","FA_ADJUSTED=GAAP","Sort=A","Dates=H","DateFormat=P","Fill=—","Direction=H","UseDPDF=Y")</f>
        <v>11.1584</v>
      </c>
      <c r="AF6" s="244">
        <f>_xll.BDH("UNP US Equity","SALES_GROWTH","FY 2006","FY 2006","Currency=USD","Period=FY","BEST_FPERIOD_OVERRIDE=FY","FILING_STATUS=MR","FA_ADJUSTED=GAAP","Sort=A","Dates=H","DateFormat=P","Fill=—","Direction=H","UseDPDF=Y")</f>
        <v>14.729699999999999</v>
      </c>
      <c r="AG6" s="244">
        <f>_xll.BDH("UNP US Equity","SALES_GROWTH","FY 2007","FY 2007","Currency=USD","Period=FY","BEST_FPERIOD_OVERRIDE=FY","FILING_STATUS=MR","FA_ADJUSTED=GAAP","Sort=A","Dates=H","DateFormat=P","Fill=—","Direction=H","UseDPDF=Y")</f>
        <v>4.5255999999999998</v>
      </c>
      <c r="AH6" s="244">
        <f>_xll.BDH("UNP US Equity","SALES_GROWTH","FY 2008","FY 2008","Currency=USD","Period=FY","BEST_FPERIOD_OVERRIDE=FY","FILING_STATUS=MR","FA_ADJUSTED=GAAP","Sort=A","Dates=H","DateFormat=P","Fill=—","Direction=H","UseDPDF=Y")</f>
        <v>10.3605</v>
      </c>
      <c r="AI6" s="244">
        <f>_xll.BDH("UNP US Equity","SALES_GROWTH","FY 2009","FY 2009","Currency=USD","Period=FY","BEST_FPERIOD_OVERRIDE=FY","FILING_STATUS=MR","FA_ADJUSTED=GAAP","Sort=A","Dates=H","DateFormat=P","Fill=—","Direction=H","UseDPDF=Y")</f>
        <v>-21.296600000000002</v>
      </c>
      <c r="AJ6" s="244">
        <f>_xll.BDH("UNP US Equity","SALES_GROWTH","FY 2010","FY 2010","Currency=USD","Period=FY","BEST_FPERIOD_OVERRIDE=FY","FILING_STATUS=MR","FA_ADJUSTED=GAAP","Sort=A","Dates=H","DateFormat=P","Fill=—","Direction=H","UseDPDF=Y")</f>
        <v>19.953299999999999</v>
      </c>
      <c r="AK6" s="244">
        <f>_xll.BDH("UNP US Equity","SALES_GROWTH","FY 2011","FY 2011","Currency=USD","Period=FY","BEST_FPERIOD_OVERRIDE=FY","FILING_STATUS=MR","FA_ADJUSTED=GAAP","Sort=A","Dates=H","DateFormat=P","Fill=—","Direction=H","UseDPDF=Y")</f>
        <v>15.278499999999999</v>
      </c>
      <c r="AL6" s="244">
        <f>_xll.BDH("UNP US Equity","SALES_GROWTH","FY 2012","FY 2012","Currency=USD","Period=FY","BEST_FPERIOD_OVERRIDE=FY","FILING_STATUS=MR","FA_ADJUSTED=GAAP","Sort=A","Dates=H","DateFormat=P","Fill=—","Direction=H","UseDPDF=Y")</f>
        <v>7.0000999999999998</v>
      </c>
      <c r="AM6" s="244">
        <f>_xll.BDH("UNP US Equity","SALES_GROWTH","FY 2013","FY 2013","Currency=USD","Period=FY","BEST_FPERIOD_OVERRIDE=FY","FILING_STATUS=MR","FA_ADJUSTED=GAAP","Sort=A","Dates=H","DateFormat=P","Fill=—","Direction=H","UseDPDF=Y")</f>
        <v>4.9555999999999996</v>
      </c>
      <c r="AN6" s="244">
        <f>_xll.BDH("UNP US Equity","SALES_GROWTH","FY 2014","FY 2014","Currency=USD","Period=FY","BEST_FPERIOD_OVERRIDE=FY","FILING_STATUS=MR","FA_ADJUSTED=GAAP","Sort=A","Dates=H","DateFormat=P","Fill=—","Direction=H","UseDPDF=Y")</f>
        <v>9.2201000000000004</v>
      </c>
      <c r="AO6" s="244">
        <f>_xll.BDH("UNP US Equity","SALES_GROWTH","FY 2015","FY 2015","Currency=USD","Period=FY","BEST_FPERIOD_OVERRIDE=FY","FILING_STATUS=MR","FA_ADJUSTED=GAAP","Sort=A","Dates=H","DateFormat=P","Fill=—","Direction=H","UseDPDF=Y")</f>
        <v>-9.0670000000000002</v>
      </c>
      <c r="AP6" s="244">
        <f>_xll.BDH("UNP US Equity","SALES_GROWTH","FY 2016","FY 2016","Currency=USD","Period=FY","BEST_FPERIOD_OVERRIDE=FY","FILING_STATUS=MR","FA_ADJUSTED=GAAP","Sort=A","Dates=H","DateFormat=P","Fill=—","Direction=H","UseDPDF=Y")</f>
        <v>-8.5820000000000007</v>
      </c>
      <c r="AQ6" s="244">
        <f>_xll.BDH("UNP US Equity","SALES_GROWTH","FY 2017","FY 2017","Currency=USD","Period=FY","BEST_FPERIOD_OVERRIDE=FY","FILING_STATUS=MR","FA_ADJUSTED=GAAP","Sort=A","Dates=H","DateFormat=P","Fill=—","Direction=H","UseDPDF=Y")</f>
        <v>6.5141999999999998</v>
      </c>
      <c r="AR6" s="244">
        <f>_xll.BDH("UNP US Equity","SALES_GROWTH","FY 2018","FY 2018","Currency=USD","Period=FY","BEST_FPERIOD_OVERRIDE=FY","FILING_STATUS=MR","FA_ADJUSTED=GAAP","Sort=A","Dates=H","DateFormat=P","Fill=—","Direction=H","UseDPDF=Y")</f>
        <v>7.4953000000000003</v>
      </c>
      <c r="AS6" s="244">
        <f>_xll.BDH("UNP US Equity","SALES_GROWTH","FY 2019","FY 2019","Currency=USD","Period=FY","BEST_FPERIOD_OVERRIDE=FY","FILING_STATUS=MR","FA_ADJUSTED=GAAP","Sort=A","Dates=H","DateFormat=P","Fill=—","Direction=H","UseDPDF=Y")</f>
        <v>-4.9229000000000003</v>
      </c>
      <c r="AT6" s="244">
        <f>_xll.BDH("UNP US Equity","SALES_GROWTH","FY 2020","FY 2020","Currency=USD","Period=FY","BEST_FPERIOD_OVERRIDE=FY","FILING_STATUS=MR","FA_ADJUSTED=GAAP","Sort=A","Dates=H","DateFormat=P","Fill=—","Direction=H","UseDPDF=Y")</f>
        <v>-10.019299999999999</v>
      </c>
      <c r="AU6" s="244">
        <f>_xll.BDH("UNP US Equity","SALES_GROWTH","FY 2021","FY 2021","Currency=USD","Period=FY","BEST_FPERIOD_OVERRIDE=FY","FILING_STATUS=MR","FA_ADJUSTED=GAAP","Sort=A","Dates=H","DateFormat=P","Fill=—","Direction=H","UseDPDF=Y")</f>
        <v>11.6265</v>
      </c>
      <c r="AV6" s="244">
        <f>_xll.BDH("UNP US Equity","SALES_GROWTH","FY 2022","FY 2022","Currency=USD","Period=FY","BEST_FPERIOD_OVERRIDE=FY","FILING_STATUS=MR","FA_ADJUSTED=GAAP","Sort=A","Dates=H","DateFormat=P","Fill=—","Direction=H","UseDPDF=Y")</f>
        <v>14.0846</v>
      </c>
      <c r="AX6" s="98" t="s">
        <v>730</v>
      </c>
      <c r="AY6" s="98" t="s">
        <v>731</v>
      </c>
      <c r="AZ6" s="104">
        <v>8.23</v>
      </c>
      <c r="BA6" s="104">
        <v>9.9753000000000007</v>
      </c>
      <c r="BB6" s="104">
        <v>8.8112999999999992</v>
      </c>
      <c r="BC6" s="104">
        <v>9.0663</v>
      </c>
      <c r="BD6" s="104">
        <v>11.8505</v>
      </c>
      <c r="BE6" s="104">
        <v>10.1221</v>
      </c>
      <c r="BF6" s="104">
        <v>10.5031</v>
      </c>
      <c r="BG6" s="104">
        <v>10.754899999999999</v>
      </c>
      <c r="BH6" s="104">
        <v>9.9474</v>
      </c>
      <c r="BI6" s="104">
        <v>11.2585</v>
      </c>
      <c r="BJ6" s="104">
        <v>12.365399999999999</v>
      </c>
      <c r="BK6" s="104">
        <v>13.094099999999999</v>
      </c>
      <c r="BL6" s="104">
        <v>15.025700000000001</v>
      </c>
      <c r="BM6" s="104">
        <v>11.5097</v>
      </c>
      <c r="BN6" s="104">
        <v>11.7515</v>
      </c>
      <c r="BO6" s="104">
        <v>11.913399999999999</v>
      </c>
      <c r="BP6" s="104">
        <v>11.6332</v>
      </c>
      <c r="BQ6" s="104">
        <v>10.995699999999999</v>
      </c>
      <c r="BR6" s="104">
        <v>9.3143999999999991</v>
      </c>
      <c r="BS6" s="104">
        <v>9.0797000000000008</v>
      </c>
    </row>
    <row r="7" spans="1:71" x14ac:dyDescent="0.25">
      <c r="A7" s="98" t="s">
        <v>445</v>
      </c>
      <c r="B7" s="98" t="s">
        <v>446</v>
      </c>
      <c r="C7" s="99">
        <v>0</v>
      </c>
      <c r="D7" s="99">
        <v>0</v>
      </c>
      <c r="E7" s="99">
        <v>0</v>
      </c>
      <c r="F7" s="99">
        <v>0</v>
      </c>
      <c r="G7" s="99">
        <v>0</v>
      </c>
      <c r="H7" s="107">
        <v>0</v>
      </c>
      <c r="I7" s="99"/>
      <c r="J7" s="99"/>
      <c r="L7" s="98" t="s">
        <v>16</v>
      </c>
      <c r="M7" s="98" t="s">
        <v>577</v>
      </c>
      <c r="N7" s="104">
        <v>-4.3780000000000001</v>
      </c>
      <c r="O7" s="104">
        <v>-4.3605</v>
      </c>
      <c r="P7" s="104">
        <v>-2.1276999999999999</v>
      </c>
      <c r="Q7" s="104">
        <v>5.2019000000000002</v>
      </c>
      <c r="R7" s="104">
        <v>10.1107</v>
      </c>
      <c r="S7" s="104">
        <v>-0.46920000000000001</v>
      </c>
      <c r="T7" s="104">
        <v>21.818200000000001</v>
      </c>
      <c r="U7" s="104">
        <v>12.1614</v>
      </c>
      <c r="V7" s="104">
        <v>5.5692000000000004</v>
      </c>
      <c r="W7" s="104">
        <v>6.0224000000000002</v>
      </c>
      <c r="X7" s="104">
        <v>-22.501100000000001</v>
      </c>
      <c r="Y7" s="104">
        <v>-32.159100000000002</v>
      </c>
      <c r="Z7" s="104">
        <v>17.671700000000001</v>
      </c>
      <c r="AA7" s="104">
        <v>12.3843</v>
      </c>
      <c r="AB7" s="104">
        <v>12.4763</v>
      </c>
      <c r="AC7" s="104">
        <v>-34.515799999999999</v>
      </c>
      <c r="AD7" s="104">
        <v>48.7532</v>
      </c>
      <c r="AE7" s="104">
        <v>37.745699999999999</v>
      </c>
      <c r="AF7" s="104">
        <v>26.101600000000001</v>
      </c>
      <c r="AG7" s="104">
        <v>4.6921999999999997</v>
      </c>
      <c r="AH7" s="104">
        <v>17.1647</v>
      </c>
      <c r="AI7" s="104">
        <v>-13.9175</v>
      </c>
      <c r="AJ7" s="104">
        <v>26.6309</v>
      </c>
      <c r="AK7" s="104">
        <v>10.652100000000001</v>
      </c>
      <c r="AL7" s="104">
        <v>1.5744</v>
      </c>
      <c r="AM7" s="104">
        <v>1.3508</v>
      </c>
      <c r="AN7" s="104">
        <v>4.0856000000000003</v>
      </c>
      <c r="AO7" s="104">
        <v>0.5877</v>
      </c>
      <c r="AP7" s="104">
        <v>-2.1284999999999998</v>
      </c>
      <c r="AQ7" s="104">
        <v>7.3560999999999996</v>
      </c>
      <c r="AR7" s="104">
        <v>23.138000000000002</v>
      </c>
      <c r="AS7" s="104">
        <v>3.1934999999999998</v>
      </c>
      <c r="AT7" s="104">
        <v>-8.9246999999999996</v>
      </c>
      <c r="AU7" s="104">
        <v>21.898099999999999</v>
      </c>
      <c r="AV7" s="104">
        <v>7.4476000000000004</v>
      </c>
      <c r="AX7" s="98" t="s">
        <v>732</v>
      </c>
      <c r="AY7" s="98" t="s">
        <v>733</v>
      </c>
      <c r="AZ7" s="104">
        <v>77.482500000000002</v>
      </c>
      <c r="BA7" s="104">
        <v>83.040300000000002</v>
      </c>
      <c r="BB7" s="104">
        <v>92.346699999999998</v>
      </c>
      <c r="BC7" s="104">
        <v>76.925700000000006</v>
      </c>
      <c r="BD7" s="104">
        <v>77.501300000000001</v>
      </c>
      <c r="BE7" s="104">
        <v>80.564400000000006</v>
      </c>
      <c r="BF7" s="104">
        <v>74.703500000000005</v>
      </c>
      <c r="BG7" s="104">
        <v>70.542900000000003</v>
      </c>
      <c r="BH7" s="104">
        <v>78.873900000000006</v>
      </c>
      <c r="BI7" s="104">
        <v>74.918400000000005</v>
      </c>
      <c r="BJ7" s="104">
        <v>66.850999999999999</v>
      </c>
      <c r="BK7" s="104">
        <v>70.510199999999998</v>
      </c>
      <c r="BL7" s="104">
        <v>73.398600000000002</v>
      </c>
      <c r="BM7" s="104">
        <v>71.209999999999994</v>
      </c>
      <c r="BN7" s="104">
        <v>61.099800000000002</v>
      </c>
      <c r="BO7" s="104">
        <v>71.331100000000006</v>
      </c>
      <c r="BP7" s="104">
        <v>71.655699999999996</v>
      </c>
      <c r="BQ7" s="104">
        <v>64.753699999999995</v>
      </c>
      <c r="BR7" s="104">
        <v>54.0901</v>
      </c>
      <c r="BS7" s="104">
        <v>51.186100000000003</v>
      </c>
    </row>
    <row r="8" spans="1:71" x14ac:dyDescent="0.25">
      <c r="A8" s="98" t="s">
        <v>447</v>
      </c>
      <c r="B8" s="98" t="s">
        <v>448</v>
      </c>
      <c r="C8" s="99">
        <v>22391</v>
      </c>
      <c r="D8" s="99">
        <v>27033</v>
      </c>
      <c r="E8" s="99">
        <v>28333</v>
      </c>
      <c r="F8" s="99">
        <v>31488</v>
      </c>
      <c r="G8" s="99">
        <v>34957</v>
      </c>
      <c r="H8" s="107">
        <v>34483</v>
      </c>
      <c r="I8" s="99"/>
      <c r="J8" s="99"/>
      <c r="L8" s="98" t="s">
        <v>578</v>
      </c>
      <c r="M8" s="98" t="s">
        <v>579</v>
      </c>
      <c r="N8" s="104">
        <v>1.5642</v>
      </c>
      <c r="O8" s="104">
        <v>-4.4004000000000003</v>
      </c>
      <c r="P8" s="104">
        <v>-6.2140000000000004</v>
      </c>
      <c r="Q8" s="104">
        <v>4.7853000000000003</v>
      </c>
      <c r="R8" s="104">
        <v>12.9977</v>
      </c>
      <c r="S8" s="104">
        <v>-5.3886000000000003</v>
      </c>
      <c r="T8" s="104">
        <v>34.939799999999998</v>
      </c>
      <c r="U8" s="104">
        <v>15.9903</v>
      </c>
      <c r="V8" s="104">
        <v>6.508</v>
      </c>
      <c r="W8" s="104">
        <v>4.0079000000000002</v>
      </c>
      <c r="X8" s="104">
        <v>-28.616599999999998</v>
      </c>
      <c r="Y8" s="104">
        <v>-49.292000000000002</v>
      </c>
      <c r="Z8" s="104">
        <v>40.488700000000001</v>
      </c>
      <c r="AA8" s="104">
        <v>18.882000000000001</v>
      </c>
      <c r="AB8" s="104">
        <v>17.7638</v>
      </c>
      <c r="AC8" s="104">
        <v>-53.8598</v>
      </c>
      <c r="AD8" s="104">
        <v>92.307699999999997</v>
      </c>
      <c r="AE8" s="104">
        <v>55</v>
      </c>
      <c r="AF8" s="104">
        <v>37.935499999999998</v>
      </c>
      <c r="AG8" s="104">
        <v>5.5191999999999997</v>
      </c>
      <c r="AH8" s="104">
        <v>22.695</v>
      </c>
      <c r="AI8" s="104">
        <v>-17.991299999999999</v>
      </c>
      <c r="AJ8" s="104">
        <v>35.286299999999997</v>
      </c>
      <c r="AK8" s="104">
        <v>12.9925</v>
      </c>
      <c r="AL8" s="104">
        <v>-0.37459999999999999</v>
      </c>
      <c r="AM8" s="104">
        <v>0.46279999999999999</v>
      </c>
      <c r="AN8" s="104">
        <v>4.0311000000000003</v>
      </c>
      <c r="AO8" s="104">
        <v>-0.80269999999999997</v>
      </c>
      <c r="AP8" s="104">
        <v>-5.4408000000000003</v>
      </c>
      <c r="AQ8" s="104">
        <v>9.7668999999999997</v>
      </c>
      <c r="AR8" s="104">
        <v>30.8871</v>
      </c>
      <c r="AS8" s="104">
        <v>1.9717</v>
      </c>
      <c r="AT8" s="104">
        <v>-12.145</v>
      </c>
      <c r="AU8" s="104">
        <v>28.2439</v>
      </c>
      <c r="AV8" s="104">
        <v>7.6688999999999998</v>
      </c>
      <c r="AX8" s="96" t="s">
        <v>734</v>
      </c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</row>
    <row r="9" spans="1:71" x14ac:dyDescent="0.25">
      <c r="A9" s="96" t="s">
        <v>5</v>
      </c>
      <c r="B9" s="96" t="s">
        <v>449</v>
      </c>
      <c r="C9" s="100">
        <v>121282.5863</v>
      </c>
      <c r="D9" s="100">
        <v>151266.87669999999</v>
      </c>
      <c r="E9" s="100">
        <v>166262.78020000001</v>
      </c>
      <c r="F9" s="100">
        <v>191425.37839999999</v>
      </c>
      <c r="G9" s="100">
        <v>160746.285</v>
      </c>
      <c r="H9" s="108">
        <v>170437.5261786</v>
      </c>
      <c r="I9" s="100"/>
      <c r="J9" s="100"/>
      <c r="L9" s="98" t="s">
        <v>580</v>
      </c>
      <c r="M9" s="98" t="s">
        <v>581</v>
      </c>
      <c r="N9" s="104">
        <v>0.73529999999999995</v>
      </c>
      <c r="O9" s="104">
        <v>220.43799999999999</v>
      </c>
      <c r="P9" s="104">
        <v>-7.2892999999999999</v>
      </c>
      <c r="Q9" s="104" t="s">
        <v>201</v>
      </c>
      <c r="R9" s="104" t="s">
        <v>201</v>
      </c>
      <c r="S9" s="104">
        <v>1695</v>
      </c>
      <c r="T9" s="104">
        <v>81.615600000000001</v>
      </c>
      <c r="U9" s="104">
        <v>-5.2146999999999997</v>
      </c>
      <c r="V9" s="104">
        <v>38.349499999999999</v>
      </c>
      <c r="W9" s="104">
        <v>-6.5496999999999996</v>
      </c>
      <c r="X9" s="104">
        <v>-32.790999999999997</v>
      </c>
      <c r="Y9" s="104">
        <v>-99.627600000000001</v>
      </c>
      <c r="Z9" s="104">
        <v>28150</v>
      </c>
      <c r="AA9" s="104">
        <v>-48.141599999999997</v>
      </c>
      <c r="AB9" s="104">
        <v>44.709899999999998</v>
      </c>
      <c r="AC9" s="104">
        <v>-41.981099999999998</v>
      </c>
      <c r="AD9" s="104">
        <v>37.804900000000004</v>
      </c>
      <c r="AE9" s="104">
        <v>237.75810000000001</v>
      </c>
      <c r="AF9" s="104">
        <v>14.410500000000001</v>
      </c>
      <c r="AG9" s="104">
        <v>1.9846999999999999</v>
      </c>
      <c r="AH9" s="104">
        <v>2.1707000000000001</v>
      </c>
      <c r="AI9" s="104">
        <v>-16.2637</v>
      </c>
      <c r="AJ9" s="104">
        <v>36.745399999999997</v>
      </c>
      <c r="AK9" s="104">
        <v>18.681999999999999</v>
      </c>
      <c r="AL9" s="104">
        <v>0.21560000000000001</v>
      </c>
      <c r="AM9" s="104">
        <v>0.2152</v>
      </c>
      <c r="AN9" s="104">
        <v>3.3816000000000002</v>
      </c>
      <c r="AO9" s="104">
        <v>2.1288</v>
      </c>
      <c r="AP9" s="104">
        <v>-12.9131</v>
      </c>
      <c r="AQ9" s="104">
        <v>219.3228</v>
      </c>
      <c r="AR9" s="104">
        <v>-39.524700000000003</v>
      </c>
      <c r="AS9" s="104">
        <v>0.69530000000000003</v>
      </c>
      <c r="AT9" s="104">
        <v>-16.991900000000001</v>
      </c>
      <c r="AU9" s="104">
        <v>36.744999999999997</v>
      </c>
      <c r="AV9" s="104">
        <v>10.182499999999999</v>
      </c>
      <c r="AX9" s="98" t="s">
        <v>10</v>
      </c>
      <c r="AY9" s="98" t="s">
        <v>735</v>
      </c>
      <c r="AZ9" s="104">
        <v>4.1243999999999996</v>
      </c>
      <c r="BA9" s="104">
        <v>1.5807</v>
      </c>
      <c r="BB9" s="104">
        <v>0.93969999999999998</v>
      </c>
      <c r="BC9" s="104">
        <v>2.0369000000000002</v>
      </c>
      <c r="BD9" s="104">
        <v>2.8496000000000001</v>
      </c>
      <c r="BE9" s="104">
        <v>3.3206000000000002</v>
      </c>
      <c r="BF9" s="104">
        <v>2.0790000000000002</v>
      </c>
      <c r="BG9" s="104">
        <v>1.9388000000000001</v>
      </c>
      <c r="BH9" s="104">
        <v>1.9359999999999999</v>
      </c>
      <c r="BI9" s="104">
        <v>2.5144000000000002</v>
      </c>
      <c r="BJ9" s="104">
        <v>1.4206000000000001</v>
      </c>
      <c r="BK9" s="104">
        <v>1.6093</v>
      </c>
      <c r="BL9" s="104">
        <v>2.8115999999999999</v>
      </c>
      <c r="BM9" s="104">
        <v>3.5886999999999998</v>
      </c>
      <c r="BN9" s="104">
        <v>1.9549000000000001</v>
      </c>
      <c r="BO9" s="104">
        <v>3.7170999999999998</v>
      </c>
      <c r="BP9" s="104">
        <v>4.7907999999999999</v>
      </c>
      <c r="BQ9" s="104">
        <v>4.3609</v>
      </c>
      <c r="BR9" s="104">
        <v>3.7945000000000002</v>
      </c>
      <c r="BS9" s="104">
        <v>4.0281000000000002</v>
      </c>
    </row>
    <row r="10" spans="1:71" x14ac:dyDescent="0.25">
      <c r="A10" s="96"/>
      <c r="B10" s="97"/>
      <c r="C10" s="97"/>
      <c r="D10" s="97"/>
      <c r="E10" s="97"/>
      <c r="F10" s="97"/>
      <c r="G10" s="97"/>
      <c r="H10" s="106"/>
      <c r="I10" s="97"/>
      <c r="J10" s="97"/>
      <c r="L10" s="98" t="s">
        <v>582</v>
      </c>
      <c r="M10" s="98" t="s">
        <v>583</v>
      </c>
      <c r="N10" s="104">
        <v>5.6818</v>
      </c>
      <c r="O10" s="104">
        <v>366.66669999999999</v>
      </c>
      <c r="P10" s="104">
        <v>-4.3779000000000003</v>
      </c>
      <c r="Q10" s="104" t="s">
        <v>201</v>
      </c>
      <c r="R10" s="104" t="s">
        <v>201</v>
      </c>
      <c r="S10" s="104">
        <v>1721.0526</v>
      </c>
      <c r="T10" s="104">
        <v>80.0578</v>
      </c>
      <c r="U10" s="104">
        <v>-5.6180000000000003</v>
      </c>
      <c r="V10" s="104">
        <v>34.693899999999999</v>
      </c>
      <c r="W10" s="104">
        <v>-6.0606</v>
      </c>
      <c r="X10" s="104">
        <v>-32.526899999999998</v>
      </c>
      <c r="Y10" s="104">
        <v>-99.601600000000005</v>
      </c>
      <c r="Z10" s="104">
        <v>26600</v>
      </c>
      <c r="AA10" s="104">
        <v>-48.314599999999999</v>
      </c>
      <c r="AB10" s="104">
        <v>44.2029</v>
      </c>
      <c r="AC10" s="104">
        <v>-44.2211</v>
      </c>
      <c r="AD10" s="104">
        <v>36.936900000000001</v>
      </c>
      <c r="AE10" s="104">
        <v>231.5789</v>
      </c>
      <c r="AF10" s="104">
        <v>11.9048</v>
      </c>
      <c r="AG10" s="104">
        <v>6.0284000000000004</v>
      </c>
      <c r="AH10" s="104">
        <v>11.7057</v>
      </c>
      <c r="AI10" s="104">
        <v>-13.473100000000001</v>
      </c>
      <c r="AJ10" s="104">
        <v>40.138399999999997</v>
      </c>
      <c r="AK10" s="104">
        <v>25.925899999999999</v>
      </c>
      <c r="AL10" s="104">
        <v>5.2941000000000003</v>
      </c>
      <c r="AM10" s="104">
        <v>2.2345999999999999</v>
      </c>
      <c r="AN10" s="104">
        <v>4.9180000000000001</v>
      </c>
      <c r="AO10" s="104">
        <v>4.1666999999999996</v>
      </c>
      <c r="AP10" s="104">
        <v>-9.5</v>
      </c>
      <c r="AQ10" s="104">
        <v>230.9392</v>
      </c>
      <c r="AR10" s="104">
        <v>-35.8932</v>
      </c>
      <c r="AS10" s="104">
        <v>8.5937999999999999</v>
      </c>
      <c r="AT10" s="104">
        <v>-71.222999999999999</v>
      </c>
      <c r="AU10" s="104">
        <v>320</v>
      </c>
      <c r="AV10" s="104">
        <v>16.071400000000001</v>
      </c>
      <c r="AX10" s="98" t="s">
        <v>736</v>
      </c>
      <c r="AY10" s="98" t="s">
        <v>737</v>
      </c>
      <c r="AZ10" s="104">
        <v>22.517499999999998</v>
      </c>
      <c r="BA10" s="104">
        <v>16.959700000000002</v>
      </c>
      <c r="BB10" s="104">
        <v>7.6532999999999998</v>
      </c>
      <c r="BC10" s="104">
        <v>23.074300000000001</v>
      </c>
      <c r="BD10" s="104">
        <v>22.498699999999999</v>
      </c>
      <c r="BE10" s="104">
        <v>19.435600000000001</v>
      </c>
      <c r="BF10" s="104">
        <v>25.296500000000002</v>
      </c>
      <c r="BG10" s="104">
        <v>29.457100000000001</v>
      </c>
      <c r="BH10" s="104">
        <v>21.126100000000001</v>
      </c>
      <c r="BI10" s="104">
        <v>25.081600000000002</v>
      </c>
      <c r="BJ10" s="104">
        <v>33.149000000000001</v>
      </c>
      <c r="BK10" s="104">
        <v>29.489799999999999</v>
      </c>
      <c r="BL10" s="104">
        <v>26.601400000000002</v>
      </c>
      <c r="BM10" s="104">
        <v>28.79</v>
      </c>
      <c r="BN10" s="104">
        <v>38.900199999999998</v>
      </c>
      <c r="BO10" s="104">
        <v>28.668900000000001</v>
      </c>
      <c r="BP10" s="104">
        <v>28.3443</v>
      </c>
      <c r="BQ10" s="104">
        <v>35.246299999999998</v>
      </c>
      <c r="BR10" s="104">
        <v>45.9099</v>
      </c>
      <c r="BS10" s="104">
        <v>48.813899999999997</v>
      </c>
    </row>
    <row r="11" spans="1:71" x14ac:dyDescent="0.25">
      <c r="A11" s="96" t="s">
        <v>450</v>
      </c>
      <c r="B11" s="96" t="s">
        <v>93</v>
      </c>
      <c r="C11" s="100">
        <v>22832</v>
      </c>
      <c r="D11" s="100">
        <v>21708</v>
      </c>
      <c r="E11" s="100">
        <v>19533</v>
      </c>
      <c r="F11" s="100">
        <v>21804</v>
      </c>
      <c r="G11" s="100">
        <v>24875</v>
      </c>
      <c r="H11" s="108">
        <v>24140</v>
      </c>
      <c r="I11" s="100">
        <v>23991.759999999998</v>
      </c>
      <c r="J11" s="100">
        <v>25025.16</v>
      </c>
      <c r="L11" s="98" t="s">
        <v>584</v>
      </c>
      <c r="M11" s="98" t="s">
        <v>585</v>
      </c>
      <c r="N11" s="104" t="s">
        <v>201</v>
      </c>
      <c r="O11" s="104" t="s">
        <v>201</v>
      </c>
      <c r="P11" s="104">
        <v>-11.2469</v>
      </c>
      <c r="Q11" s="104" t="s">
        <v>201</v>
      </c>
      <c r="R11" s="104" t="s">
        <v>201</v>
      </c>
      <c r="S11" s="104">
        <v>1721.0526</v>
      </c>
      <c r="T11" s="104">
        <v>80.0578</v>
      </c>
      <c r="U11" s="104">
        <v>-5.6180000000000003</v>
      </c>
      <c r="V11" s="104">
        <v>34.693899999999999</v>
      </c>
      <c r="W11" s="104">
        <v>-6.0606</v>
      </c>
      <c r="X11" s="104">
        <v>-32.526899999999998</v>
      </c>
      <c r="Y11" s="104">
        <v>-90.438199999999995</v>
      </c>
      <c r="Z11" s="104">
        <v>265.19209999999998</v>
      </c>
      <c r="AA11" s="104">
        <v>57.4514</v>
      </c>
      <c r="AB11" s="104">
        <v>58.695700000000002</v>
      </c>
      <c r="AC11" s="104">
        <v>-71.232900000000001</v>
      </c>
      <c r="AD11" s="104">
        <v>196.8254</v>
      </c>
      <c r="AE11" s="104">
        <v>69.518699999999995</v>
      </c>
      <c r="AF11" s="104">
        <v>77.918000000000006</v>
      </c>
      <c r="AG11" s="104">
        <v>-2.8369</v>
      </c>
      <c r="AH11" s="104">
        <v>33.576599999999999</v>
      </c>
      <c r="AI11" s="104">
        <v>-22.1311</v>
      </c>
      <c r="AJ11" s="104">
        <v>42.1053</v>
      </c>
      <c r="AK11" s="104">
        <v>25.925899999999999</v>
      </c>
      <c r="AL11" s="104">
        <v>5.2941000000000003</v>
      </c>
      <c r="AM11" s="104">
        <v>2.2345999999999999</v>
      </c>
      <c r="AN11" s="104">
        <v>4.9180000000000001</v>
      </c>
      <c r="AO11" s="104">
        <v>4.1666999999999996</v>
      </c>
      <c r="AP11" s="104">
        <v>-9.5</v>
      </c>
      <c r="AQ11" s="104">
        <v>230.9392</v>
      </c>
      <c r="AR11" s="104">
        <v>-35.8932</v>
      </c>
      <c r="AS11" s="104">
        <v>8.5937999999999999</v>
      </c>
      <c r="AT11" s="104">
        <v>-71.222999999999999</v>
      </c>
      <c r="AU11" s="104">
        <v>320</v>
      </c>
      <c r="AV11" s="104">
        <v>16.071400000000001</v>
      </c>
      <c r="AX11" s="96" t="s">
        <v>738</v>
      </c>
      <c r="AY11" s="97"/>
      <c r="AZ11" s="97"/>
      <c r="BA11" s="97"/>
      <c r="BB11" s="97"/>
      <c r="BC11" s="97"/>
      <c r="BD11" s="97"/>
      <c r="BE11" s="97"/>
      <c r="BF11" s="97"/>
      <c r="BG11" s="97"/>
      <c r="BH11" s="97"/>
      <c r="BI11" s="97"/>
      <c r="BJ11" s="97"/>
      <c r="BK11" s="97"/>
      <c r="BL11" s="97"/>
      <c r="BM11" s="97"/>
      <c r="BN11" s="97"/>
      <c r="BO11" s="97"/>
      <c r="BP11" s="97"/>
      <c r="BQ11" s="97"/>
      <c r="BR11" s="97"/>
      <c r="BS11" s="97"/>
    </row>
    <row r="12" spans="1:71" x14ac:dyDescent="0.25">
      <c r="A12" s="101" t="s">
        <v>451</v>
      </c>
      <c r="B12" s="101" t="s">
        <v>435</v>
      </c>
      <c r="C12" s="102">
        <v>7.4953000000000003</v>
      </c>
      <c r="D12" s="102">
        <v>-4.9229000000000003</v>
      </c>
      <c r="E12" s="102">
        <v>-10.019299999999999</v>
      </c>
      <c r="F12" s="102">
        <v>11.6265</v>
      </c>
      <c r="G12" s="102">
        <v>14.0846</v>
      </c>
      <c r="H12" s="109">
        <v>-1.17897494678238</v>
      </c>
      <c r="I12" s="102">
        <v>-3.5507135678391899</v>
      </c>
      <c r="J12" s="102">
        <v>4.3073121771808198</v>
      </c>
      <c r="L12" s="98" t="s">
        <v>586</v>
      </c>
      <c r="M12" s="98" t="s">
        <v>587</v>
      </c>
      <c r="N12" s="104" t="s">
        <v>201</v>
      </c>
      <c r="O12" s="104" t="s">
        <v>201</v>
      </c>
      <c r="P12" s="104">
        <v>-11.2469</v>
      </c>
      <c r="Q12" s="104" t="s">
        <v>201</v>
      </c>
      <c r="R12" s="104" t="s">
        <v>201</v>
      </c>
      <c r="S12" s="104">
        <v>1721.0526</v>
      </c>
      <c r="T12" s="104">
        <v>80.0578</v>
      </c>
      <c r="U12" s="104">
        <v>-5.6180000000000003</v>
      </c>
      <c r="V12" s="104">
        <v>34.693899999999999</v>
      </c>
      <c r="W12" s="104">
        <v>5.3029999999999999</v>
      </c>
      <c r="X12" s="104">
        <v>-52.038400000000003</v>
      </c>
      <c r="Y12" s="104">
        <v>-92.5</v>
      </c>
      <c r="Z12" s="104">
        <v>486.66669999999999</v>
      </c>
      <c r="AA12" s="104">
        <v>56.818199999999997</v>
      </c>
      <c r="AB12" s="104">
        <v>44.2029</v>
      </c>
      <c r="AC12" s="104">
        <v>-42.7136</v>
      </c>
      <c r="AD12" s="104">
        <v>64.0351</v>
      </c>
      <c r="AE12" s="104">
        <v>69.518699999999995</v>
      </c>
      <c r="AF12" s="104">
        <v>77.918000000000006</v>
      </c>
      <c r="AG12" s="104">
        <v>-4.2553000000000001</v>
      </c>
      <c r="AH12" s="104">
        <v>35.555599999999998</v>
      </c>
      <c r="AI12" s="104">
        <v>-22.1311</v>
      </c>
      <c r="AJ12" s="104">
        <v>45.343400000000003</v>
      </c>
      <c r="AK12" s="104">
        <v>23.1204</v>
      </c>
      <c r="AL12" s="104">
        <v>-0.625</v>
      </c>
      <c r="AM12" s="104">
        <v>5.0118</v>
      </c>
      <c r="AN12" s="104">
        <v>10.2385</v>
      </c>
      <c r="AO12" s="104">
        <v>-0.77359999999999995</v>
      </c>
      <c r="AP12" s="104">
        <v>-7.2454999999999998</v>
      </c>
      <c r="AQ12" s="104">
        <v>24.739899999999999</v>
      </c>
      <c r="AR12" s="104">
        <v>65.458399999999997</v>
      </c>
      <c r="AS12" s="104">
        <v>7.7674000000000003</v>
      </c>
      <c r="AT12" s="104">
        <v>-70.325999999999993</v>
      </c>
      <c r="AU12" s="104">
        <v>279.14949999999999</v>
      </c>
      <c r="AV12" s="104">
        <v>21.849</v>
      </c>
      <c r="AX12" s="98" t="s">
        <v>739</v>
      </c>
      <c r="AY12" s="98" t="s">
        <v>740</v>
      </c>
      <c r="AZ12" s="104">
        <v>0</v>
      </c>
      <c r="BA12" s="104">
        <v>0</v>
      </c>
      <c r="BB12" s="104">
        <v>0</v>
      </c>
      <c r="BC12" s="104">
        <v>0</v>
      </c>
      <c r="BD12" s="104">
        <v>0</v>
      </c>
      <c r="BE12" s="104">
        <v>0</v>
      </c>
      <c r="BF12" s="104">
        <v>0</v>
      </c>
      <c r="BG12" s="104">
        <v>0</v>
      </c>
      <c r="BH12" s="104">
        <v>0</v>
      </c>
      <c r="BI12" s="104">
        <v>0</v>
      </c>
      <c r="BJ12" s="104">
        <v>0</v>
      </c>
      <c r="BK12" s="104">
        <v>0</v>
      </c>
      <c r="BL12" s="104">
        <v>0</v>
      </c>
      <c r="BM12" s="104">
        <v>0</v>
      </c>
      <c r="BN12" s="104">
        <v>0</v>
      </c>
      <c r="BO12" s="104">
        <v>0</v>
      </c>
      <c r="BP12" s="104">
        <v>0</v>
      </c>
      <c r="BQ12" s="104">
        <v>0</v>
      </c>
      <c r="BR12" s="104">
        <v>0</v>
      </c>
      <c r="BS12" s="104">
        <v>0</v>
      </c>
    </row>
    <row r="13" spans="1:71" x14ac:dyDescent="0.25">
      <c r="A13" s="96" t="s">
        <v>452</v>
      </c>
      <c r="B13" s="96" t="s">
        <v>97</v>
      </c>
      <c r="C13" s="100" t="s">
        <v>201</v>
      </c>
      <c r="D13" s="100" t="s">
        <v>201</v>
      </c>
      <c r="E13" s="100" t="s">
        <v>201</v>
      </c>
      <c r="F13" s="100" t="s">
        <v>201</v>
      </c>
      <c r="G13" s="100" t="s">
        <v>201</v>
      </c>
      <c r="H13" s="108"/>
      <c r="I13" s="100">
        <v>8975.7972511999997</v>
      </c>
      <c r="J13" s="100">
        <v>9995.7996588000005</v>
      </c>
      <c r="L13" s="98" t="s">
        <v>588</v>
      </c>
      <c r="M13" s="98" t="s">
        <v>589</v>
      </c>
      <c r="N13" s="104">
        <v>11.206899999999999</v>
      </c>
      <c r="O13" s="104">
        <v>-0.7752</v>
      </c>
      <c r="P13" s="104">
        <v>9.375</v>
      </c>
      <c r="Q13" s="104">
        <v>2.1429</v>
      </c>
      <c r="R13" s="104">
        <v>6.2937000000000003</v>
      </c>
      <c r="S13" s="104">
        <v>3.9474</v>
      </c>
      <c r="T13" s="104">
        <v>11.3924</v>
      </c>
      <c r="U13" s="104">
        <v>4.5454999999999997</v>
      </c>
      <c r="V13" s="104">
        <v>13.0435</v>
      </c>
      <c r="W13" s="104">
        <v>3.8462000000000001</v>
      </c>
      <c r="X13" s="104">
        <v>11.1111</v>
      </c>
      <c r="Y13" s="104">
        <v>0</v>
      </c>
      <c r="Z13" s="104">
        <v>0</v>
      </c>
      <c r="AA13" s="104">
        <v>-33.333300000000001</v>
      </c>
      <c r="AB13" s="104">
        <v>-50</v>
      </c>
      <c r="AC13" s="104">
        <v>0</v>
      </c>
      <c r="AD13" s="104">
        <v>0</v>
      </c>
      <c r="AE13" s="104">
        <v>7.5</v>
      </c>
      <c r="AF13" s="104">
        <v>53.488399999999999</v>
      </c>
      <c r="AG13" s="104">
        <v>63.636400000000002</v>
      </c>
      <c r="AH13" s="104">
        <v>42.592599999999997</v>
      </c>
      <c r="AI13" s="104">
        <v>14.2857</v>
      </c>
      <c r="AJ13" s="104">
        <v>12.5</v>
      </c>
      <c r="AK13" s="104">
        <v>36.363599999999998</v>
      </c>
      <c r="AL13" s="104">
        <v>20</v>
      </c>
      <c r="AM13" s="104">
        <v>9.2592999999999996</v>
      </c>
      <c r="AN13" s="104">
        <v>6.7797000000000001</v>
      </c>
      <c r="AO13" s="104">
        <v>11.1111</v>
      </c>
      <c r="AP13" s="104">
        <v>2.8571</v>
      </c>
      <c r="AQ13" s="104">
        <v>8.3332999999999995</v>
      </c>
      <c r="AR13" s="104">
        <v>12.820499999999999</v>
      </c>
      <c r="AS13" s="104">
        <v>227.27269999999999</v>
      </c>
      <c r="AT13" s="104">
        <v>-87.916700000000006</v>
      </c>
      <c r="AU13" s="104">
        <v>220.68960000000001</v>
      </c>
      <c r="AV13" s="104">
        <v>7.5269000000000004</v>
      </c>
      <c r="AX13" s="98" t="s">
        <v>741</v>
      </c>
      <c r="AY13" s="98" t="s">
        <v>742</v>
      </c>
      <c r="AZ13" s="104">
        <v>0</v>
      </c>
      <c r="BA13" s="104">
        <v>0</v>
      </c>
      <c r="BB13" s="104">
        <v>0</v>
      </c>
      <c r="BC13" s="104">
        <v>0</v>
      </c>
      <c r="BD13" s="104">
        <v>0</v>
      </c>
      <c r="BE13" s="104">
        <v>0</v>
      </c>
      <c r="BF13" s="104">
        <v>0</v>
      </c>
      <c r="BG13" s="104">
        <v>0</v>
      </c>
      <c r="BH13" s="104">
        <v>0</v>
      </c>
      <c r="BI13" s="104">
        <v>0</v>
      </c>
      <c r="BJ13" s="104">
        <v>0</v>
      </c>
      <c r="BK13" s="104">
        <v>0</v>
      </c>
      <c r="BL13" s="104">
        <v>0</v>
      </c>
      <c r="BM13" s="104">
        <v>0</v>
      </c>
      <c r="BN13" s="104">
        <v>0</v>
      </c>
      <c r="BO13" s="104">
        <v>0</v>
      </c>
      <c r="BP13" s="104">
        <v>0</v>
      </c>
      <c r="BQ13" s="104">
        <v>0</v>
      </c>
      <c r="BR13" s="104">
        <v>0</v>
      </c>
      <c r="BS13" s="104">
        <v>0</v>
      </c>
    </row>
    <row r="14" spans="1:71" x14ac:dyDescent="0.25">
      <c r="A14" s="101" t="s">
        <v>453</v>
      </c>
      <c r="B14" s="101" t="s">
        <v>97</v>
      </c>
      <c r="C14" s="102" t="s">
        <v>201</v>
      </c>
      <c r="D14" s="102" t="s">
        <v>201</v>
      </c>
      <c r="E14" s="102" t="s">
        <v>201</v>
      </c>
      <c r="F14" s="102" t="s">
        <v>201</v>
      </c>
      <c r="G14" s="102" t="s">
        <v>201</v>
      </c>
      <c r="H14" s="109"/>
      <c r="I14" s="102">
        <v>37.411999999999999</v>
      </c>
      <c r="J14" s="102">
        <v>39.942999999999998</v>
      </c>
      <c r="L14" s="98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X14" s="96" t="s">
        <v>61</v>
      </c>
      <c r="AY14" s="96" t="s">
        <v>61</v>
      </c>
      <c r="AZ14" s="245">
        <f>_xll.BDH("UNP US Equity","WACC","FY 2022","FY 2022","Currency=USD","Period=FY","BEST_FPERIOD_OVERRIDE=FY","FILING_STATUS=MR","Sort=D","Dates=H","DateFormat=P","Fill=—","Direction=H","UseDPDF=Y")</f>
        <v>7.0156000000000001</v>
      </c>
      <c r="BA14" s="245">
        <f>_xll.BDH("UNP US Equity","WACC","FY 2021","FY 2021","Currency=USD","Period=FY","BEST_FPERIOD_OVERRIDE=FY","FILING_STATUS=MR","Sort=D","Dates=H","DateFormat=P","Fill=—","Direction=H","UseDPDF=Y")</f>
        <v>8.9158000000000008</v>
      </c>
      <c r="BB14" s="245">
        <f>_xll.BDH("UNP US Equity","WACC","FY 2020","FY 2020","Currency=USD","Period=FY","BEST_FPERIOD_OVERRIDE=FY","FILING_STATUS=MR","Sort=D","Dates=H","DateFormat=P","Fill=—","Direction=H","UseDPDF=Y")</f>
        <v>7.6742999999999997</v>
      </c>
      <c r="BC14" s="245">
        <f>_xll.BDH("UNP US Equity","WACC","FY 2019","FY 2019","Currency=USD","Period=FY","BEST_FPERIOD_OVERRIDE=FY","FILING_STATUS=MR","Sort=D","Dates=H","DateFormat=P","Fill=—","Direction=H","UseDPDF=Y")</f>
        <v>7.3163</v>
      </c>
      <c r="BD14" s="245">
        <f>_xll.BDH("UNP US Equity","WACC","FY 2018","FY 2018","Currency=USD","Period=FY","BEST_FPERIOD_OVERRIDE=FY","FILING_STATUS=MR","Sort=D","Dates=H","DateFormat=P","Fill=—","Direction=H","UseDPDF=Y")</f>
        <v>9.3826000000000001</v>
      </c>
      <c r="BE14" s="245">
        <f>_xll.BDH("UNP US Equity","WACC","FY 2017","FY 2017","Currency=USD","Period=FY","BEST_FPERIOD_OVERRIDE=FY","FILING_STATUS=MR","Sort=D","Dates=H","DateFormat=P","Fill=—","Direction=H","UseDPDF=Y")</f>
        <v>7.7234999999999996</v>
      </c>
      <c r="BF14" s="245">
        <f>_xll.BDH("UNP US Equity","WACC","FY 2016","FY 2016","Currency=USD","Period=FY","BEST_FPERIOD_OVERRIDE=FY","FILING_STATUS=MR","Sort=D","Dates=H","DateFormat=P","Fill=—","Direction=H","UseDPDF=Y")</f>
        <v>8.0488999999999997</v>
      </c>
      <c r="BG14" s="245">
        <f>_xll.BDH("UNP US Equity","WACC","FY 2015","FY 2015","Currency=USD","Period=FY","BEST_FPERIOD_OVERRIDE=FY","FILING_STATUS=MR","Sort=D","Dates=H","DateFormat=P","Fill=—","Direction=H","UseDPDF=Y")</f>
        <v>8.9575999999999993</v>
      </c>
      <c r="BH14" s="245">
        <f>_xll.BDH("UNP US Equity","WACC","FY 2014","FY 2014","Currency=USD","Period=FY","BEST_FPERIOD_OVERRIDE=FY","FILING_STATUS=MR","Sort=D","Dates=H","DateFormat=P","Fill=—","Direction=H","UseDPDF=Y")</f>
        <v>8.6918000000000006</v>
      </c>
      <c r="BI14" s="245">
        <f>_xll.BDH("UNP US Equity","WACC","FY 2013","FY 2013","Currency=USD","Period=FY","BEST_FPERIOD_OVERRIDE=FY","FILING_STATUS=MR","Sort=D","Dates=H","DateFormat=P","Fill=—","Direction=H","UseDPDF=Y")</f>
        <v>8.9777000000000005</v>
      </c>
      <c r="BJ14" s="245">
        <f>_xll.BDH("UNP US Equity","WACC","FY 2012","FY 2012","Currency=USD","Period=FY","BEST_FPERIOD_OVERRIDE=FY","FILING_STATUS=MR","Sort=D","Dates=H","DateFormat=P","Fill=—","Direction=H","UseDPDF=Y")</f>
        <v>10.0191</v>
      </c>
      <c r="BK14" s="245">
        <f>_xll.BDH("UNP US Equity","WACC","FY 2011","FY 2011","Currency=USD","Period=FY","BEST_FPERIOD_OVERRIDE=FY","FILING_STATUS=MR","Sort=D","Dates=H","DateFormat=P","Fill=—","Direction=H","UseDPDF=Y")</f>
        <v>10.3805</v>
      </c>
      <c r="BL14" s="245">
        <f>_xll.BDH("UNP US Equity","WACC","FY 2010","FY 2010","Currency=USD","Period=FY","BEST_FPERIOD_OVERRIDE=FY","FILING_STATUS=MR","Sort=D","Dates=H","DateFormat=P","Fill=—","Direction=H","UseDPDF=Y")</f>
        <v>11.7584</v>
      </c>
      <c r="BM14" s="245">
        <f>_xll.BDH("UNP US Equity","WACC","FY 2009","FY 2009","Currency=USD","Period=FY","BEST_FPERIOD_OVERRIDE=FY","FILING_STATUS=MR","Sort=D","Dates=H","DateFormat=P","Fill=—","Direction=H","UseDPDF=Y")</f>
        <v>9.0324000000000009</v>
      </c>
      <c r="BN14" s="245">
        <f>_xll.BDH("UNP US Equity","WACC","FY 2008","FY 2008","Currency=USD","Period=FY","BEST_FPERIOD_OVERRIDE=FY","FILING_STATUS=MR","Sort=D","Dates=H","DateFormat=P","Fill=—","Direction=H","UseDPDF=Y")</f>
        <v>8.5612999999999992</v>
      </c>
      <c r="BO14" s="245">
        <f>_xll.BDH("UNP US Equity","WACC","FY 2007","FY 2007","Currency=USD","Period=FY","BEST_FPERIOD_OVERRIDE=FY","FILING_STATUS=MR","Sort=D","Dates=H","DateFormat=P","Fill=—","Direction=H","UseDPDF=Y")</f>
        <v>10.376300000000001</v>
      </c>
      <c r="BP14" s="245">
        <f>_xll.BDH("UNP US Equity","WACC","FY 2006","FY 2006","Currency=USD","Period=FY","BEST_FPERIOD_OVERRIDE=FY","FILING_STATUS=MR","Sort=D","Dates=H","DateFormat=P","Fill=—","Direction=H","UseDPDF=Y")</f>
        <v>8.9916999999999998</v>
      </c>
      <c r="BQ14" s="245">
        <f>_xll.BDH("UNP US Equity","WACC","FY 2005","FY 2005","Currency=USD","Period=FY","BEST_FPERIOD_OVERRIDE=FY","FILING_STATUS=MR","Sort=D","Dates=H","DateFormat=P","Fill=—","Direction=H","UseDPDF=Y")</f>
        <v>8.1770999999999994</v>
      </c>
      <c r="BR14" s="245">
        <f>_xll.BDH("UNP US Equity","WACC","FY 2004","FY 2004","Currency=USD","Period=FY","BEST_FPERIOD_OVERRIDE=FY","FILING_STATUS=MR","Sort=D","Dates=H","DateFormat=P","Fill=—","Direction=H","UseDPDF=Y")</f>
        <v>6.88</v>
      </c>
      <c r="BS14" s="245">
        <f>_xll.BDH("UNP US Equity","WACC","FY 2003","FY 2003","Currency=USD","Period=FY","BEST_FPERIOD_OVERRIDE=FY","FILING_STATUS=MR","Sort=D","Dates=H","DateFormat=P","Fill=—","Direction=H","UseDPDF=Y")</f>
        <v>6.7371999999999996</v>
      </c>
    </row>
    <row r="15" spans="1:71" x14ac:dyDescent="0.25">
      <c r="A15" s="96" t="s">
        <v>454</v>
      </c>
      <c r="B15" s="96" t="s">
        <v>16</v>
      </c>
      <c r="C15" s="100">
        <v>10708</v>
      </c>
      <c r="D15" s="100">
        <v>11136</v>
      </c>
      <c r="E15" s="100">
        <v>10570</v>
      </c>
      <c r="F15" s="100">
        <v>11849</v>
      </c>
      <c r="G15" s="100">
        <v>12593</v>
      </c>
      <c r="H15" s="108">
        <v>11363</v>
      </c>
      <c r="I15" s="100">
        <v>11291.6</v>
      </c>
      <c r="J15" s="100">
        <v>12238.916999999999</v>
      </c>
      <c r="L15" s="98" t="s">
        <v>590</v>
      </c>
      <c r="M15" s="98" t="s">
        <v>591</v>
      </c>
      <c r="N15" s="104">
        <v>2.2831000000000001</v>
      </c>
      <c r="O15" s="104">
        <v>-28.013400000000001</v>
      </c>
      <c r="P15" s="104">
        <v>12.8682</v>
      </c>
      <c r="Q15" s="104">
        <v>0</v>
      </c>
      <c r="R15" s="104">
        <v>-16.895600000000002</v>
      </c>
      <c r="S15" s="104">
        <v>10.4132</v>
      </c>
      <c r="T15" s="104">
        <v>5.6886000000000001</v>
      </c>
      <c r="U15" s="104">
        <v>17.847000000000001</v>
      </c>
      <c r="V15" s="104">
        <v>7.4519000000000002</v>
      </c>
      <c r="W15" s="104">
        <v>10.402699999999999</v>
      </c>
      <c r="X15" s="104">
        <v>-9.0172000000000008</v>
      </c>
      <c r="Y15" s="104">
        <v>26.391999999999999</v>
      </c>
      <c r="Z15" s="104">
        <v>-25.110099999999999</v>
      </c>
      <c r="AA15" s="104">
        <v>3.2940999999999998</v>
      </c>
      <c r="AB15" s="104">
        <v>-8.9977</v>
      </c>
      <c r="AC15" s="104">
        <v>45.556899999999999</v>
      </c>
      <c r="AD15" s="104">
        <v>-0.34389999999999998</v>
      </c>
      <c r="AE15" s="104">
        <v>3.7101000000000002</v>
      </c>
      <c r="AF15" s="104">
        <v>-2.3294999999999999</v>
      </c>
      <c r="AG15" s="104">
        <v>0</v>
      </c>
      <c r="AH15" s="104">
        <v>-5.7069999999999999</v>
      </c>
      <c r="AI15" s="104">
        <v>-10.1174</v>
      </c>
      <c r="AJ15" s="104">
        <v>-0.20100000000000001</v>
      </c>
      <c r="AK15" s="104">
        <v>0.70489999999999997</v>
      </c>
      <c r="AL15" s="104">
        <v>-3.8</v>
      </c>
      <c r="AM15" s="104">
        <v>9.3554999999999993</v>
      </c>
      <c r="AN15" s="104">
        <v>7.3193999999999999</v>
      </c>
      <c r="AO15" s="104">
        <v>-13.0204</v>
      </c>
      <c r="AP15" s="104">
        <v>-4.4806999999999997</v>
      </c>
      <c r="AQ15" s="104">
        <v>3.4115000000000002</v>
      </c>
      <c r="AR15" s="104">
        <v>4.1237000000000004</v>
      </c>
      <c r="AS15" s="104">
        <v>-2.3761999999999999</v>
      </c>
      <c r="AT15" s="104">
        <v>-7.5050999999999997</v>
      </c>
      <c r="AU15" s="104">
        <v>25.877199999999998</v>
      </c>
      <c r="AV15" s="104">
        <v>14.3728</v>
      </c>
      <c r="AX15" s="96"/>
      <c r="AY15" s="97">
        <f>AVERAGE(AZ14:BS14)</f>
        <v>8.6809049999999992</v>
      </c>
      <c r="AZ15" s="207">
        <f t="shared" ref="AZ15:BO15" si="0">(AZ14-BA14)/BA14</f>
        <v>-0.21312725722874007</v>
      </c>
      <c r="BA15" s="207">
        <f t="shared" si="0"/>
        <v>0.16177371226040177</v>
      </c>
      <c r="BB15" s="207">
        <f t="shared" si="0"/>
        <v>4.8931837130790107E-2</v>
      </c>
      <c r="BC15" s="207">
        <f t="shared" si="0"/>
        <v>-0.22022680280519258</v>
      </c>
      <c r="BD15" s="207">
        <f t="shared" si="0"/>
        <v>0.21481193759306022</v>
      </c>
      <c r="BE15" s="207">
        <f t="shared" si="0"/>
        <v>-4.0427884555653583E-2</v>
      </c>
      <c r="BF15" s="207">
        <f t="shared" si="0"/>
        <v>-0.10144458337054564</v>
      </c>
      <c r="BG15" s="207">
        <f t="shared" si="0"/>
        <v>3.0580547182401652E-2</v>
      </c>
      <c r="BH15" s="207">
        <f t="shared" si="0"/>
        <v>-3.1845572919567348E-2</v>
      </c>
      <c r="BI15" s="207">
        <f t="shared" si="0"/>
        <v>-0.10394147178888317</v>
      </c>
      <c r="BJ15" s="207">
        <f t="shared" si="0"/>
        <v>-3.4815278647463969E-2</v>
      </c>
      <c r="BK15" s="207">
        <f t="shared" si="0"/>
        <v>-0.11718431079058378</v>
      </c>
      <c r="BL15" s="207">
        <f t="shared" si="0"/>
        <v>0.30180240024799598</v>
      </c>
      <c r="BM15" s="207">
        <f t="shared" si="0"/>
        <v>5.5026689871865452E-2</v>
      </c>
      <c r="BN15" s="207">
        <f t="shared" si="0"/>
        <v>-0.17491784161984533</v>
      </c>
      <c r="BO15" s="207">
        <f t="shared" si="0"/>
        <v>0.15398645417440537</v>
      </c>
      <c r="BP15" s="207"/>
      <c r="BQ15" s="207"/>
      <c r="BR15" s="207"/>
      <c r="BS15" s="97"/>
    </row>
    <row r="16" spans="1:71" x14ac:dyDescent="0.25">
      <c r="A16" s="101" t="s">
        <v>453</v>
      </c>
      <c r="B16" s="101" t="s">
        <v>16</v>
      </c>
      <c r="C16" s="102">
        <v>46.899088997897699</v>
      </c>
      <c r="D16" s="102">
        <v>51.2990602542841</v>
      </c>
      <c r="E16" s="102">
        <v>54.113551425792302</v>
      </c>
      <c r="F16" s="102">
        <v>54.3432397725188</v>
      </c>
      <c r="G16" s="102">
        <v>50.625125628140701</v>
      </c>
      <c r="H16" s="109">
        <v>47.071251035625501</v>
      </c>
      <c r="I16" s="102">
        <v>47.0644921423022</v>
      </c>
      <c r="J16" s="102">
        <v>48.9064485501791</v>
      </c>
      <c r="L16" s="98" t="s">
        <v>592</v>
      </c>
      <c r="M16" s="98" t="s">
        <v>593</v>
      </c>
      <c r="N16" s="104">
        <v>-33.608800000000002</v>
      </c>
      <c r="O16" s="104">
        <v>-1.6597999999999999</v>
      </c>
      <c r="P16" s="104">
        <v>8.4388000000000005</v>
      </c>
      <c r="Q16" s="104">
        <v>-19.8444</v>
      </c>
      <c r="R16" s="104">
        <v>-8.2523999999999997</v>
      </c>
      <c r="S16" s="104">
        <v>5.2910000000000004</v>
      </c>
      <c r="T16" s="104">
        <v>6.0301999999999998</v>
      </c>
      <c r="U16" s="104">
        <v>4.2653999999999996</v>
      </c>
      <c r="V16" s="104">
        <v>4.0909000000000004</v>
      </c>
      <c r="W16" s="104">
        <v>-0.87339999999999995</v>
      </c>
      <c r="X16" s="104">
        <v>-0.88109999999999999</v>
      </c>
      <c r="Y16" s="104">
        <v>-2.2222</v>
      </c>
      <c r="Z16" s="104">
        <v>11.3636</v>
      </c>
      <c r="AA16" s="104">
        <v>-15.9184</v>
      </c>
      <c r="AB16" s="104">
        <v>-12.6214</v>
      </c>
      <c r="AC16" s="104">
        <v>-5.5556000000000001</v>
      </c>
      <c r="AD16" s="104">
        <v>-2.9411999999999998</v>
      </c>
      <c r="AE16" s="104">
        <v>20.606100000000001</v>
      </c>
      <c r="AF16" s="104">
        <v>2.5125999999999999</v>
      </c>
      <c r="AG16" s="104">
        <v>17.647099999999998</v>
      </c>
      <c r="AH16" s="104">
        <v>-9.5832999999999995</v>
      </c>
      <c r="AI16" s="104">
        <v>-6.4516</v>
      </c>
      <c r="AJ16" s="104">
        <v>7.3891999999999998</v>
      </c>
      <c r="AK16" s="104">
        <v>10.091699999999999</v>
      </c>
      <c r="AL16" s="104">
        <v>14.166700000000001</v>
      </c>
      <c r="AM16" s="104">
        <v>-8.0291999999999994</v>
      </c>
      <c r="AN16" s="104">
        <v>8.3332999999999995</v>
      </c>
      <c r="AO16" s="104">
        <v>28.205100000000002</v>
      </c>
      <c r="AP16" s="104">
        <v>16.285699999999999</v>
      </c>
      <c r="AQ16" s="104">
        <v>-8.5995000000000008</v>
      </c>
      <c r="AR16" s="104">
        <v>-29.301100000000002</v>
      </c>
      <c r="AS16" s="104">
        <v>-0.76049999999999995</v>
      </c>
      <c r="AT16" s="104">
        <v>15.7088</v>
      </c>
      <c r="AU16" s="104">
        <v>12.2517</v>
      </c>
      <c r="AV16" s="104">
        <v>0.59</v>
      </c>
      <c r="AX16" s="96" t="s">
        <v>743</v>
      </c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207" cm="1">
        <f t="array" ref="BS16">GEOMEAN(AZ15:BO15/100+1)-1</f>
        <v>-4.5499137676374701E-5</v>
      </c>
    </row>
    <row r="17" spans="1:71" x14ac:dyDescent="0.25">
      <c r="A17" s="96" t="s">
        <v>455</v>
      </c>
      <c r="B17" s="96" t="s">
        <v>156</v>
      </c>
      <c r="C17" s="100">
        <v>6027.62</v>
      </c>
      <c r="D17" s="100">
        <v>5903.2</v>
      </c>
      <c r="E17" s="100">
        <v>5510.4629999999997</v>
      </c>
      <c r="F17" s="100">
        <v>6417.14</v>
      </c>
      <c r="G17" s="100">
        <v>7067</v>
      </c>
      <c r="H17" s="108">
        <v>6348</v>
      </c>
      <c r="I17" s="100">
        <v>6251.192</v>
      </c>
      <c r="J17" s="100">
        <v>6836.8850000000002</v>
      </c>
      <c r="L17" s="98" t="s">
        <v>594</v>
      </c>
      <c r="M17" s="98" t="s">
        <v>595</v>
      </c>
      <c r="N17" s="104">
        <v>-5.2252999999999998</v>
      </c>
      <c r="O17" s="104">
        <v>0.218</v>
      </c>
      <c r="P17" s="104">
        <v>3.5122</v>
      </c>
      <c r="Q17" s="104">
        <v>1.8616999999999999</v>
      </c>
      <c r="R17" s="104">
        <v>4.5102000000000002</v>
      </c>
      <c r="S17" s="104">
        <v>1.4291</v>
      </c>
      <c r="T17" s="104">
        <v>2.3730000000000002</v>
      </c>
      <c r="U17" s="104">
        <v>2.2907999999999999</v>
      </c>
      <c r="V17" s="104">
        <v>5.3907999999999996</v>
      </c>
      <c r="W17" s="104">
        <v>4.1996000000000002</v>
      </c>
      <c r="X17" s="104">
        <v>1.9265000000000001</v>
      </c>
      <c r="Y17" s="104">
        <v>-3.0684</v>
      </c>
      <c r="Z17" s="104">
        <v>3.1410999999999998</v>
      </c>
      <c r="AA17" s="104">
        <v>2.6103000000000001</v>
      </c>
      <c r="AB17" s="104">
        <v>2.4205999999999999</v>
      </c>
      <c r="AC17" s="104">
        <v>3.3418999999999999</v>
      </c>
      <c r="AD17" s="104">
        <v>45.265799999999999</v>
      </c>
      <c r="AE17" s="104">
        <v>1.093</v>
      </c>
      <c r="AF17" s="104">
        <v>3.7692999999999999</v>
      </c>
      <c r="AG17" s="104">
        <v>4.0960000000000001</v>
      </c>
      <c r="AH17" s="104">
        <v>4.1689999999999996</v>
      </c>
      <c r="AI17" s="104">
        <v>1.6573</v>
      </c>
      <c r="AJ17" s="104">
        <v>3.1867999999999999</v>
      </c>
      <c r="AK17" s="104">
        <v>4.9371999999999998</v>
      </c>
      <c r="AL17" s="104">
        <v>4.3085000000000004</v>
      </c>
      <c r="AM17" s="104">
        <v>4.7638999999999996</v>
      </c>
      <c r="AN17" s="104">
        <v>4.7378</v>
      </c>
      <c r="AO17" s="104">
        <v>5.5625999999999998</v>
      </c>
      <c r="AP17" s="104">
        <v>3.2345999999999999</v>
      </c>
      <c r="AQ17" s="104">
        <v>1.9711000000000001</v>
      </c>
      <c r="AR17" s="104">
        <v>0.73670000000000002</v>
      </c>
      <c r="AS17" s="104">
        <v>2.1939000000000002</v>
      </c>
      <c r="AT17" s="104">
        <v>0.66059999999999997</v>
      </c>
      <c r="AU17" s="104">
        <v>1.8228</v>
      </c>
      <c r="AV17" s="104">
        <v>3.6728999999999998</v>
      </c>
      <c r="AX17" s="98" t="s">
        <v>744</v>
      </c>
      <c r="AY17" s="98" t="s">
        <v>442</v>
      </c>
      <c r="AZ17" s="104">
        <v>64016.049700000003</v>
      </c>
      <c r="BA17" s="104">
        <v>82787.191200000001</v>
      </c>
      <c r="BB17" s="104">
        <v>207598.5203</v>
      </c>
      <c r="BC17" s="104">
        <v>55968.361599999997</v>
      </c>
      <c r="BD17" s="104">
        <v>50833.523399999998</v>
      </c>
      <c r="BE17" s="104">
        <v>48950.703500000003</v>
      </c>
      <c r="BF17" s="104">
        <v>33349.507400000002</v>
      </c>
      <c r="BG17" s="104">
        <v>25228.880799999999</v>
      </c>
      <c r="BH17" s="104">
        <v>36371.5579</v>
      </c>
      <c r="BI17" s="104">
        <v>28540.649399999998</v>
      </c>
      <c r="BJ17" s="104">
        <v>19828.0236</v>
      </c>
      <c r="BK17" s="104">
        <v>22095.2464</v>
      </c>
      <c r="BL17" s="104">
        <v>23905.7</v>
      </c>
      <c r="BM17" s="104">
        <v>19807.2</v>
      </c>
      <c r="BN17" s="104">
        <v>12301.569</v>
      </c>
      <c r="BO17" s="104">
        <v>18056.139299999999</v>
      </c>
      <c r="BP17" s="104">
        <v>15072.2145</v>
      </c>
      <c r="BQ17" s="104">
        <v>11078.166300000001</v>
      </c>
      <c r="BR17" s="104">
        <v>8638.4022999999997</v>
      </c>
      <c r="BS17" s="104">
        <v>7669.4318999999996</v>
      </c>
    </row>
    <row r="18" spans="1:71" x14ac:dyDescent="0.25">
      <c r="A18" s="101" t="s">
        <v>453</v>
      </c>
      <c r="B18" s="101" t="s">
        <v>156</v>
      </c>
      <c r="C18" s="102">
        <v>26.399877365101599</v>
      </c>
      <c r="D18" s="102">
        <v>27.193661323014599</v>
      </c>
      <c r="E18" s="102">
        <v>28.211042850560599</v>
      </c>
      <c r="F18" s="102">
        <v>29.4310218308567</v>
      </c>
      <c r="G18" s="102">
        <v>28.410050251256301</v>
      </c>
      <c r="H18" s="109">
        <v>26.2966031483016</v>
      </c>
      <c r="I18" s="102">
        <v>26.0555790821515</v>
      </c>
      <c r="J18" s="102">
        <v>27.320045106604699</v>
      </c>
      <c r="L18" s="98" t="s">
        <v>47</v>
      </c>
      <c r="M18" s="98" t="s">
        <v>596</v>
      </c>
      <c r="N18" s="104">
        <v>-1.5494000000000001</v>
      </c>
      <c r="O18" s="104">
        <v>-5.5888</v>
      </c>
      <c r="P18" s="104">
        <v>4.1144999999999996</v>
      </c>
      <c r="Q18" s="104">
        <v>-4.6899999999999997E-2</v>
      </c>
      <c r="R18" s="104">
        <v>1.9612000000000001</v>
      </c>
      <c r="S18" s="104">
        <v>2.8431000000000002</v>
      </c>
      <c r="T18" s="104">
        <v>2.2652999999999999</v>
      </c>
      <c r="U18" s="104">
        <v>4.0659000000000001</v>
      </c>
      <c r="V18" s="104">
        <v>18.785900000000002</v>
      </c>
      <c r="W18" s="104">
        <v>17.636299999999999</v>
      </c>
      <c r="X18" s="104">
        <v>2.3551000000000002</v>
      </c>
      <c r="Y18" s="104">
        <v>1.4343999999999999</v>
      </c>
      <c r="Z18" s="104">
        <v>-1.1052</v>
      </c>
      <c r="AA18" s="104">
        <v>1.5128999999999999</v>
      </c>
      <c r="AB18" s="104">
        <v>0.72109999999999996</v>
      </c>
      <c r="AC18" s="104">
        <v>3.8614000000000002</v>
      </c>
      <c r="AD18" s="104">
        <v>13.074400000000001</v>
      </c>
      <c r="AE18" s="104">
        <v>-1.516</v>
      </c>
      <c r="AF18" s="104">
        <v>3.7017000000000002</v>
      </c>
      <c r="AG18" s="104">
        <v>1.6116999999999999</v>
      </c>
      <c r="AH18" s="104">
        <v>2.9529000000000001</v>
      </c>
      <c r="AI18" s="104">
        <v>2.2786</v>
      </c>
      <c r="AJ18" s="104">
        <v>4.6639999999999997</v>
      </c>
      <c r="AK18" s="104">
        <v>4.2748999999999997</v>
      </c>
      <c r="AL18" s="104">
        <v>4.1814</v>
      </c>
      <c r="AM18" s="104">
        <v>3.9613</v>
      </c>
      <c r="AN18" s="104">
        <v>3.9990999999999999</v>
      </c>
      <c r="AO18" s="104">
        <v>5.1191000000000004</v>
      </c>
      <c r="AP18" s="104">
        <v>1.9255</v>
      </c>
      <c r="AQ18" s="104">
        <v>0.91769999999999996</v>
      </c>
      <c r="AR18" s="104">
        <v>2.7700999999999998</v>
      </c>
      <c r="AS18" s="104">
        <v>4.1601999999999997</v>
      </c>
      <c r="AT18" s="104">
        <v>4.0149999999999997</v>
      </c>
      <c r="AU18" s="104">
        <v>1.8546</v>
      </c>
      <c r="AV18" s="104">
        <v>3.4073000000000002</v>
      </c>
      <c r="AX18" s="98" t="s">
        <v>745</v>
      </c>
      <c r="AY18" s="98" t="s">
        <v>256</v>
      </c>
      <c r="AZ18" s="104">
        <v>220</v>
      </c>
      <c r="BA18" s="104">
        <v>245</v>
      </c>
      <c r="BB18" s="104">
        <v>446</v>
      </c>
      <c r="BC18" s="104">
        <v>302</v>
      </c>
      <c r="BD18" s="104">
        <v>18</v>
      </c>
      <c r="BE18" s="104">
        <v>19</v>
      </c>
      <c r="BF18" s="104">
        <v>331</v>
      </c>
      <c r="BG18" s="104">
        <v>20</v>
      </c>
      <c r="BH18" s="104">
        <v>228</v>
      </c>
      <c r="BI18" s="104">
        <v>533</v>
      </c>
      <c r="BJ18" s="104">
        <v>780</v>
      </c>
      <c r="BK18" s="104">
        <v>507</v>
      </c>
      <c r="BL18" s="104">
        <v>613</v>
      </c>
      <c r="BM18" s="104">
        <v>113</v>
      </c>
      <c r="BN18" s="104">
        <v>320</v>
      </c>
      <c r="BO18" s="104">
        <v>787</v>
      </c>
      <c r="BP18" s="104">
        <v>600</v>
      </c>
      <c r="BQ18" s="104">
        <v>937</v>
      </c>
      <c r="BR18" s="104">
        <v>1084</v>
      </c>
      <c r="BS18" s="104">
        <v>428</v>
      </c>
    </row>
    <row r="19" spans="1:71" x14ac:dyDescent="0.25">
      <c r="A19" s="96" t="s">
        <v>456</v>
      </c>
      <c r="B19" s="96" t="s">
        <v>176</v>
      </c>
      <c r="C19" s="112">
        <v>7.9916999999999998</v>
      </c>
      <c r="D19" s="112">
        <v>8.3575999999999997</v>
      </c>
      <c r="E19" s="112">
        <v>8.1178000000000008</v>
      </c>
      <c r="F19" s="112">
        <v>9.7885000000000009</v>
      </c>
      <c r="G19" s="112">
        <v>11.320600000000001</v>
      </c>
      <c r="H19" s="113">
        <v>10.392299</v>
      </c>
      <c r="I19" s="112">
        <v>10.253</v>
      </c>
      <c r="J19" s="112">
        <v>11.321999999999999</v>
      </c>
      <c r="L19" s="98" t="s">
        <v>597</v>
      </c>
      <c r="M19" s="98" t="s">
        <v>598</v>
      </c>
      <c r="N19" s="104">
        <v>-30.416699999999999</v>
      </c>
      <c r="O19" s="104">
        <v>-92.814400000000006</v>
      </c>
      <c r="P19" s="104" t="s">
        <v>201</v>
      </c>
      <c r="Q19" s="104" t="s">
        <v>201</v>
      </c>
      <c r="R19" s="104" t="s">
        <v>201</v>
      </c>
      <c r="S19" s="104">
        <v>53.271000000000001</v>
      </c>
      <c r="T19" s="104">
        <v>82</v>
      </c>
      <c r="U19" s="104">
        <v>-666.66669999999999</v>
      </c>
      <c r="V19" s="104">
        <v>4.3478000000000003</v>
      </c>
      <c r="W19" s="104" t="s">
        <v>201</v>
      </c>
      <c r="X19" s="104" t="s">
        <v>201</v>
      </c>
      <c r="Y19" s="104" t="s">
        <v>201</v>
      </c>
      <c r="Z19" s="104">
        <v>-89.873400000000004</v>
      </c>
      <c r="AA19" s="104">
        <v>637.5</v>
      </c>
      <c r="AB19" s="104">
        <v>50</v>
      </c>
      <c r="AC19" s="104">
        <v>185.87569999999999</v>
      </c>
      <c r="AD19" s="104">
        <v>-10.2767</v>
      </c>
      <c r="AE19" s="104">
        <v>-1.5419</v>
      </c>
      <c r="AF19" s="104">
        <v>-9.6196999999999999</v>
      </c>
      <c r="AG19" s="104">
        <v>8.4158000000000008</v>
      </c>
      <c r="AH19" s="104">
        <v>-19.863</v>
      </c>
      <c r="AI19" s="104">
        <v>-34.188000000000002</v>
      </c>
      <c r="AJ19" s="104">
        <v>-28.571400000000001</v>
      </c>
      <c r="AK19" s="104">
        <v>34.545499999999997</v>
      </c>
      <c r="AL19" s="104">
        <v>0</v>
      </c>
      <c r="AM19" s="104">
        <v>56.3063</v>
      </c>
      <c r="AN19" s="104">
        <v>60.518700000000003</v>
      </c>
      <c r="AO19" s="104">
        <v>1.9749000000000001</v>
      </c>
      <c r="AP19" s="104">
        <v>-5.1055999999999999</v>
      </c>
      <c r="AQ19" s="104">
        <v>-8.1632999999999996</v>
      </c>
      <c r="AR19" s="104">
        <v>-34.545499999999997</v>
      </c>
      <c r="AS19" s="104">
        <v>-37.036999999999999</v>
      </c>
      <c r="AT19" s="104">
        <v>98.529399999999995</v>
      </c>
      <c r="AU19" s="104">
        <v>29.3827</v>
      </c>
      <c r="AV19" s="104">
        <v>0</v>
      </c>
      <c r="AX19" s="98" t="s">
        <v>746</v>
      </c>
      <c r="AY19" s="98" t="s">
        <v>277</v>
      </c>
      <c r="AZ19" s="104">
        <v>18384</v>
      </c>
      <c r="BA19" s="104">
        <v>16663</v>
      </c>
      <c r="BB19" s="104">
        <v>16759</v>
      </c>
      <c r="BC19" s="104">
        <v>16486</v>
      </c>
      <c r="BD19" s="104">
        <v>14739</v>
      </c>
      <c r="BE19" s="104">
        <v>11790</v>
      </c>
      <c r="BF19" s="104">
        <v>10962</v>
      </c>
      <c r="BG19" s="104">
        <v>10515</v>
      </c>
      <c r="BH19" s="104">
        <v>9514</v>
      </c>
      <c r="BI19" s="104">
        <v>9022</v>
      </c>
      <c r="BJ19" s="104">
        <v>9052</v>
      </c>
      <c r="BK19" s="104">
        <v>8734</v>
      </c>
      <c r="BL19" s="104">
        <v>8051</v>
      </c>
      <c r="BM19" s="104">
        <v>7895</v>
      </c>
      <c r="BN19" s="104">
        <v>7512</v>
      </c>
      <c r="BO19" s="104">
        <v>6470</v>
      </c>
      <c r="BP19" s="104">
        <v>5362</v>
      </c>
      <c r="BQ19" s="104">
        <v>5093</v>
      </c>
      <c r="BR19" s="104">
        <v>6248</v>
      </c>
      <c r="BS19" s="104">
        <v>6886</v>
      </c>
    </row>
    <row r="20" spans="1:71" x14ac:dyDescent="0.25">
      <c r="A20" s="101" t="s">
        <v>451</v>
      </c>
      <c r="B20" s="101" t="s">
        <v>176</v>
      </c>
      <c r="C20" s="102">
        <v>-39.580614942141601</v>
      </c>
      <c r="D20" s="102">
        <v>4.5789051930429698</v>
      </c>
      <c r="E20" s="102">
        <v>-2.8700022877315301</v>
      </c>
      <c r="F20" s="102">
        <v>20.5810469883317</v>
      </c>
      <c r="G20" s="102">
        <v>15.652041992219401</v>
      </c>
      <c r="H20" s="109">
        <v>-6.9889292981365703</v>
      </c>
      <c r="I20" s="102">
        <v>-9.4304115417438492</v>
      </c>
      <c r="J20" s="102">
        <v>10.4262167170584</v>
      </c>
      <c r="L20" s="98" t="s">
        <v>599</v>
      </c>
      <c r="M20" s="98" t="s">
        <v>600</v>
      </c>
      <c r="N20" s="104" t="s">
        <v>201</v>
      </c>
      <c r="O20" s="104">
        <v>0.95850000000000002</v>
      </c>
      <c r="P20" s="104">
        <v>6.7742000000000004</v>
      </c>
      <c r="Q20" s="104">
        <v>-62.9758</v>
      </c>
      <c r="R20" s="104">
        <v>8.8109999999999999</v>
      </c>
      <c r="S20" s="104">
        <v>18.0442</v>
      </c>
      <c r="T20" s="104">
        <v>-19.318200000000001</v>
      </c>
      <c r="U20" s="104">
        <v>-25.714300000000001</v>
      </c>
      <c r="V20" s="104">
        <v>35.132599999999996</v>
      </c>
      <c r="W20" s="104">
        <v>22.335799999999999</v>
      </c>
      <c r="X20" s="104">
        <v>-15.7895</v>
      </c>
      <c r="Y20" s="104">
        <v>-47.7273</v>
      </c>
      <c r="Z20" s="104">
        <v>-35.604399999999998</v>
      </c>
      <c r="AA20" s="104">
        <v>0.4052</v>
      </c>
      <c r="AB20" s="104">
        <v>45.890999999999998</v>
      </c>
      <c r="AC20" s="104">
        <v>53.834600000000002</v>
      </c>
      <c r="AD20" s="104">
        <v>-2.2801</v>
      </c>
      <c r="AE20" s="104">
        <v>-93.312100000000001</v>
      </c>
      <c r="AF20" s="104" t="s">
        <v>201</v>
      </c>
      <c r="AG20" s="104" t="s">
        <v>201</v>
      </c>
      <c r="AH20" s="104">
        <v>92.777799999999999</v>
      </c>
      <c r="AI20" s="104" t="s">
        <v>201</v>
      </c>
      <c r="AJ20" s="104">
        <v>-54.893599999999999</v>
      </c>
      <c r="AK20" s="104">
        <v>-22.012599999999999</v>
      </c>
      <c r="AL20" s="104">
        <v>-29.838699999999999</v>
      </c>
      <c r="AM20" s="104">
        <v>2.2989000000000002</v>
      </c>
      <c r="AN20" s="104">
        <v>161.23599999999999</v>
      </c>
      <c r="AO20" s="104">
        <v>90.967699999999994</v>
      </c>
      <c r="AP20" s="104">
        <v>-49.662199999999999</v>
      </c>
      <c r="AQ20" s="104">
        <v>-95.302000000000007</v>
      </c>
      <c r="AR20" s="104">
        <v>2995.2381</v>
      </c>
      <c r="AS20" s="104">
        <v>73.384600000000006</v>
      </c>
      <c r="AT20" s="104">
        <v>114.9068</v>
      </c>
      <c r="AU20" s="104">
        <v>-32.287399999999998</v>
      </c>
      <c r="AV20" s="104">
        <v>-15.9756</v>
      </c>
      <c r="AX20" s="98" t="s">
        <v>747</v>
      </c>
      <c r="AY20" s="98" t="s">
        <v>302</v>
      </c>
      <c r="AZ20" s="104">
        <v>0</v>
      </c>
      <c r="BA20" s="104">
        <v>0</v>
      </c>
      <c r="BB20" s="104">
        <v>0</v>
      </c>
      <c r="BC20" s="104">
        <v>0</v>
      </c>
      <c r="BD20" s="104">
        <v>0</v>
      </c>
      <c r="BE20" s="104">
        <v>0</v>
      </c>
      <c r="BF20" s="104">
        <v>0</v>
      </c>
      <c r="BG20" s="104">
        <v>0</v>
      </c>
      <c r="BH20" s="104">
        <v>0</v>
      </c>
      <c r="BI20" s="104">
        <v>0</v>
      </c>
      <c r="BJ20" s="104">
        <v>0</v>
      </c>
      <c r="BK20" s="104">
        <v>0</v>
      </c>
      <c r="BL20" s="104">
        <v>0</v>
      </c>
      <c r="BM20" s="104">
        <v>0</v>
      </c>
      <c r="BN20" s="104">
        <v>0</v>
      </c>
      <c r="BO20" s="104" t="s">
        <v>201</v>
      </c>
      <c r="BP20" s="104">
        <v>0</v>
      </c>
      <c r="BQ20" s="104">
        <v>0</v>
      </c>
      <c r="BR20" s="104">
        <v>0</v>
      </c>
      <c r="BS20" s="104">
        <v>0</v>
      </c>
    </row>
    <row r="21" spans="1:71" x14ac:dyDescent="0.25">
      <c r="A21" s="96"/>
      <c r="B21" s="97"/>
      <c r="C21" s="97"/>
      <c r="D21" s="97"/>
      <c r="E21" s="97"/>
      <c r="F21" s="97"/>
      <c r="G21" s="97"/>
      <c r="H21" s="106"/>
      <c r="I21" s="97"/>
      <c r="J21" s="97"/>
      <c r="L21" s="98" t="s">
        <v>601</v>
      </c>
      <c r="M21" s="98" t="s">
        <v>602</v>
      </c>
      <c r="N21" s="104">
        <v>-3.3611</v>
      </c>
      <c r="O21" s="104">
        <v>-1.6138999999999999</v>
      </c>
      <c r="P21" s="104">
        <v>-3.1263999999999998</v>
      </c>
      <c r="Q21" s="104">
        <v>-2.9161999999999999</v>
      </c>
      <c r="R21" s="104">
        <v>-4.6839000000000004</v>
      </c>
      <c r="S21" s="104">
        <v>-1.1240000000000001</v>
      </c>
      <c r="T21" s="104">
        <v>-9.7379999999999995</v>
      </c>
      <c r="U21" s="104">
        <v>10.6403</v>
      </c>
      <c r="V21" s="104">
        <v>0.66810000000000003</v>
      </c>
      <c r="W21" s="104">
        <v>-0.8518</v>
      </c>
      <c r="X21" s="104">
        <v>-1.6286</v>
      </c>
      <c r="Y21" s="104" t="s">
        <v>201</v>
      </c>
      <c r="Z21" s="104" t="s">
        <v>201</v>
      </c>
      <c r="AA21" s="104">
        <v>-3.8717000000000001</v>
      </c>
      <c r="AB21" s="104" t="s">
        <v>201</v>
      </c>
      <c r="AC21" s="104" t="s">
        <v>201</v>
      </c>
      <c r="AD21" s="104">
        <v>-4.4488000000000003</v>
      </c>
      <c r="AE21" s="104">
        <v>-2.3628</v>
      </c>
      <c r="AF21" s="104">
        <v>2.8571</v>
      </c>
      <c r="AG21" s="104">
        <v>-2.7778</v>
      </c>
      <c r="AH21" s="104">
        <v>-2.8571</v>
      </c>
      <c r="AI21" s="104">
        <v>-11.5059</v>
      </c>
      <c r="AJ21" s="104">
        <v>-0.29249999999999998</v>
      </c>
      <c r="AK21" s="104">
        <v>3.3332999999999999</v>
      </c>
      <c r="AL21" s="104">
        <v>3.2258</v>
      </c>
      <c r="AM21" s="104">
        <v>-3.125</v>
      </c>
      <c r="AN21" s="104">
        <v>3.2258</v>
      </c>
      <c r="AO21" s="104">
        <v>-9.375</v>
      </c>
      <c r="AP21" s="104">
        <v>-6.8966000000000003</v>
      </c>
      <c r="AQ21" s="104">
        <v>-11.1111</v>
      </c>
      <c r="AR21" s="104">
        <v>-6.25</v>
      </c>
      <c r="AS21" s="104">
        <v>-6.6666999999999996</v>
      </c>
      <c r="AT21" s="104">
        <v>-8.1809999999999992</v>
      </c>
      <c r="AU21" s="104">
        <v>8.4898000000000007</v>
      </c>
      <c r="AV21" s="104">
        <v>7.7584999999999997</v>
      </c>
      <c r="AX21" s="96" t="s">
        <v>748</v>
      </c>
      <c r="AY21" s="96" t="s">
        <v>749</v>
      </c>
      <c r="AZ21" s="112">
        <v>82620.049700000003</v>
      </c>
      <c r="BA21" s="112">
        <v>99695.191200000001</v>
      </c>
      <c r="BB21" s="112">
        <v>224803.5203</v>
      </c>
      <c r="BC21" s="112">
        <v>72756.361600000004</v>
      </c>
      <c r="BD21" s="112">
        <v>65590.523400000005</v>
      </c>
      <c r="BE21" s="112">
        <v>60759.703500000003</v>
      </c>
      <c r="BF21" s="112">
        <v>44642.507400000002</v>
      </c>
      <c r="BG21" s="112">
        <v>35763.880799999999</v>
      </c>
      <c r="BH21" s="112">
        <v>46113.5579</v>
      </c>
      <c r="BI21" s="112">
        <v>38095.649400000002</v>
      </c>
      <c r="BJ21" s="112">
        <v>29660.0236</v>
      </c>
      <c r="BK21" s="112">
        <v>31336.2464</v>
      </c>
      <c r="BL21" s="112">
        <v>32569.7</v>
      </c>
      <c r="BM21" s="112">
        <v>27815.200000000001</v>
      </c>
      <c r="BN21" s="112">
        <v>20133.569</v>
      </c>
      <c r="BO21" s="112">
        <v>25313.139299999999</v>
      </c>
      <c r="BP21" s="112">
        <v>21034.214499999998</v>
      </c>
      <c r="BQ21" s="112">
        <v>17108.166300000001</v>
      </c>
      <c r="BR21" s="112">
        <v>15970.4023</v>
      </c>
      <c r="BS21" s="112">
        <v>14983.4319</v>
      </c>
    </row>
    <row r="22" spans="1:71" x14ac:dyDescent="0.25">
      <c r="A22" s="96" t="s">
        <v>457</v>
      </c>
      <c r="B22" s="96" t="s">
        <v>366</v>
      </c>
      <c r="C22" s="100">
        <v>8686</v>
      </c>
      <c r="D22" s="100">
        <v>8609</v>
      </c>
      <c r="E22" s="100">
        <v>8540</v>
      </c>
      <c r="F22" s="100">
        <v>9032</v>
      </c>
      <c r="G22" s="100">
        <v>9362</v>
      </c>
      <c r="H22" s="108">
        <v>8276</v>
      </c>
      <c r="I22" s="100"/>
      <c r="J22" s="100"/>
      <c r="L22" s="98" t="s">
        <v>603</v>
      </c>
      <c r="M22" s="98" t="s">
        <v>604</v>
      </c>
      <c r="N22" s="104">
        <v>5.7971000000000004</v>
      </c>
      <c r="O22" s="104">
        <v>6.8493000000000004</v>
      </c>
      <c r="P22" s="104">
        <v>20.279699999999998</v>
      </c>
      <c r="Q22" s="104">
        <v>-10.2713</v>
      </c>
      <c r="R22" s="104">
        <v>-2.6998000000000002</v>
      </c>
      <c r="S22" s="104">
        <v>1.7758</v>
      </c>
      <c r="T22" s="104">
        <v>0.98150000000000004</v>
      </c>
      <c r="U22" s="104">
        <v>21.058299999999999</v>
      </c>
      <c r="V22" s="104">
        <v>6.0659999999999998</v>
      </c>
      <c r="W22" s="104">
        <v>-0.84099999999999997</v>
      </c>
      <c r="X22" s="104">
        <v>3.1383000000000001</v>
      </c>
      <c r="Y22" s="104">
        <v>-1.5625</v>
      </c>
      <c r="Z22" s="104">
        <v>-9.8580000000000005</v>
      </c>
      <c r="AA22" s="104">
        <v>-10.4727</v>
      </c>
      <c r="AB22" s="104">
        <v>-16.9772</v>
      </c>
      <c r="AC22" s="104">
        <v>3.1172</v>
      </c>
      <c r="AD22" s="104">
        <v>5.1994999999999996</v>
      </c>
      <c r="AE22" s="104">
        <v>9.6552000000000007</v>
      </c>
      <c r="AF22" s="104">
        <v>2.0964</v>
      </c>
      <c r="AG22" s="104">
        <v>0.20530000000000001</v>
      </c>
      <c r="AH22" s="104">
        <v>-0.30740000000000001</v>
      </c>
      <c r="AI22" s="104">
        <v>-0.61660000000000004</v>
      </c>
      <c r="AJ22" s="104">
        <v>8.1696000000000009</v>
      </c>
      <c r="AK22" s="104">
        <v>-2.6768999999999998</v>
      </c>
      <c r="AL22" s="104">
        <v>-0.39290000000000003</v>
      </c>
      <c r="AM22" s="104">
        <v>-5.6212999999999997</v>
      </c>
      <c r="AN22" s="104">
        <v>-11.703200000000001</v>
      </c>
      <c r="AO22" s="104">
        <v>-9.5858000000000008</v>
      </c>
      <c r="AP22" s="104">
        <v>5.4973999999999998</v>
      </c>
      <c r="AQ22" s="104">
        <v>5.0868000000000002</v>
      </c>
      <c r="AR22" s="104">
        <v>12.0425</v>
      </c>
      <c r="AS22" s="104">
        <v>9.9052000000000007</v>
      </c>
      <c r="AT22" s="104">
        <v>-22.435300000000002</v>
      </c>
      <c r="AU22" s="104">
        <v>19.035799999999998</v>
      </c>
      <c r="AV22" s="104">
        <v>17.3416</v>
      </c>
      <c r="AX22" s="96"/>
      <c r="AY22" s="97"/>
      <c r="AZ22" s="97"/>
      <c r="BA22" s="97"/>
      <c r="BB22" s="97"/>
      <c r="BC22" s="97"/>
      <c r="BD22" s="97"/>
      <c r="BE22" s="97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7"/>
    </row>
    <row r="23" spans="1:71" x14ac:dyDescent="0.25">
      <c r="A23" s="96" t="s">
        <v>44</v>
      </c>
      <c r="B23" s="96" t="s">
        <v>458</v>
      </c>
      <c r="C23" s="100">
        <v>-3437</v>
      </c>
      <c r="D23" s="100">
        <v>-3453</v>
      </c>
      <c r="E23" s="100">
        <v>-2927</v>
      </c>
      <c r="F23" s="100">
        <v>-2936</v>
      </c>
      <c r="G23" s="100">
        <v>-3620</v>
      </c>
      <c r="H23" s="108">
        <v>-3557</v>
      </c>
      <c r="I23" s="100">
        <v>-3695.0619999999999</v>
      </c>
      <c r="J23" s="100">
        <v>-3590.944</v>
      </c>
      <c r="L23" s="98" t="s">
        <v>605</v>
      </c>
      <c r="M23" s="98" t="s">
        <v>606</v>
      </c>
      <c r="N23" s="104">
        <v>270.27859999999998</v>
      </c>
      <c r="O23" s="104">
        <v>-61.204000000000001</v>
      </c>
      <c r="P23" s="104">
        <v>-23.060300000000002</v>
      </c>
      <c r="Q23" s="104">
        <v>11.4846</v>
      </c>
      <c r="R23" s="104">
        <v>-46.231200000000001</v>
      </c>
      <c r="S23" s="104">
        <v>44.8598</v>
      </c>
      <c r="T23" s="104">
        <v>65.483900000000006</v>
      </c>
      <c r="U23" s="104">
        <v>23.5867</v>
      </c>
      <c r="V23" s="104">
        <v>-31.2303</v>
      </c>
      <c r="W23" s="104">
        <v>-18.577999999999999</v>
      </c>
      <c r="X23" s="104">
        <v>-19.154900000000001</v>
      </c>
      <c r="Y23" s="104">
        <v>221.6028</v>
      </c>
      <c r="Z23" s="104">
        <v>-0.2167</v>
      </c>
      <c r="AA23" s="104">
        <v>37.784999999999997</v>
      </c>
      <c r="AB23" s="104">
        <v>-57.919600000000003</v>
      </c>
      <c r="AC23" s="104">
        <v>-19.850200000000001</v>
      </c>
      <c r="AD23" s="104">
        <v>153.27099999999999</v>
      </c>
      <c r="AE23" s="104">
        <v>-13.5609</v>
      </c>
      <c r="AF23" s="104">
        <v>-35.965800000000002</v>
      </c>
      <c r="AG23" s="104">
        <v>31.166699999999999</v>
      </c>
      <c r="AH23" s="104">
        <v>-59.339300000000001</v>
      </c>
      <c r="AI23" s="104">
        <v>-64.6875</v>
      </c>
      <c r="AJ23" s="104">
        <v>442.47789999999998</v>
      </c>
      <c r="AK23" s="104">
        <v>-17.292000000000002</v>
      </c>
      <c r="AL23" s="104">
        <v>53.846200000000003</v>
      </c>
      <c r="AM23" s="104">
        <v>-31.666699999999999</v>
      </c>
      <c r="AN23" s="104">
        <v>-57.223300000000002</v>
      </c>
      <c r="AO23" s="104">
        <v>-91.228099999999998</v>
      </c>
      <c r="AP23" s="104">
        <v>1555</v>
      </c>
      <c r="AQ23" s="104">
        <v>-94.259799999999998</v>
      </c>
      <c r="AR23" s="104">
        <v>-5.2632000000000003</v>
      </c>
      <c r="AS23" s="104">
        <v>1577.7778000000001</v>
      </c>
      <c r="AT23" s="104">
        <v>47.682099999999998</v>
      </c>
      <c r="AU23" s="104">
        <v>-45.067300000000003</v>
      </c>
      <c r="AV23" s="104">
        <v>-10.2041</v>
      </c>
      <c r="AX23" s="96" t="s">
        <v>750</v>
      </c>
      <c r="AY23" s="97"/>
      <c r="AZ23" s="97"/>
      <c r="BA23" s="97"/>
      <c r="BB23" s="97"/>
      <c r="BC23" s="97"/>
      <c r="BD23" s="97"/>
      <c r="BE23" s="97"/>
      <c r="BF23" s="97"/>
      <c r="BG23" s="97"/>
      <c r="BH23" s="97"/>
      <c r="BI23" s="97"/>
      <c r="BJ23" s="97"/>
      <c r="BK23" s="97"/>
      <c r="BL23" s="97"/>
      <c r="BM23" s="97"/>
      <c r="BN23" s="97"/>
      <c r="BO23" s="97"/>
      <c r="BP23" s="97"/>
      <c r="BQ23" s="97"/>
      <c r="BR23" s="97"/>
      <c r="BS23" s="97"/>
    </row>
    <row r="24" spans="1:71" x14ac:dyDescent="0.25">
      <c r="A24" s="96" t="s">
        <v>45</v>
      </c>
      <c r="B24" s="96" t="s">
        <v>424</v>
      </c>
      <c r="C24" s="100">
        <v>5249</v>
      </c>
      <c r="D24" s="100">
        <v>5156</v>
      </c>
      <c r="E24" s="100">
        <v>5613</v>
      </c>
      <c r="F24" s="100">
        <v>6096</v>
      </c>
      <c r="G24" s="100">
        <v>5742</v>
      </c>
      <c r="H24" s="108">
        <v>4719</v>
      </c>
      <c r="I24" s="100">
        <v>4846.03</v>
      </c>
      <c r="J24" s="100">
        <v>6040.8059999999996</v>
      </c>
      <c r="L24" s="98" t="s">
        <v>607</v>
      </c>
      <c r="M24" s="98" t="s">
        <v>608</v>
      </c>
      <c r="N24" s="104">
        <v>21.319900000000001</v>
      </c>
      <c r="O24" s="104">
        <v>-24.527000000000001</v>
      </c>
      <c r="P24" s="104">
        <v>5.9855999999999998</v>
      </c>
      <c r="Q24" s="104">
        <v>-5.3223000000000003</v>
      </c>
      <c r="R24" s="104">
        <v>8.0261999999999993</v>
      </c>
      <c r="S24" s="104">
        <v>-0.46260000000000001</v>
      </c>
      <c r="T24" s="104">
        <v>-9.0618999999999996</v>
      </c>
      <c r="U24" s="104">
        <v>-8.7830999999999992</v>
      </c>
      <c r="V24" s="104">
        <v>66.911799999999999</v>
      </c>
      <c r="W24" s="104">
        <v>42.039000000000001</v>
      </c>
      <c r="X24" s="104">
        <v>-0.76800000000000002</v>
      </c>
      <c r="Y24" s="104">
        <v>5.9532999999999996</v>
      </c>
      <c r="Z24" s="104">
        <v>-5.4501999999999997</v>
      </c>
      <c r="AA24" s="104">
        <v>5.601</v>
      </c>
      <c r="AB24" s="104">
        <v>-0.77380000000000004</v>
      </c>
      <c r="AC24" s="104">
        <v>3.7006000000000001</v>
      </c>
      <c r="AD24" s="104">
        <v>0.24610000000000001</v>
      </c>
      <c r="AE24" s="104">
        <v>-17.7578</v>
      </c>
      <c r="AF24" s="104">
        <v>-1.1276999999999999</v>
      </c>
      <c r="AG24" s="104">
        <v>21.7209</v>
      </c>
      <c r="AH24" s="104">
        <v>7.9234</v>
      </c>
      <c r="AI24" s="104">
        <v>2.2471999999999999</v>
      </c>
      <c r="AJ24" s="104">
        <v>8.1918000000000006</v>
      </c>
      <c r="AK24" s="104">
        <v>6.6597</v>
      </c>
      <c r="AL24" s="104">
        <v>6.3954000000000004</v>
      </c>
      <c r="AM24" s="104">
        <v>-2.8172999999999999</v>
      </c>
      <c r="AN24" s="104">
        <v>1.9571000000000001</v>
      </c>
      <c r="AO24" s="104">
        <v>8.14</v>
      </c>
      <c r="AP24" s="104">
        <v>7.1951000000000001</v>
      </c>
      <c r="AQ24" s="104">
        <v>4.5692000000000004</v>
      </c>
      <c r="AR24" s="104">
        <v>24.963999999999999</v>
      </c>
      <c r="AS24" s="104">
        <v>13.763</v>
      </c>
      <c r="AT24" s="104">
        <v>2.4839000000000002</v>
      </c>
      <c r="AU24" s="104">
        <v>-1.7262</v>
      </c>
      <c r="AV24" s="104">
        <v>10.030799999999999</v>
      </c>
      <c r="AX24" s="98" t="s">
        <v>751</v>
      </c>
      <c r="AY24" s="98" t="s">
        <v>752</v>
      </c>
      <c r="AZ24" s="104">
        <v>5949</v>
      </c>
      <c r="BA24" s="104">
        <v>5536</v>
      </c>
      <c r="BB24" s="104">
        <v>4322</v>
      </c>
      <c r="BC24" s="104">
        <v>4927</v>
      </c>
      <c r="BD24" s="104">
        <v>4825</v>
      </c>
      <c r="BE24" s="104">
        <v>3753</v>
      </c>
      <c r="BF24" s="104">
        <v>3398</v>
      </c>
      <c r="BG24" s="104">
        <v>3613</v>
      </c>
      <c r="BH24" s="104">
        <v>3693</v>
      </c>
      <c r="BI24" s="104">
        <v>3517</v>
      </c>
      <c r="BJ24" s="104">
        <v>3496</v>
      </c>
      <c r="BK24" s="104">
        <v>3503</v>
      </c>
      <c r="BL24" s="104">
        <v>3086</v>
      </c>
      <c r="BM24" s="104">
        <v>2273</v>
      </c>
      <c r="BN24" s="104">
        <v>2767</v>
      </c>
      <c r="BO24" s="104">
        <v>2287</v>
      </c>
      <c r="BP24" s="104">
        <v>2164</v>
      </c>
      <c r="BQ24" s="104">
        <v>1562</v>
      </c>
      <c r="BR24" s="104">
        <v>1005</v>
      </c>
      <c r="BS24" s="104">
        <v>513</v>
      </c>
    </row>
    <row r="25" spans="1:71" x14ac:dyDescent="0.25">
      <c r="A25" s="105" t="s">
        <v>199</v>
      </c>
      <c r="B25" s="105"/>
      <c r="C25" s="105"/>
      <c r="D25" s="105"/>
      <c r="E25" s="105"/>
      <c r="F25" s="105"/>
      <c r="G25" s="105"/>
      <c r="H25" s="105"/>
      <c r="I25" s="105"/>
      <c r="J25" s="105"/>
      <c r="L25" s="98" t="s">
        <v>51</v>
      </c>
      <c r="M25" s="98" t="s">
        <v>609</v>
      </c>
      <c r="N25" s="104">
        <v>-32.356299999999997</v>
      </c>
      <c r="O25" s="104">
        <v>0.37059999999999998</v>
      </c>
      <c r="P25" s="104">
        <v>0.56799999999999995</v>
      </c>
      <c r="Q25" s="104">
        <v>-10.138400000000001</v>
      </c>
      <c r="R25" s="104">
        <v>-6.5053000000000001</v>
      </c>
      <c r="S25" s="104">
        <v>6.8907999999999996</v>
      </c>
      <c r="T25" s="104">
        <v>17.327000000000002</v>
      </c>
      <c r="U25" s="104">
        <v>13.696099999999999</v>
      </c>
      <c r="V25" s="104">
        <v>17.751100000000001</v>
      </c>
      <c r="W25" s="104">
        <v>15.4354</v>
      </c>
      <c r="X25" s="104">
        <v>1.9771000000000001</v>
      </c>
      <c r="Y25" s="104">
        <v>-2.1088</v>
      </c>
      <c r="Z25" s="104">
        <v>4.5343999999999998</v>
      </c>
      <c r="AA25" s="104">
        <v>1.7118</v>
      </c>
      <c r="AB25" s="104">
        <v>1.9771000000000001</v>
      </c>
      <c r="AC25" s="104">
        <v>3.3969</v>
      </c>
      <c r="AD25" s="104">
        <v>5.5477999999999996</v>
      </c>
      <c r="AE25" s="104">
        <v>16.781700000000001</v>
      </c>
      <c r="AF25" s="104">
        <v>12.4214</v>
      </c>
      <c r="AG25" s="104">
        <v>-2.8740999999999999</v>
      </c>
      <c r="AH25" s="104">
        <v>-7.3345000000000002</v>
      </c>
      <c r="AI25" s="104">
        <v>8.9463000000000008</v>
      </c>
      <c r="AJ25" s="104">
        <v>-0.77549999999999997</v>
      </c>
      <c r="AK25" s="104">
        <v>-2.6667000000000001</v>
      </c>
      <c r="AL25" s="104">
        <v>6.3060999999999998</v>
      </c>
      <c r="AM25" s="104">
        <v>16.685199999999998</v>
      </c>
      <c r="AN25" s="104">
        <v>6.3975999999999997</v>
      </c>
      <c r="AO25" s="104">
        <v>4.4023000000000003</v>
      </c>
      <c r="AP25" s="104">
        <v>0.2228</v>
      </c>
      <c r="AQ25" s="104">
        <v>25.885100000000001</v>
      </c>
      <c r="AR25" s="104">
        <v>-14.543799999999999</v>
      </c>
      <c r="AS25" s="104">
        <v>-5.6994999999999996</v>
      </c>
      <c r="AT25" s="104">
        <v>10.511699999999999</v>
      </c>
      <c r="AU25" s="104">
        <v>2.9748000000000001</v>
      </c>
      <c r="AV25" s="104">
        <v>-6.4814999999999996</v>
      </c>
      <c r="AX25" s="98" t="s">
        <v>753</v>
      </c>
      <c r="AY25" s="98" t="s">
        <v>754</v>
      </c>
      <c r="AZ25" s="104">
        <v>1202.3827000000001</v>
      </c>
      <c r="BA25" s="104">
        <v>1106.9511</v>
      </c>
      <c r="BB25" s="104">
        <v>829.6816</v>
      </c>
      <c r="BC25" s="104">
        <v>862.11519999999996</v>
      </c>
      <c r="BD25" s="104">
        <v>853.61689999999999</v>
      </c>
      <c r="BE25" s="104">
        <v>849</v>
      </c>
      <c r="BF25" s="104">
        <v>852.79309999999998</v>
      </c>
      <c r="BG25" s="104">
        <v>874.29060000000004</v>
      </c>
      <c r="BH25" s="104">
        <v>1115.7953</v>
      </c>
      <c r="BI25" s="104">
        <v>727.50649999999996</v>
      </c>
      <c r="BJ25" s="104">
        <v>730.79390000000001</v>
      </c>
      <c r="BK25" s="104">
        <v>723.77549999999997</v>
      </c>
      <c r="BL25" s="104">
        <v>694.70029999999997</v>
      </c>
      <c r="BM25" s="104">
        <v>465.4708</v>
      </c>
      <c r="BN25" s="104">
        <v>816.33119999999997</v>
      </c>
      <c r="BO25" s="104">
        <v>841.39750000000004</v>
      </c>
      <c r="BP25" s="104">
        <v>615.66380000000004</v>
      </c>
      <c r="BQ25" s="104">
        <v>625.7799</v>
      </c>
      <c r="BR25" s="104">
        <v>-2051.2008999999998</v>
      </c>
      <c r="BS25" s="104">
        <v>-22.333300000000001</v>
      </c>
    </row>
    <row r="26" spans="1:71" x14ac:dyDescent="0.25">
      <c r="L26" s="98" t="s">
        <v>610</v>
      </c>
      <c r="M26" s="98" t="s">
        <v>611</v>
      </c>
      <c r="N26" s="104">
        <v>-10.783099999999999</v>
      </c>
      <c r="O26" s="104">
        <v>-13.236800000000001</v>
      </c>
      <c r="P26" s="104">
        <v>3.1436000000000002</v>
      </c>
      <c r="Q26" s="104">
        <v>-7.7855999999999996</v>
      </c>
      <c r="R26" s="104">
        <v>0.78320000000000001</v>
      </c>
      <c r="S26" s="104">
        <v>2.9375</v>
      </c>
      <c r="T26" s="104">
        <v>3.6086</v>
      </c>
      <c r="U26" s="104">
        <v>3.4392</v>
      </c>
      <c r="V26" s="104">
        <v>37.531700000000001</v>
      </c>
      <c r="W26" s="104">
        <v>28.426600000000001</v>
      </c>
      <c r="X26" s="104">
        <v>0.4945</v>
      </c>
      <c r="Y26" s="104">
        <v>2.1907000000000001</v>
      </c>
      <c r="Z26" s="104">
        <v>-0.98640000000000005</v>
      </c>
      <c r="AA26" s="104">
        <v>3.7652999999999999</v>
      </c>
      <c r="AB26" s="104">
        <v>0.49890000000000001</v>
      </c>
      <c r="AC26" s="104">
        <v>3.5579999999999998</v>
      </c>
      <c r="AD26" s="104">
        <v>2.7311999999999999</v>
      </c>
      <c r="AE26" s="104">
        <v>-1.1242000000000001</v>
      </c>
      <c r="AF26" s="104">
        <v>6.5789</v>
      </c>
      <c r="AG26" s="104">
        <v>6.9645999999999999</v>
      </c>
      <c r="AH26" s="104">
        <v>-0.38890000000000002</v>
      </c>
      <c r="AI26" s="104">
        <v>5.6422999999999996</v>
      </c>
      <c r="AJ26" s="104">
        <v>3.5049999999999999</v>
      </c>
      <c r="AK26" s="104">
        <v>1.9869000000000001</v>
      </c>
      <c r="AL26" s="104">
        <v>6.3526999999999996</v>
      </c>
      <c r="AM26" s="104">
        <v>6.5042</v>
      </c>
      <c r="AN26" s="104">
        <v>4.2824</v>
      </c>
      <c r="AO26" s="104">
        <v>6.1429999999999998</v>
      </c>
      <c r="AP26" s="104">
        <v>3.5310999999999999</v>
      </c>
      <c r="AQ26" s="104">
        <v>15.4131</v>
      </c>
      <c r="AR26" s="104">
        <v>3.0417999999999998</v>
      </c>
      <c r="AS26" s="104">
        <v>4.8067000000000002</v>
      </c>
      <c r="AT26" s="104">
        <v>5.8078000000000003</v>
      </c>
      <c r="AU26" s="104">
        <v>0.30680000000000002</v>
      </c>
      <c r="AV26" s="104">
        <v>2.6999</v>
      </c>
      <c r="AX26" s="98" t="s">
        <v>755</v>
      </c>
      <c r="AY26" s="98" t="s">
        <v>756</v>
      </c>
      <c r="AZ26" s="104">
        <v>4746.6172999999999</v>
      </c>
      <c r="BA26" s="104">
        <v>4429.0488999999998</v>
      </c>
      <c r="BB26" s="104">
        <v>3492.3184000000001</v>
      </c>
      <c r="BC26" s="104">
        <v>4064.8847999999998</v>
      </c>
      <c r="BD26" s="104">
        <v>3971.3831</v>
      </c>
      <c r="BE26" s="104">
        <v>2904</v>
      </c>
      <c r="BF26" s="104">
        <v>2545.2069000000001</v>
      </c>
      <c r="BG26" s="104">
        <v>2738.7094000000002</v>
      </c>
      <c r="BH26" s="104">
        <v>2577.2046999999998</v>
      </c>
      <c r="BI26" s="104">
        <v>2789.4935</v>
      </c>
      <c r="BJ26" s="104">
        <v>2765.2060999999999</v>
      </c>
      <c r="BK26" s="104">
        <v>2779.2244999999998</v>
      </c>
      <c r="BL26" s="104">
        <v>2391.2997</v>
      </c>
      <c r="BM26" s="104">
        <v>1807.5291999999999</v>
      </c>
      <c r="BN26" s="104">
        <v>1950.6687999999999</v>
      </c>
      <c r="BO26" s="104">
        <v>1445.6025</v>
      </c>
      <c r="BP26" s="104">
        <v>1548.3362</v>
      </c>
      <c r="BQ26" s="104">
        <v>936.2201</v>
      </c>
      <c r="BR26" s="104">
        <v>3056.2008999999998</v>
      </c>
      <c r="BS26" s="104">
        <v>535.33330000000001</v>
      </c>
    </row>
    <row r="27" spans="1:71" x14ac:dyDescent="0.25">
      <c r="L27" s="98" t="s">
        <v>612</v>
      </c>
      <c r="M27" s="98" t="s">
        <v>613</v>
      </c>
      <c r="N27" s="104">
        <v>-2.7610999999999999</v>
      </c>
      <c r="O27" s="104">
        <v>9.3673999999999999</v>
      </c>
      <c r="P27" s="104">
        <v>8.1204999999999998</v>
      </c>
      <c r="Q27" s="104">
        <v>-13.507199999999999</v>
      </c>
      <c r="R27" s="104">
        <v>-7.4973999999999998</v>
      </c>
      <c r="S27" s="104">
        <v>6.1532</v>
      </c>
      <c r="T27" s="104">
        <v>16.736599999999999</v>
      </c>
      <c r="U27" s="104">
        <v>13.128399999999999</v>
      </c>
      <c r="V27" s="104">
        <v>14.2818</v>
      </c>
      <c r="W27" s="104">
        <v>14.681900000000001</v>
      </c>
      <c r="X27" s="104">
        <v>2.5365000000000002</v>
      </c>
      <c r="Y27" s="104">
        <v>-2.7025999999999999</v>
      </c>
      <c r="Z27" s="104">
        <v>7.3381999999999996</v>
      </c>
      <c r="AA27" s="104">
        <v>1.2596000000000001</v>
      </c>
      <c r="AB27" s="104">
        <v>1.5025999999999999</v>
      </c>
      <c r="AC27" s="104">
        <v>3.2122999999999999</v>
      </c>
      <c r="AD27" s="104">
        <v>5.3235000000000001</v>
      </c>
      <c r="AE27" s="104">
        <v>15.3506</v>
      </c>
      <c r="AF27" s="104">
        <v>12.072699999999999</v>
      </c>
      <c r="AG27" s="104">
        <v>4.2461000000000002</v>
      </c>
      <c r="AH27" s="104">
        <v>-3.2204999999999999</v>
      </c>
      <c r="AI27" s="104">
        <v>8.0876000000000001</v>
      </c>
      <c r="AJ27" s="104">
        <v>5.3910999999999998</v>
      </c>
      <c r="AK27" s="104">
        <v>2.9855</v>
      </c>
      <c r="AL27" s="104">
        <v>9.2906999999999993</v>
      </c>
      <c r="AM27" s="104">
        <v>17.9772</v>
      </c>
      <c r="AN27" s="104">
        <v>8.2344000000000008</v>
      </c>
      <c r="AO27" s="104">
        <v>7.3053999999999997</v>
      </c>
      <c r="AP27" s="104">
        <v>4.2633000000000001</v>
      </c>
      <c r="AQ27" s="104">
        <v>31.333100000000002</v>
      </c>
      <c r="AR27" s="104">
        <v>-7.0827</v>
      </c>
      <c r="AS27" s="104">
        <v>-0.24</v>
      </c>
      <c r="AT27" s="104">
        <v>-62.6126</v>
      </c>
      <c r="AU27" s="104">
        <v>220.9453</v>
      </c>
      <c r="AV27" s="104">
        <v>-0.35780000000000001</v>
      </c>
      <c r="AX27" s="98" t="s">
        <v>757</v>
      </c>
      <c r="AY27" s="98" t="s">
        <v>758</v>
      </c>
      <c r="AZ27" s="104">
        <v>38983</v>
      </c>
      <c r="BA27" s="104">
        <v>37959</v>
      </c>
      <c r="BB27" s="104">
        <v>37841</v>
      </c>
      <c r="BC27" s="104">
        <v>36008</v>
      </c>
      <c r="BD27" s="104">
        <v>34486</v>
      </c>
      <c r="BE27" s="104">
        <v>33300</v>
      </c>
      <c r="BF27" s="104">
        <v>33077</v>
      </c>
      <c r="BG27" s="104">
        <v>32078</v>
      </c>
      <c r="BH27" s="104">
        <v>30337</v>
      </c>
      <c r="BI27" s="104">
        <v>28869</v>
      </c>
      <c r="BJ27" s="104">
        <v>27592</v>
      </c>
      <c r="BK27" s="104">
        <v>26118</v>
      </c>
      <c r="BL27" s="104">
        <v>24984</v>
      </c>
      <c r="BM27" s="104">
        <v>23919</v>
      </c>
      <c r="BN27" s="104">
        <v>22849</v>
      </c>
      <c r="BO27" s="104">
        <v>22431</v>
      </c>
      <c r="BP27" s="104">
        <v>21523</v>
      </c>
      <c r="BQ27" s="104">
        <v>20594</v>
      </c>
      <c r="BR27" s="104">
        <v>20902</v>
      </c>
      <c r="BS27" s="104">
        <v>18042</v>
      </c>
    </row>
    <row r="28" spans="1:71" x14ac:dyDescent="0.25">
      <c r="L28" s="98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X28" s="98" t="s">
        <v>61</v>
      </c>
      <c r="AY28" s="98" t="s">
        <v>61</v>
      </c>
      <c r="AZ28" s="104">
        <v>7.3055000000000003</v>
      </c>
      <c r="BA28" s="104">
        <v>8.5516000000000005</v>
      </c>
      <c r="BB28" s="104">
        <v>8.2088999999999999</v>
      </c>
      <c r="BC28" s="104">
        <v>7.4443000000000001</v>
      </c>
      <c r="BD28" s="104">
        <v>9.8254000000000001</v>
      </c>
      <c r="BE28" s="104">
        <v>8.8002000000000002</v>
      </c>
      <c r="BF28" s="104">
        <v>8.3720999999999997</v>
      </c>
      <c r="BG28" s="104">
        <v>8.1579999999999995</v>
      </c>
      <c r="BH28" s="104">
        <v>8.2548999999999992</v>
      </c>
      <c r="BI28" s="104">
        <v>9.0653000000000006</v>
      </c>
      <c r="BJ28" s="104">
        <v>8.7372999999999994</v>
      </c>
      <c r="BK28" s="104">
        <v>9.7072000000000003</v>
      </c>
      <c r="BL28" s="104">
        <v>11.7766</v>
      </c>
      <c r="BM28" s="104">
        <v>9.2292000000000005</v>
      </c>
      <c r="BN28" s="104">
        <v>7.9405999999999999</v>
      </c>
      <c r="BO28" s="104">
        <v>9.5635999999999992</v>
      </c>
      <c r="BP28" s="104">
        <v>9.6937999999999995</v>
      </c>
      <c r="BQ28" s="104">
        <v>8.6571999999999996</v>
      </c>
      <c r="BR28" s="104">
        <v>6.7801999999999998</v>
      </c>
      <c r="BS28" s="104">
        <v>6.6139000000000001</v>
      </c>
    </row>
    <row r="29" spans="1:71" x14ac:dyDescent="0.25">
      <c r="L29" s="98" t="s">
        <v>614</v>
      </c>
      <c r="M29" s="98" t="s">
        <v>615</v>
      </c>
      <c r="N29" s="104">
        <v>-32.919800000000002</v>
      </c>
      <c r="O29" s="104">
        <v>24.1677</v>
      </c>
      <c r="P29" s="104">
        <v>-11.718</v>
      </c>
      <c r="Q29" s="104">
        <v>-2.5872000000000002</v>
      </c>
      <c r="R29" s="104">
        <v>8.4296000000000006</v>
      </c>
      <c r="S29" s="104">
        <v>2.4493999999999998</v>
      </c>
      <c r="T29" s="104">
        <v>37.837800000000001</v>
      </c>
      <c r="U29" s="104">
        <v>18.175000000000001</v>
      </c>
      <c r="V29" s="104">
        <v>-8.1046999999999993</v>
      </c>
      <c r="W29" s="104">
        <v>8.1943999999999999</v>
      </c>
      <c r="X29" s="104">
        <v>-35.815100000000001</v>
      </c>
      <c r="Y29" s="104">
        <v>7.1</v>
      </c>
      <c r="Z29" s="104">
        <v>-33.706800000000001</v>
      </c>
      <c r="AA29" s="104">
        <v>16.478899999999999</v>
      </c>
      <c r="AB29" s="104">
        <v>36.275700000000001</v>
      </c>
      <c r="AC29" s="104">
        <v>-28.6602</v>
      </c>
      <c r="AD29" s="104">
        <v>79.850700000000003</v>
      </c>
      <c r="AE29" s="104">
        <v>-23.236499999999999</v>
      </c>
      <c r="AF29" s="104">
        <v>85.4054</v>
      </c>
      <c r="AG29" s="104">
        <v>6.1223999999999998</v>
      </c>
      <c r="AH29" s="104">
        <v>33.424900000000001</v>
      </c>
      <c r="AI29" s="104">
        <v>-30.0275</v>
      </c>
      <c r="AJ29" s="104">
        <v>59.9313</v>
      </c>
      <c r="AK29" s="104">
        <v>7.0530999999999997</v>
      </c>
      <c r="AL29" s="104">
        <v>-15.611599999999999</v>
      </c>
      <c r="AM29" s="104">
        <v>10.896100000000001</v>
      </c>
      <c r="AN29" s="104">
        <v>2.3262999999999998</v>
      </c>
      <c r="AO29" s="104">
        <v>0.80769999999999997</v>
      </c>
      <c r="AP29" s="104">
        <v>-9.7626000000000008</v>
      </c>
      <c r="AQ29" s="104">
        <v>14.173</v>
      </c>
      <c r="AR29" s="104">
        <v>33.669400000000003</v>
      </c>
      <c r="AS29" s="104">
        <v>4.5033000000000003</v>
      </c>
      <c r="AT29" s="104">
        <v>-12.1031</v>
      </c>
      <c r="AU29" s="104">
        <v>19.610600000000002</v>
      </c>
      <c r="AV29" s="104">
        <v>10.1981</v>
      </c>
      <c r="AX29" s="98" t="s">
        <v>759</v>
      </c>
      <c r="AY29" s="98" t="s">
        <v>760</v>
      </c>
      <c r="AZ29" s="104">
        <v>2847.8995</v>
      </c>
      <c r="BA29" s="104">
        <v>3246.1048999999998</v>
      </c>
      <c r="BB29" s="104">
        <v>3106.3292000000001</v>
      </c>
      <c r="BC29" s="104">
        <v>2680.5590000000002</v>
      </c>
      <c r="BD29" s="104">
        <v>3388.3883999999998</v>
      </c>
      <c r="BE29" s="104">
        <v>2930.4645999999998</v>
      </c>
      <c r="BF29" s="104">
        <v>2769.2336</v>
      </c>
      <c r="BG29" s="104">
        <v>2616.9094</v>
      </c>
      <c r="BH29" s="104">
        <v>2504.2847999999999</v>
      </c>
      <c r="BI29" s="104">
        <v>2617.0650999999998</v>
      </c>
      <c r="BJ29" s="104">
        <v>2410.7885999999999</v>
      </c>
      <c r="BK29" s="104">
        <v>2535.3353999999999</v>
      </c>
      <c r="BL29" s="104">
        <v>2942.2646</v>
      </c>
      <c r="BM29" s="104">
        <v>2207.5387999999998</v>
      </c>
      <c r="BN29" s="104">
        <v>1814.3501000000001</v>
      </c>
      <c r="BO29" s="104">
        <v>2145.2112000000002</v>
      </c>
      <c r="BP29" s="104">
        <v>2086.3874000000001</v>
      </c>
      <c r="BQ29" s="104">
        <v>1782.8579</v>
      </c>
      <c r="BR29" s="104">
        <v>1417.1948</v>
      </c>
      <c r="BS29" s="104">
        <v>1193.2710999999999</v>
      </c>
    </row>
    <row r="30" spans="1:71" x14ac:dyDescent="0.25">
      <c r="L30" s="98" t="s">
        <v>44</v>
      </c>
      <c r="M30" s="98" t="s">
        <v>616</v>
      </c>
      <c r="N30" s="104">
        <v>49.569499999999998</v>
      </c>
      <c r="O30" s="104">
        <v>7.2367999999999997</v>
      </c>
      <c r="P30" s="104">
        <v>-9.0490999999999993</v>
      </c>
      <c r="Q30" s="104">
        <v>-27.150099999999998</v>
      </c>
      <c r="R30" s="104">
        <v>20.4861</v>
      </c>
      <c r="S30" s="104">
        <v>-26.224799999999998</v>
      </c>
      <c r="T30" s="104">
        <v>13.9323</v>
      </c>
      <c r="U30" s="104">
        <v>32.1143</v>
      </c>
      <c r="V30" s="104">
        <v>5.7957999999999998</v>
      </c>
      <c r="W30" s="104">
        <v>-8.0130999999999997</v>
      </c>
      <c r="X30" s="104">
        <v>31.466699999999999</v>
      </c>
      <c r="Y30" s="104">
        <v>2.5693000000000001</v>
      </c>
      <c r="Z30" s="104">
        <v>-39.815399999999997</v>
      </c>
      <c r="AA30" s="104">
        <v>1.8620000000000001</v>
      </c>
      <c r="AB30" s="104">
        <v>16.129000000000001</v>
      </c>
      <c r="AC30" s="104">
        <v>-1.9443999999999999</v>
      </c>
      <c r="AD30" s="104">
        <v>-2.7383999999999999</v>
      </c>
      <c r="AE30" s="104">
        <v>10.2913</v>
      </c>
      <c r="AF30" s="104">
        <v>44.278199999999998</v>
      </c>
      <c r="AG30" s="104">
        <v>8.1757000000000009</v>
      </c>
      <c r="AH30" s="104">
        <v>-1.8613</v>
      </c>
      <c r="AI30" s="104">
        <v>-18.045999999999999</v>
      </c>
      <c r="AJ30" s="104">
        <v>29.032299999999999</v>
      </c>
      <c r="AK30" s="104">
        <v>24.837</v>
      </c>
      <c r="AL30" s="104">
        <v>1.9155</v>
      </c>
      <c r="AM30" s="104">
        <v>-1.1960999999999999</v>
      </c>
      <c r="AN30" s="104">
        <v>5.8798000000000004</v>
      </c>
      <c r="AO30" s="104">
        <v>4.6140999999999996</v>
      </c>
      <c r="AP30" s="104">
        <v>-6.4012000000000002</v>
      </c>
      <c r="AQ30" s="104">
        <v>-14.9291</v>
      </c>
      <c r="AR30" s="104">
        <v>-14.460800000000001</v>
      </c>
      <c r="AS30" s="104">
        <v>-5.0430000000000001</v>
      </c>
      <c r="AT30" s="104">
        <v>-1.8709</v>
      </c>
      <c r="AU30" s="104">
        <v>10.147600000000001</v>
      </c>
      <c r="AV30" s="104">
        <v>19.095500000000001</v>
      </c>
      <c r="AX30" s="96" t="s">
        <v>761</v>
      </c>
      <c r="AY30" s="96" t="s">
        <v>762</v>
      </c>
      <c r="AZ30" s="112">
        <v>1898.7177999999999</v>
      </c>
      <c r="BA30" s="112">
        <v>1182.944</v>
      </c>
      <c r="BB30" s="112">
        <v>385.98930000000001</v>
      </c>
      <c r="BC30" s="112">
        <v>1384.3258000000001</v>
      </c>
      <c r="BD30" s="112">
        <v>582.99469999999997</v>
      </c>
      <c r="BE30" s="112">
        <v>-26.464600000000001</v>
      </c>
      <c r="BF30" s="112">
        <v>-224.02670000000001</v>
      </c>
      <c r="BG30" s="112">
        <v>121.79989999999999</v>
      </c>
      <c r="BH30" s="112">
        <v>72.919899999999998</v>
      </c>
      <c r="BI30" s="112">
        <v>172.42840000000001</v>
      </c>
      <c r="BJ30" s="112">
        <v>354.41750000000002</v>
      </c>
      <c r="BK30" s="112">
        <v>243.88910000000001</v>
      </c>
      <c r="BL30" s="112">
        <v>-550.96500000000003</v>
      </c>
      <c r="BM30" s="112">
        <v>-400.00959999999998</v>
      </c>
      <c r="BN30" s="112">
        <v>136.3186</v>
      </c>
      <c r="BO30" s="112">
        <v>-699.6087</v>
      </c>
      <c r="BP30" s="112">
        <v>-538.05119999999999</v>
      </c>
      <c r="BQ30" s="112">
        <v>-846.63779999999997</v>
      </c>
      <c r="BR30" s="112">
        <v>1639.0061000000001</v>
      </c>
      <c r="BS30" s="112">
        <v>-657.93769999999995</v>
      </c>
    </row>
    <row r="31" spans="1:71" x14ac:dyDescent="0.25">
      <c r="L31" s="98" t="s">
        <v>617</v>
      </c>
      <c r="M31" s="98" t="s">
        <v>618</v>
      </c>
      <c r="N31" s="104" t="s">
        <v>201</v>
      </c>
      <c r="O31" s="104" t="s">
        <v>201</v>
      </c>
      <c r="P31" s="104" t="s">
        <v>201</v>
      </c>
      <c r="Q31" s="104">
        <v>88.888900000000007</v>
      </c>
      <c r="R31" s="104" t="s">
        <v>201</v>
      </c>
      <c r="S31" s="104" t="s">
        <v>201</v>
      </c>
      <c r="T31" s="104">
        <v>56.578899999999997</v>
      </c>
      <c r="U31" s="104" t="s">
        <v>201</v>
      </c>
      <c r="V31" s="104">
        <v>-12.7273</v>
      </c>
      <c r="W31" s="104" t="s">
        <v>201</v>
      </c>
      <c r="X31" s="104">
        <v>-24.786300000000001</v>
      </c>
      <c r="Y31" s="104" t="s">
        <v>201</v>
      </c>
      <c r="Z31" s="104" t="s">
        <v>201</v>
      </c>
      <c r="AA31" s="104">
        <v>66.3934</v>
      </c>
      <c r="AB31" s="104">
        <v>91.869900000000001</v>
      </c>
      <c r="AC31" s="104" t="s">
        <v>201</v>
      </c>
      <c r="AD31" s="104">
        <v>33.727800000000002</v>
      </c>
      <c r="AE31" s="104" t="s">
        <v>201</v>
      </c>
      <c r="AF31" s="104" t="s">
        <v>201</v>
      </c>
      <c r="AG31" s="104" t="s">
        <v>201</v>
      </c>
      <c r="AH31" s="104" t="s">
        <v>201</v>
      </c>
      <c r="AI31" s="104">
        <v>19.601299999999998</v>
      </c>
      <c r="AJ31" s="104">
        <v>-26.944400000000002</v>
      </c>
      <c r="AK31" s="104" t="s">
        <v>201</v>
      </c>
      <c r="AL31" s="104" t="s">
        <v>201</v>
      </c>
      <c r="AM31" s="104" t="s">
        <v>201</v>
      </c>
      <c r="AN31" s="104" t="s">
        <v>201</v>
      </c>
      <c r="AO31" s="104" t="s">
        <v>201</v>
      </c>
      <c r="AP31" s="104">
        <v>39.0244</v>
      </c>
      <c r="AQ31" s="104">
        <v>-708</v>
      </c>
      <c r="AR31" s="104" t="s">
        <v>201</v>
      </c>
      <c r="AS31" s="104">
        <v>-78.118200000000002</v>
      </c>
      <c r="AT31" s="104">
        <v>2071</v>
      </c>
      <c r="AU31" s="104" t="s">
        <v>201</v>
      </c>
      <c r="AV31" s="104">
        <v>68.427000000000007</v>
      </c>
      <c r="AX31" s="98" t="s">
        <v>763</v>
      </c>
      <c r="AY31" s="98" t="s">
        <v>764</v>
      </c>
      <c r="AZ31" s="104">
        <v>12.1761</v>
      </c>
      <c r="BA31" s="104">
        <v>11.667999999999999</v>
      </c>
      <c r="BB31" s="104">
        <v>9.2288999999999994</v>
      </c>
      <c r="BC31" s="104">
        <v>11.2888</v>
      </c>
      <c r="BD31" s="104">
        <v>11.5159</v>
      </c>
      <c r="BE31" s="104">
        <v>8.7207000000000008</v>
      </c>
      <c r="BF31" s="104">
        <v>7.6947999999999999</v>
      </c>
      <c r="BG31" s="104">
        <v>8.5376999999999992</v>
      </c>
      <c r="BH31" s="104">
        <v>8.4953000000000003</v>
      </c>
      <c r="BI31" s="104">
        <v>9.6625999999999994</v>
      </c>
      <c r="BJ31" s="104">
        <v>10.021800000000001</v>
      </c>
      <c r="BK31" s="104">
        <v>10.641</v>
      </c>
      <c r="BL31" s="104">
        <v>9.5713000000000008</v>
      </c>
      <c r="BM31" s="104">
        <v>7.5568999999999997</v>
      </c>
      <c r="BN31" s="104">
        <v>8.5372000000000003</v>
      </c>
      <c r="BO31" s="104">
        <v>6.4447000000000001</v>
      </c>
      <c r="BP31" s="104">
        <v>7.1939000000000002</v>
      </c>
      <c r="BQ31" s="104">
        <v>4.5461</v>
      </c>
      <c r="BR31" s="104">
        <v>14.621600000000001</v>
      </c>
      <c r="BS31" s="104">
        <v>2.9672000000000001</v>
      </c>
    </row>
    <row r="32" spans="1:71" x14ac:dyDescent="0.25">
      <c r="L32" s="98" t="s">
        <v>45</v>
      </c>
      <c r="M32" s="98" t="s">
        <v>619</v>
      </c>
      <c r="N32" s="104" t="s">
        <v>201</v>
      </c>
      <c r="O32" s="104">
        <v>26.666699999999999</v>
      </c>
      <c r="P32" s="104">
        <v>0</v>
      </c>
      <c r="Q32" s="104" t="s">
        <v>201</v>
      </c>
      <c r="R32" s="104" t="s">
        <v>201</v>
      </c>
      <c r="S32" s="104" t="s">
        <v>201</v>
      </c>
      <c r="T32" s="104">
        <v>132.4742</v>
      </c>
      <c r="U32" s="104">
        <v>-8.8691999999999993</v>
      </c>
      <c r="V32" s="104">
        <v>-47.201900000000002</v>
      </c>
      <c r="W32" s="104">
        <v>99.539199999999994</v>
      </c>
      <c r="X32" s="104" t="s">
        <v>201</v>
      </c>
      <c r="Y32" s="104">
        <v>6.8894000000000002</v>
      </c>
      <c r="Z32" s="104">
        <v>54.484299999999998</v>
      </c>
      <c r="AA32" s="104">
        <v>49.261099999999999</v>
      </c>
      <c r="AB32" s="104" t="s">
        <v>201</v>
      </c>
      <c r="AC32" s="104" t="s">
        <v>201</v>
      </c>
      <c r="AD32" s="104" t="s">
        <v>201</v>
      </c>
      <c r="AE32" s="104" t="s">
        <v>201</v>
      </c>
      <c r="AF32" s="104" t="s">
        <v>201</v>
      </c>
      <c r="AG32" s="104">
        <v>-1.9093</v>
      </c>
      <c r="AH32" s="104">
        <v>185.6448</v>
      </c>
      <c r="AI32" s="104">
        <v>-47.785299999999999</v>
      </c>
      <c r="AJ32" s="104">
        <v>131.8108</v>
      </c>
      <c r="AK32" s="104">
        <v>-15.9747</v>
      </c>
      <c r="AL32" s="104">
        <v>-49.33</v>
      </c>
      <c r="AM32" s="104">
        <v>57.686</v>
      </c>
      <c r="AN32" s="104">
        <v>-6.2892999999999999</v>
      </c>
      <c r="AO32" s="104">
        <v>-9.6196999999999999</v>
      </c>
      <c r="AP32" s="104">
        <v>-20.4208</v>
      </c>
      <c r="AQ32" s="104">
        <v>122.70610000000001</v>
      </c>
      <c r="AR32" s="104">
        <v>102.2346</v>
      </c>
      <c r="AS32" s="104">
        <v>10.2555</v>
      </c>
      <c r="AT32" s="104">
        <v>-17.4131</v>
      </c>
      <c r="AU32" s="104">
        <v>25.445599999999999</v>
      </c>
      <c r="AV32" s="104">
        <v>5.3808999999999996</v>
      </c>
      <c r="AX32" s="98" t="s">
        <v>765</v>
      </c>
      <c r="AY32" s="98" t="s">
        <v>766</v>
      </c>
      <c r="AZ32" s="104">
        <v>4.8705999999999996</v>
      </c>
      <c r="BA32" s="104">
        <v>3.1164000000000001</v>
      </c>
      <c r="BB32" s="104">
        <v>1.02</v>
      </c>
      <c r="BC32" s="104">
        <v>3.8445</v>
      </c>
      <c r="BD32" s="104">
        <v>1.6904999999999999</v>
      </c>
      <c r="BE32" s="104">
        <v>-7.9500000000000001E-2</v>
      </c>
      <c r="BF32" s="104">
        <v>-0.67730000000000001</v>
      </c>
      <c r="BG32" s="104">
        <v>0.37969999999999998</v>
      </c>
      <c r="BH32" s="104">
        <v>0.2404</v>
      </c>
      <c r="BI32" s="104">
        <v>0.59730000000000005</v>
      </c>
      <c r="BJ32" s="104">
        <v>1.2845</v>
      </c>
      <c r="BK32" s="104">
        <v>0.93379999999999996</v>
      </c>
      <c r="BL32" s="104">
        <v>-2.2052999999999998</v>
      </c>
      <c r="BM32" s="104">
        <v>-1.6724000000000001</v>
      </c>
      <c r="BN32" s="104">
        <v>0.59660000000000002</v>
      </c>
      <c r="BO32" s="104">
        <v>-3.1189</v>
      </c>
      <c r="BP32" s="104">
        <v>-2.4998999999999998</v>
      </c>
      <c r="BQ32" s="104">
        <v>-4.1111000000000004</v>
      </c>
      <c r="BR32" s="104">
        <v>7.8414000000000001</v>
      </c>
      <c r="BS32" s="104">
        <v>-3.6467000000000001</v>
      </c>
    </row>
    <row r="33" spans="12:71" x14ac:dyDescent="0.25">
      <c r="L33" s="98" t="s">
        <v>620</v>
      </c>
      <c r="M33" s="98" t="s">
        <v>621</v>
      </c>
      <c r="N33" s="104" t="s">
        <v>201</v>
      </c>
      <c r="O33" s="104" t="s">
        <v>201</v>
      </c>
      <c r="P33" s="104">
        <v>-9.3577999999999992</v>
      </c>
      <c r="Q33" s="104" t="s">
        <v>201</v>
      </c>
      <c r="R33" s="104" t="s">
        <v>201</v>
      </c>
      <c r="S33" s="104" t="s">
        <v>201</v>
      </c>
      <c r="T33" s="104">
        <v>33.014699999999998</v>
      </c>
      <c r="U33" s="104">
        <v>15.2637</v>
      </c>
      <c r="V33" s="104">
        <v>-7.6994999999999996</v>
      </c>
      <c r="W33" s="104">
        <v>16.393999999999998</v>
      </c>
      <c r="X33" s="104">
        <v>-27.271699999999999</v>
      </c>
      <c r="Y33" s="104">
        <v>-9.3431999999999995</v>
      </c>
      <c r="Z33" s="104">
        <v>-12.7258</v>
      </c>
      <c r="AA33" s="104">
        <v>8.4837000000000007</v>
      </c>
      <c r="AB33" s="104">
        <v>21.3293</v>
      </c>
      <c r="AC33" s="104">
        <v>-22.395</v>
      </c>
      <c r="AD33" s="104">
        <v>57.738199999999999</v>
      </c>
      <c r="AE33" s="104">
        <v>-18.9131</v>
      </c>
      <c r="AF33" s="104">
        <v>66.451099999999997</v>
      </c>
      <c r="AG33" s="104">
        <v>4.7789999999999999</v>
      </c>
      <c r="AH33" s="104">
        <v>32.495699999999999</v>
      </c>
      <c r="AI33" s="104">
        <v>-26.04</v>
      </c>
      <c r="AJ33" s="104">
        <v>50.154299999999999</v>
      </c>
      <c r="AK33" s="104">
        <v>6.5545</v>
      </c>
      <c r="AL33" s="104">
        <v>-14.016500000000001</v>
      </c>
      <c r="AM33" s="104">
        <v>9.8309999999999995</v>
      </c>
      <c r="AN33" s="104">
        <v>1.7239</v>
      </c>
      <c r="AO33" s="104">
        <v>0.62790000000000001</v>
      </c>
      <c r="AP33" s="104">
        <v>-8.3021999999999991</v>
      </c>
      <c r="AQ33" s="104" t="s">
        <v>201</v>
      </c>
      <c r="AR33" s="104" t="s">
        <v>201</v>
      </c>
      <c r="AS33" s="104">
        <v>5.5827999999999998</v>
      </c>
      <c r="AT33" s="104">
        <v>-10.7219</v>
      </c>
      <c r="AU33" s="104">
        <v>16.796399999999998</v>
      </c>
      <c r="AV33" s="104">
        <v>9.5494000000000003</v>
      </c>
      <c r="AX33" s="105" t="s">
        <v>199</v>
      </c>
      <c r="AY33" s="105"/>
      <c r="AZ33" s="105" t="s">
        <v>200</v>
      </c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</row>
    <row r="34" spans="12:71" x14ac:dyDescent="0.25">
      <c r="L34" s="98" t="s">
        <v>425</v>
      </c>
      <c r="M34" s="98" t="s">
        <v>622</v>
      </c>
      <c r="N34" s="104" t="s">
        <v>201</v>
      </c>
      <c r="O34" s="104" t="s">
        <v>201</v>
      </c>
      <c r="P34" s="104">
        <v>4.3852000000000002</v>
      </c>
      <c r="Q34" s="104" t="s">
        <v>201</v>
      </c>
      <c r="R34" s="104" t="s">
        <v>201</v>
      </c>
      <c r="S34" s="104" t="s">
        <v>201</v>
      </c>
      <c r="T34" s="104">
        <v>73.078400000000002</v>
      </c>
      <c r="U34" s="104">
        <v>-8.0245999999999995</v>
      </c>
      <c r="V34" s="104">
        <v>-34.490299999999998</v>
      </c>
      <c r="W34" s="104">
        <v>94.643299999999996</v>
      </c>
      <c r="X34" s="104" t="s">
        <v>201</v>
      </c>
      <c r="Y34" s="104">
        <v>-136.51580000000001</v>
      </c>
      <c r="Z34" s="104" t="s">
        <v>201</v>
      </c>
      <c r="AA34" s="104">
        <v>45.8919</v>
      </c>
      <c r="AB34" s="104">
        <v>41.840899999999998</v>
      </c>
      <c r="AC34" s="104">
        <v>-88.436700000000002</v>
      </c>
      <c r="AD34" s="104">
        <v>1713.8476000000001</v>
      </c>
      <c r="AE34" s="104">
        <v>-61.796599999999998</v>
      </c>
      <c r="AF34" s="104">
        <v>160.4462</v>
      </c>
      <c r="AG34" s="104">
        <v>-3.1976</v>
      </c>
      <c r="AH34" s="104">
        <v>122.65730000000001</v>
      </c>
      <c r="AI34" s="104">
        <v>-35.2864</v>
      </c>
      <c r="AJ34" s="104">
        <v>81.094399999999993</v>
      </c>
      <c r="AK34" s="104">
        <v>-12.527100000000001</v>
      </c>
      <c r="AL34" s="104">
        <v>-37.747700000000002</v>
      </c>
      <c r="AM34" s="104">
        <v>36.7211</v>
      </c>
      <c r="AN34" s="104">
        <v>-5.5998999999999999</v>
      </c>
      <c r="AO34" s="104">
        <v>-7.2510000000000003</v>
      </c>
      <c r="AP34" s="104">
        <v>-12.5404</v>
      </c>
      <c r="AQ34" s="104" t="s">
        <v>201</v>
      </c>
      <c r="AR34" s="104" t="s">
        <v>201</v>
      </c>
      <c r="AS34" s="104">
        <v>11.056800000000001</v>
      </c>
      <c r="AT34" s="104">
        <v>-14.6206</v>
      </c>
      <c r="AU34" s="104">
        <v>20.162400000000002</v>
      </c>
      <c r="AV34" s="104">
        <v>5.1195000000000004</v>
      </c>
    </row>
    <row r="35" spans="12:71" x14ac:dyDescent="0.25">
      <c r="L35" s="98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</row>
    <row r="36" spans="12:71" x14ac:dyDescent="0.25">
      <c r="L36" s="96" t="s">
        <v>623</v>
      </c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</row>
    <row r="37" spans="12:71" x14ac:dyDescent="0.25">
      <c r="L37" s="98" t="s">
        <v>3</v>
      </c>
      <c r="M37" s="98" t="s">
        <v>624</v>
      </c>
      <c r="N37" s="104" t="s">
        <v>201</v>
      </c>
      <c r="O37" s="104" t="s">
        <v>201</v>
      </c>
      <c r="P37" s="104" t="s">
        <v>201</v>
      </c>
      <c r="Q37" s="104" t="s">
        <v>201</v>
      </c>
      <c r="R37" s="104">
        <v>1.6620999999999999</v>
      </c>
      <c r="S37" s="104">
        <v>3.3228</v>
      </c>
      <c r="T37" s="104">
        <v>4.4051999999999998</v>
      </c>
      <c r="U37" s="104">
        <v>5.0643000000000002</v>
      </c>
      <c r="V37" s="104">
        <v>4.0572999999999997</v>
      </c>
      <c r="W37" s="104">
        <v>3.9897</v>
      </c>
      <c r="X37" s="104">
        <v>1.9948999999999999</v>
      </c>
      <c r="Y37" s="104">
        <v>1.5479000000000001</v>
      </c>
      <c r="Z37" s="104">
        <v>-4.8526999999999996</v>
      </c>
      <c r="AA37" s="104">
        <v>-5.0994000000000002</v>
      </c>
      <c r="AB37" s="104">
        <v>-5.1538000000000004</v>
      </c>
      <c r="AC37" s="104">
        <v>-5.1740000000000004</v>
      </c>
      <c r="AD37" s="104">
        <v>-4.9715999999999996</v>
      </c>
      <c r="AE37" s="104">
        <v>1.0215000000000001</v>
      </c>
      <c r="AF37" s="104">
        <v>3.3574999999999999</v>
      </c>
      <c r="AG37" s="104">
        <v>4.2335000000000003</v>
      </c>
      <c r="AH37" s="104">
        <v>8.2668999999999997</v>
      </c>
      <c r="AI37" s="104">
        <v>2.3746</v>
      </c>
      <c r="AJ37" s="104">
        <v>4.2976000000000001</v>
      </c>
      <c r="AK37" s="104">
        <v>4.2782</v>
      </c>
      <c r="AL37" s="104">
        <v>3.2265999999999999</v>
      </c>
      <c r="AM37" s="104">
        <v>1.3340000000000001</v>
      </c>
      <c r="AN37" s="104">
        <v>6.9805999999999999</v>
      </c>
      <c r="AO37" s="104">
        <v>2.1179000000000001</v>
      </c>
      <c r="AP37" s="104">
        <v>-1.2625</v>
      </c>
      <c r="AQ37" s="104">
        <v>-0.59919999999999995</v>
      </c>
      <c r="AR37" s="104">
        <v>0.36980000000000002</v>
      </c>
      <c r="AS37" s="104">
        <v>-1.1832</v>
      </c>
      <c r="AT37" s="104">
        <v>-2.1717</v>
      </c>
      <c r="AU37" s="104">
        <v>2.4975000000000001</v>
      </c>
      <c r="AV37" s="104">
        <v>5.4195000000000002</v>
      </c>
    </row>
    <row r="38" spans="12:71" x14ac:dyDescent="0.25">
      <c r="L38" s="98" t="s">
        <v>16</v>
      </c>
      <c r="M38" s="98" t="s">
        <v>625</v>
      </c>
      <c r="N38" s="104" t="s">
        <v>201</v>
      </c>
      <c r="O38" s="104" t="s">
        <v>201</v>
      </c>
      <c r="P38" s="104" t="s">
        <v>201</v>
      </c>
      <c r="Q38" s="104" t="s">
        <v>201</v>
      </c>
      <c r="R38" s="104">
        <v>0.72599999999999998</v>
      </c>
      <c r="S38" s="104">
        <v>1.5364</v>
      </c>
      <c r="T38" s="104">
        <v>6.5704000000000002</v>
      </c>
      <c r="U38" s="104">
        <v>9.5149000000000008</v>
      </c>
      <c r="V38" s="104">
        <v>9.5913000000000004</v>
      </c>
      <c r="W38" s="104">
        <v>8.7651000000000003</v>
      </c>
      <c r="X38" s="104">
        <v>3.4563999999999999</v>
      </c>
      <c r="Y38" s="104">
        <v>-7.9733999999999998</v>
      </c>
      <c r="Z38" s="104">
        <v>-7.0865</v>
      </c>
      <c r="AA38" s="104">
        <v>-5.9166999999999996</v>
      </c>
      <c r="AB38" s="104">
        <v>-4.7981999999999996</v>
      </c>
      <c r="AC38" s="104">
        <v>-7.9522000000000004</v>
      </c>
      <c r="AD38" s="104">
        <v>7.6981999999999999</v>
      </c>
      <c r="AE38" s="104">
        <v>11.1449</v>
      </c>
      <c r="AF38" s="104">
        <v>13.7346</v>
      </c>
      <c r="AG38" s="104">
        <v>12.1149</v>
      </c>
      <c r="AH38" s="104">
        <v>25.949100000000001</v>
      </c>
      <c r="AI38" s="104">
        <v>12.897600000000001</v>
      </c>
      <c r="AJ38" s="104">
        <v>11.0139</v>
      </c>
      <c r="AK38" s="104">
        <v>8.1495999999999995</v>
      </c>
      <c r="AL38" s="104">
        <v>7.4977</v>
      </c>
      <c r="AM38" s="104">
        <v>4.4252000000000002</v>
      </c>
      <c r="AN38" s="104">
        <v>8.4677000000000007</v>
      </c>
      <c r="AO38" s="104">
        <v>3.5861000000000001</v>
      </c>
      <c r="AP38" s="104">
        <v>1.0743</v>
      </c>
      <c r="AQ38" s="104">
        <v>2.1996000000000002</v>
      </c>
      <c r="AR38" s="104">
        <v>6.2580999999999998</v>
      </c>
      <c r="AS38" s="104">
        <v>6.0754000000000001</v>
      </c>
      <c r="AT38" s="104">
        <v>3.9885999999999999</v>
      </c>
      <c r="AU38" s="104">
        <v>8.6560000000000006</v>
      </c>
      <c r="AV38" s="104">
        <v>8.6745000000000001</v>
      </c>
    </row>
    <row r="39" spans="12:71" x14ac:dyDescent="0.25">
      <c r="L39" s="98" t="s">
        <v>578</v>
      </c>
      <c r="M39" s="98" t="s">
        <v>626</v>
      </c>
      <c r="N39" s="104" t="s">
        <v>201</v>
      </c>
      <c r="O39" s="104" t="s">
        <v>201</v>
      </c>
      <c r="P39" s="104" t="s">
        <v>201</v>
      </c>
      <c r="Q39" s="104" t="s">
        <v>201</v>
      </c>
      <c r="R39" s="104">
        <v>1.5175000000000001</v>
      </c>
      <c r="S39" s="104">
        <v>8.7900000000000006E-2</v>
      </c>
      <c r="T39" s="104">
        <v>7.2305000000000001</v>
      </c>
      <c r="U39" s="104">
        <v>11.8858</v>
      </c>
      <c r="V39" s="104">
        <v>12.251300000000001</v>
      </c>
      <c r="W39" s="104">
        <v>10.4055</v>
      </c>
      <c r="X39" s="104">
        <v>4.3570000000000002</v>
      </c>
      <c r="Y39" s="104">
        <v>-14.1958</v>
      </c>
      <c r="Z39" s="104">
        <v>-10.8436</v>
      </c>
      <c r="AA39" s="104">
        <v>-8.8620000000000001</v>
      </c>
      <c r="AB39" s="104">
        <v>-6.5694999999999997</v>
      </c>
      <c r="AC39" s="104">
        <v>-14.3781</v>
      </c>
      <c r="AD39" s="104">
        <v>11.7813</v>
      </c>
      <c r="AE39" s="104">
        <v>14.0006</v>
      </c>
      <c r="AF39" s="104">
        <v>17.440799999999999</v>
      </c>
      <c r="AG39" s="104">
        <v>14.8902</v>
      </c>
      <c r="AH39" s="104">
        <v>39.711599999999997</v>
      </c>
      <c r="AI39" s="104">
        <v>17.816199999999998</v>
      </c>
      <c r="AJ39" s="104">
        <v>14.6541</v>
      </c>
      <c r="AK39" s="104">
        <v>10.170299999999999</v>
      </c>
      <c r="AL39" s="104">
        <v>8.9110999999999994</v>
      </c>
      <c r="AM39" s="104">
        <v>4.6424000000000003</v>
      </c>
      <c r="AN39" s="104">
        <v>9.7408999999999999</v>
      </c>
      <c r="AO39" s="104">
        <v>3.1377000000000002</v>
      </c>
      <c r="AP39" s="104">
        <v>-0.4713</v>
      </c>
      <c r="AQ39" s="104">
        <v>1.4773000000000001</v>
      </c>
      <c r="AR39" s="104">
        <v>6.9908999999999999</v>
      </c>
      <c r="AS39" s="104">
        <v>6.5639000000000003</v>
      </c>
      <c r="AT39" s="104">
        <v>4.0072000000000001</v>
      </c>
      <c r="AU39" s="104">
        <v>10.5427</v>
      </c>
      <c r="AV39" s="104">
        <v>10.116899999999999</v>
      </c>
    </row>
    <row r="40" spans="12:71" x14ac:dyDescent="0.25">
      <c r="L40" s="98" t="s">
        <v>580</v>
      </c>
      <c r="M40" s="98" t="s">
        <v>627</v>
      </c>
      <c r="N40" s="104" t="s">
        <v>201</v>
      </c>
      <c r="O40" s="104" t="s">
        <v>201</v>
      </c>
      <c r="P40" s="104" t="s">
        <v>201</v>
      </c>
      <c r="Q40" s="104" t="s">
        <v>201</v>
      </c>
      <c r="R40" s="104">
        <v>-31.844899999999999</v>
      </c>
      <c r="S40" s="104">
        <v>21.248100000000001</v>
      </c>
      <c r="T40" s="104">
        <v>8.2322000000000006</v>
      </c>
      <c r="U40" s="104">
        <v>8.7123000000000008</v>
      </c>
      <c r="V40" s="104" t="s">
        <v>201</v>
      </c>
      <c r="W40" s="104">
        <v>109.07559999999999</v>
      </c>
      <c r="X40" s="104">
        <v>8.3866999999999994</v>
      </c>
      <c r="Y40" s="104">
        <v>-68.569100000000006</v>
      </c>
      <c r="Z40" s="104">
        <v>-1.7773000000000001</v>
      </c>
      <c r="AA40" s="104">
        <v>-19.280200000000001</v>
      </c>
      <c r="AB40" s="104">
        <v>-11.9025</v>
      </c>
      <c r="AC40" s="104">
        <v>-14.455500000000001</v>
      </c>
      <c r="AD40" s="104">
        <v>179.14760000000001</v>
      </c>
      <c r="AE40" s="104">
        <v>15.1732</v>
      </c>
      <c r="AF40" s="104">
        <v>34.921399999999998</v>
      </c>
      <c r="AG40" s="104">
        <v>25.802199999999999</v>
      </c>
      <c r="AH40" s="104">
        <v>40.876800000000003</v>
      </c>
      <c r="AI40" s="104">
        <v>27.517399999999999</v>
      </c>
      <c r="AJ40" s="104">
        <v>6.4218000000000002</v>
      </c>
      <c r="AK40" s="104">
        <v>7.2049000000000003</v>
      </c>
      <c r="AL40" s="104">
        <v>6.8303000000000003</v>
      </c>
      <c r="AM40" s="104">
        <v>6.4181999999999997</v>
      </c>
      <c r="AN40" s="104">
        <v>10.9998</v>
      </c>
      <c r="AO40" s="104">
        <v>4.7054</v>
      </c>
      <c r="AP40" s="104">
        <v>-1.5802</v>
      </c>
      <c r="AQ40" s="104">
        <v>24.0914</v>
      </c>
      <c r="AR40" s="104">
        <v>12.1684</v>
      </c>
      <c r="AS40" s="104">
        <v>11.5793</v>
      </c>
      <c r="AT40" s="104">
        <v>7.0479000000000003</v>
      </c>
      <c r="AU40" s="104">
        <v>17.157399999999999</v>
      </c>
      <c r="AV40" s="104">
        <v>-5.3007999999999997</v>
      </c>
    </row>
    <row r="41" spans="12:71" x14ac:dyDescent="0.25">
      <c r="L41" s="98" t="s">
        <v>582</v>
      </c>
      <c r="M41" s="98" t="s">
        <v>628</v>
      </c>
      <c r="N41" s="104" t="s">
        <v>201</v>
      </c>
      <c r="O41" s="104" t="s">
        <v>201</v>
      </c>
      <c r="P41" s="104" t="s">
        <v>201</v>
      </c>
      <c r="Q41" s="104" t="s">
        <v>201</v>
      </c>
      <c r="R41" s="104">
        <v>-26.404</v>
      </c>
      <c r="S41" s="104">
        <v>30.052499999999998</v>
      </c>
      <c r="T41" s="104">
        <v>7.4977999999999998</v>
      </c>
      <c r="U41" s="104">
        <v>7.2175000000000002</v>
      </c>
      <c r="V41" s="104" t="s">
        <v>201</v>
      </c>
      <c r="W41" s="104">
        <v>108.23990000000001</v>
      </c>
      <c r="X41" s="104">
        <v>7.7271999999999998</v>
      </c>
      <c r="Y41" s="104">
        <v>-68.281800000000004</v>
      </c>
      <c r="Z41" s="104">
        <v>-1.9081999999999999</v>
      </c>
      <c r="AA41" s="104">
        <v>-19.009</v>
      </c>
      <c r="AB41" s="104">
        <v>-11.7607</v>
      </c>
      <c r="AC41" s="104">
        <v>-15.0566</v>
      </c>
      <c r="AD41" s="104">
        <v>173.12960000000001</v>
      </c>
      <c r="AE41" s="104">
        <v>13.549099999999999</v>
      </c>
      <c r="AF41" s="104">
        <v>32.519599999999997</v>
      </c>
      <c r="AG41" s="104">
        <v>24.614799999999999</v>
      </c>
      <c r="AH41" s="104">
        <v>43.182699999999997</v>
      </c>
      <c r="AI41" s="104">
        <v>30.622199999999999</v>
      </c>
      <c r="AJ41" s="104">
        <v>9.9540000000000006</v>
      </c>
      <c r="AK41" s="104">
        <v>12.5808</v>
      </c>
      <c r="AL41" s="104">
        <v>12.4244</v>
      </c>
      <c r="AM41" s="104">
        <v>10.4499</v>
      </c>
      <c r="AN41" s="104">
        <v>14.7902</v>
      </c>
      <c r="AO41" s="104">
        <v>8.1781000000000006</v>
      </c>
      <c r="AP41" s="104">
        <v>1.2619</v>
      </c>
      <c r="AQ41" s="104">
        <v>27.325299999999999</v>
      </c>
      <c r="AR41" s="104">
        <v>15.9781</v>
      </c>
      <c r="AS41" s="104">
        <v>16.779599999999999</v>
      </c>
      <c r="AT41" s="104">
        <v>-9.7119999999999997</v>
      </c>
      <c r="AU41" s="104">
        <v>22.729900000000001</v>
      </c>
      <c r="AV41" s="104">
        <v>-0.47189999999999999</v>
      </c>
    </row>
    <row r="42" spans="12:71" x14ac:dyDescent="0.25">
      <c r="L42" s="98" t="s">
        <v>584</v>
      </c>
      <c r="M42" s="98" t="s">
        <v>629</v>
      </c>
      <c r="N42" s="104" t="s">
        <v>201</v>
      </c>
      <c r="O42" s="104" t="s">
        <v>201</v>
      </c>
      <c r="P42" s="104" t="s">
        <v>201</v>
      </c>
      <c r="Q42" s="104" t="s">
        <v>201</v>
      </c>
      <c r="R42" s="104" t="s">
        <v>201</v>
      </c>
      <c r="S42" s="104" t="s">
        <v>201</v>
      </c>
      <c r="T42" s="104">
        <v>8.7810000000000006</v>
      </c>
      <c r="U42" s="104">
        <v>10.1271</v>
      </c>
      <c r="V42" s="104" t="s">
        <v>201</v>
      </c>
      <c r="W42" s="104">
        <v>108.23990000000001</v>
      </c>
      <c r="X42" s="104">
        <v>7.7271999999999998</v>
      </c>
      <c r="Y42" s="104">
        <v>-40.110500000000002</v>
      </c>
      <c r="Z42" s="104">
        <v>-21.498699999999999</v>
      </c>
      <c r="AA42" s="104">
        <v>-19.009</v>
      </c>
      <c r="AB42" s="104">
        <v>-10.0543</v>
      </c>
      <c r="AC42" s="104">
        <v>-24.1539</v>
      </c>
      <c r="AD42" s="104">
        <v>50.773899999999998</v>
      </c>
      <c r="AE42" s="104">
        <v>29.319900000000001</v>
      </c>
      <c r="AF42" s="104">
        <v>32.519599999999997</v>
      </c>
      <c r="AG42" s="104">
        <v>20.134399999999999</v>
      </c>
      <c r="AH42" s="104">
        <v>63.317999999999998</v>
      </c>
      <c r="AI42" s="104">
        <v>24.970300000000002</v>
      </c>
      <c r="AJ42" s="104">
        <v>20.638300000000001</v>
      </c>
      <c r="AK42" s="104">
        <v>12.5808</v>
      </c>
      <c r="AL42" s="104">
        <v>14.4049</v>
      </c>
      <c r="AM42" s="104">
        <v>8.4472000000000005</v>
      </c>
      <c r="AN42" s="104">
        <v>15.1107</v>
      </c>
      <c r="AO42" s="104">
        <v>8.1781000000000006</v>
      </c>
      <c r="AP42" s="104">
        <v>1.2619</v>
      </c>
      <c r="AQ42" s="104">
        <v>27.325299999999999</v>
      </c>
      <c r="AR42" s="104">
        <v>15.9781</v>
      </c>
      <c r="AS42" s="104">
        <v>16.779599999999999</v>
      </c>
      <c r="AT42" s="104">
        <v>-9.7119999999999997</v>
      </c>
      <c r="AU42" s="104">
        <v>22.729900000000001</v>
      </c>
      <c r="AV42" s="104">
        <v>-0.47189999999999999</v>
      </c>
    </row>
    <row r="43" spans="12:71" x14ac:dyDescent="0.25">
      <c r="L43" s="98" t="s">
        <v>586</v>
      </c>
      <c r="M43" s="98" t="s">
        <v>630</v>
      </c>
      <c r="N43" s="104" t="s">
        <v>201</v>
      </c>
      <c r="O43" s="104" t="s">
        <v>201</v>
      </c>
      <c r="P43" s="104" t="s">
        <v>201</v>
      </c>
      <c r="Q43" s="104" t="s">
        <v>201</v>
      </c>
      <c r="R43" s="104" t="s">
        <v>201</v>
      </c>
      <c r="S43" s="104" t="s">
        <v>201</v>
      </c>
      <c r="T43" s="104">
        <v>8.7810000000000006</v>
      </c>
      <c r="U43" s="104">
        <v>10.1271</v>
      </c>
      <c r="V43" s="104" t="s">
        <v>201</v>
      </c>
      <c r="W43" s="104">
        <v>113.0505</v>
      </c>
      <c r="X43" s="104">
        <v>2.9430000000000001</v>
      </c>
      <c r="Y43" s="104">
        <v>-45.483699999999999</v>
      </c>
      <c r="Z43" s="104">
        <v>-21.435400000000001</v>
      </c>
      <c r="AA43" s="104">
        <v>-19.009</v>
      </c>
      <c r="AB43" s="104">
        <v>-13.7531</v>
      </c>
      <c r="AC43" s="104">
        <v>-10.6335</v>
      </c>
      <c r="AD43" s="104">
        <v>65.634200000000007</v>
      </c>
      <c r="AE43" s="104">
        <v>29.215699999999998</v>
      </c>
      <c r="AF43" s="104">
        <v>32.519599999999997</v>
      </c>
      <c r="AG43" s="104">
        <v>22.097899999999999</v>
      </c>
      <c r="AH43" s="104">
        <v>45.051200000000001</v>
      </c>
      <c r="AI43" s="104">
        <v>24.970300000000002</v>
      </c>
      <c r="AJ43" s="104">
        <v>21.1831</v>
      </c>
      <c r="AK43" s="104">
        <v>12.5808</v>
      </c>
      <c r="AL43" s="104">
        <v>13.421799999999999</v>
      </c>
      <c r="AM43" s="104">
        <v>7.7756999999999996</v>
      </c>
      <c r="AN43" s="104">
        <v>15.535299999999999</v>
      </c>
      <c r="AO43" s="104">
        <v>7.0437000000000003</v>
      </c>
      <c r="AP43" s="104">
        <v>1.1491</v>
      </c>
      <c r="AQ43" s="104">
        <v>5.8540999999999999</v>
      </c>
      <c r="AR43" s="104">
        <v>15.9306</v>
      </c>
      <c r="AS43" s="104">
        <v>15.4061</v>
      </c>
      <c r="AT43" s="104">
        <v>-9.3476999999999997</v>
      </c>
      <c r="AU43" s="104">
        <v>20.136199999999999</v>
      </c>
      <c r="AV43" s="104">
        <v>19.574100000000001</v>
      </c>
    </row>
    <row r="44" spans="12:71" x14ac:dyDescent="0.25">
      <c r="L44" s="98" t="s">
        <v>588</v>
      </c>
      <c r="M44" s="98" t="s">
        <v>631</v>
      </c>
      <c r="N44" s="104" t="s">
        <v>201</v>
      </c>
      <c r="O44" s="104" t="s">
        <v>201</v>
      </c>
      <c r="P44" s="104" t="s">
        <v>201</v>
      </c>
      <c r="Q44" s="104" t="s">
        <v>201</v>
      </c>
      <c r="R44" s="104">
        <v>5.5545999999999998</v>
      </c>
      <c r="S44" s="104">
        <v>4.1390000000000002</v>
      </c>
      <c r="T44" s="104">
        <v>6.5762999999999998</v>
      </c>
      <c r="U44" s="104">
        <v>5.6180000000000003</v>
      </c>
      <c r="V44" s="104">
        <v>7.7817999999999996</v>
      </c>
      <c r="W44" s="104">
        <v>7.2808000000000002</v>
      </c>
      <c r="X44" s="104">
        <v>8.7202999999999999</v>
      </c>
      <c r="Y44" s="104">
        <v>6.3994999999999997</v>
      </c>
      <c r="Z44" s="104">
        <v>5.4577999999999998</v>
      </c>
      <c r="AA44" s="104">
        <v>-5.1120000000000001</v>
      </c>
      <c r="AB44" s="104">
        <v>-18.016400000000001</v>
      </c>
      <c r="AC44" s="104">
        <v>-19.7258</v>
      </c>
      <c r="AD44" s="104">
        <v>-19.7258</v>
      </c>
      <c r="AE44" s="104">
        <v>-18.5563</v>
      </c>
      <c r="AF44" s="104">
        <v>-3.7744</v>
      </c>
      <c r="AG44" s="104">
        <v>21.9755</v>
      </c>
      <c r="AH44" s="104">
        <v>30.946000000000002</v>
      </c>
      <c r="AI44" s="104">
        <v>34.490200000000002</v>
      </c>
      <c r="AJ44" s="104">
        <v>35.718600000000002</v>
      </c>
      <c r="AK44" s="104">
        <v>32.545200000000001</v>
      </c>
      <c r="AL44" s="104">
        <v>24.5731</v>
      </c>
      <c r="AM44" s="104">
        <v>18.1127</v>
      </c>
      <c r="AN44" s="104">
        <v>16.518799999999999</v>
      </c>
      <c r="AO44" s="104">
        <v>16.229600000000001</v>
      </c>
      <c r="AP44" s="104">
        <v>9.8560999999999996</v>
      </c>
      <c r="AQ44" s="104">
        <v>7.6317000000000004</v>
      </c>
      <c r="AR44" s="104">
        <v>8.3244000000000007</v>
      </c>
      <c r="AS44" s="104">
        <v>35.522199999999998</v>
      </c>
      <c r="AT44" s="104">
        <v>-13.044700000000001</v>
      </c>
      <c r="AU44" s="104">
        <v>9.1607000000000003</v>
      </c>
      <c r="AV44" s="104">
        <v>8.9977</v>
      </c>
    </row>
    <row r="45" spans="12:71" x14ac:dyDescent="0.25">
      <c r="L45" s="98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</row>
    <row r="46" spans="12:71" x14ac:dyDescent="0.25">
      <c r="L46" s="98" t="s">
        <v>590</v>
      </c>
      <c r="M46" s="98" t="s">
        <v>632</v>
      </c>
      <c r="N46" s="104" t="s">
        <v>201</v>
      </c>
      <c r="O46" s="104" t="s">
        <v>201</v>
      </c>
      <c r="P46" s="104" t="s">
        <v>201</v>
      </c>
      <c r="Q46" s="104" t="s">
        <v>201</v>
      </c>
      <c r="R46" s="104">
        <v>-7.1353999999999997</v>
      </c>
      <c r="S46" s="104">
        <v>-5.7039</v>
      </c>
      <c r="T46" s="104">
        <v>1.8237000000000001</v>
      </c>
      <c r="U46" s="104">
        <v>2.7065999999999999</v>
      </c>
      <c r="V46" s="104">
        <v>4.1936</v>
      </c>
      <c r="W46" s="104">
        <v>10.284000000000001</v>
      </c>
      <c r="X46" s="104">
        <v>6.0961999999999996</v>
      </c>
      <c r="Y46" s="104">
        <v>9.9609000000000005</v>
      </c>
      <c r="Z46" s="104">
        <v>0.42899999999999999</v>
      </c>
      <c r="AA46" s="104">
        <v>-0.36049999999999999</v>
      </c>
      <c r="AB46" s="104">
        <v>-4.1380999999999997</v>
      </c>
      <c r="AC46" s="104">
        <v>5.3078000000000003</v>
      </c>
      <c r="AD46" s="104">
        <v>0.4194</v>
      </c>
      <c r="AE46" s="104">
        <v>7.1759000000000004</v>
      </c>
      <c r="AF46" s="104">
        <v>5.9825999999999997</v>
      </c>
      <c r="AG46" s="104">
        <v>8.0000999999999998</v>
      </c>
      <c r="AH46" s="104">
        <v>-0.98209999999999997</v>
      </c>
      <c r="AI46" s="104">
        <v>-3.0053000000000001</v>
      </c>
      <c r="AJ46" s="104">
        <v>-3.7482000000000002</v>
      </c>
      <c r="AK46" s="104">
        <v>-3.1574</v>
      </c>
      <c r="AL46" s="104">
        <v>-3.9049</v>
      </c>
      <c r="AM46" s="104">
        <v>-1.014</v>
      </c>
      <c r="AN46" s="104">
        <v>2.5590999999999999</v>
      </c>
      <c r="AO46" s="104">
        <v>-0.2225</v>
      </c>
      <c r="AP46" s="104">
        <v>-1.2719</v>
      </c>
      <c r="AQ46" s="104">
        <v>0.1658</v>
      </c>
      <c r="AR46" s="104">
        <v>-0.8115</v>
      </c>
      <c r="AS46" s="104">
        <v>-2.6722999999999999</v>
      </c>
      <c r="AT46" s="104">
        <v>-1.4681</v>
      </c>
      <c r="AU46" s="104">
        <v>4.1233000000000004</v>
      </c>
      <c r="AV46" s="104">
        <v>6.2426000000000004</v>
      </c>
    </row>
    <row r="47" spans="12:71" x14ac:dyDescent="0.25">
      <c r="L47" s="98" t="s">
        <v>592</v>
      </c>
      <c r="M47" s="98" t="s">
        <v>633</v>
      </c>
      <c r="N47" s="104" t="s">
        <v>201</v>
      </c>
      <c r="O47" s="104" t="s">
        <v>201</v>
      </c>
      <c r="P47" s="104" t="s">
        <v>201</v>
      </c>
      <c r="Q47" s="104" t="s">
        <v>201</v>
      </c>
      <c r="R47" s="104">
        <v>-12.2371</v>
      </c>
      <c r="S47" s="104">
        <v>-3.7574000000000001</v>
      </c>
      <c r="T47" s="104">
        <v>-2.2972000000000001</v>
      </c>
      <c r="U47" s="104">
        <v>-3.0611000000000002</v>
      </c>
      <c r="V47" s="104">
        <v>2.1395</v>
      </c>
      <c r="W47" s="104">
        <v>3.7320000000000002</v>
      </c>
      <c r="X47" s="104">
        <v>2.4863</v>
      </c>
      <c r="Y47" s="104">
        <v>0.83889999999999998</v>
      </c>
      <c r="Z47" s="104">
        <v>2.1758999999999999</v>
      </c>
      <c r="AA47" s="104">
        <v>-2.0947</v>
      </c>
      <c r="AB47" s="104">
        <v>-4.5339</v>
      </c>
      <c r="AC47" s="104">
        <v>-5.4518000000000004</v>
      </c>
      <c r="AD47" s="104">
        <v>-5.5911999999999997</v>
      </c>
      <c r="AE47" s="104">
        <v>-4.0738000000000003</v>
      </c>
      <c r="AF47" s="104">
        <v>-0.19489999999999999</v>
      </c>
      <c r="AG47" s="104">
        <v>5.9223999999999997</v>
      </c>
      <c r="AH47" s="104">
        <v>5.0030999999999999</v>
      </c>
      <c r="AI47" s="104">
        <v>4.2323000000000004</v>
      </c>
      <c r="AJ47" s="104">
        <v>1.8405</v>
      </c>
      <c r="AK47" s="104">
        <v>3.3037999999999998</v>
      </c>
      <c r="AL47" s="104">
        <v>2.6852</v>
      </c>
      <c r="AM47" s="104">
        <v>3.0358000000000001</v>
      </c>
      <c r="AN47" s="104">
        <v>6.1044</v>
      </c>
      <c r="AO47" s="104">
        <v>9.9314999999999998</v>
      </c>
      <c r="AP47" s="104">
        <v>11.1416</v>
      </c>
      <c r="AQ47" s="104">
        <v>6.3061999999999996</v>
      </c>
      <c r="AR47" s="104">
        <v>0.85819999999999996</v>
      </c>
      <c r="AS47" s="104">
        <v>-0.89500000000000002</v>
      </c>
      <c r="AT47" s="104">
        <v>-2.907</v>
      </c>
      <c r="AU47" s="104">
        <v>-3.5901999999999998</v>
      </c>
      <c r="AV47" s="104">
        <v>-1.7252000000000001</v>
      </c>
    </row>
    <row r="48" spans="12:71" x14ac:dyDescent="0.25">
      <c r="L48" s="98" t="s">
        <v>594</v>
      </c>
      <c r="M48" s="98" t="s">
        <v>634</v>
      </c>
      <c r="N48" s="104" t="s">
        <v>201</v>
      </c>
      <c r="O48" s="104" t="s">
        <v>201</v>
      </c>
      <c r="P48" s="104" t="s">
        <v>201</v>
      </c>
      <c r="Q48" s="104" t="s">
        <v>201</v>
      </c>
      <c r="R48" s="104">
        <v>0.91600000000000004</v>
      </c>
      <c r="S48" s="104">
        <v>2.2949000000000002</v>
      </c>
      <c r="T48" s="104">
        <v>2.7311000000000001</v>
      </c>
      <c r="U48" s="104">
        <v>2.4874999999999998</v>
      </c>
      <c r="V48" s="104">
        <v>3.1880000000000002</v>
      </c>
      <c r="W48" s="104">
        <v>3.1265999999999998</v>
      </c>
      <c r="X48" s="104">
        <v>3.2275</v>
      </c>
      <c r="Y48" s="104">
        <v>2.1061000000000001</v>
      </c>
      <c r="Z48" s="104">
        <v>2.2751999999999999</v>
      </c>
      <c r="AA48" s="104">
        <v>1.7298</v>
      </c>
      <c r="AB48" s="104">
        <v>1.38</v>
      </c>
      <c r="AC48" s="104">
        <v>1.6600999999999999</v>
      </c>
      <c r="AD48" s="104">
        <v>10.227499999999999</v>
      </c>
      <c r="AE48" s="104">
        <v>9.7861999999999991</v>
      </c>
      <c r="AF48" s="104">
        <v>10.033099999999999</v>
      </c>
      <c r="AG48" s="104">
        <v>10.3908</v>
      </c>
      <c r="AH48" s="104">
        <v>10.5669</v>
      </c>
      <c r="AI48" s="104">
        <v>2.9485000000000001</v>
      </c>
      <c r="AJ48" s="104">
        <v>3.3715000000000002</v>
      </c>
      <c r="AK48" s="104">
        <v>3.6031</v>
      </c>
      <c r="AL48" s="104">
        <v>3.6454</v>
      </c>
      <c r="AM48" s="104">
        <v>3.7635000000000001</v>
      </c>
      <c r="AN48" s="104">
        <v>4.3849</v>
      </c>
      <c r="AO48" s="104">
        <v>4.8612000000000002</v>
      </c>
      <c r="AP48" s="104">
        <v>4.5186999999999999</v>
      </c>
      <c r="AQ48" s="104">
        <v>4.0460000000000003</v>
      </c>
      <c r="AR48" s="104">
        <v>3.2334999999999998</v>
      </c>
      <c r="AS48" s="104">
        <v>2.7271000000000001</v>
      </c>
      <c r="AT48" s="104">
        <v>1.7547999999999999</v>
      </c>
      <c r="AU48" s="104">
        <v>1.4749000000000001</v>
      </c>
      <c r="AV48" s="104">
        <v>1.8113999999999999</v>
      </c>
    </row>
    <row r="49" spans="12:48" x14ac:dyDescent="0.25">
      <c r="L49" s="98" t="s">
        <v>47</v>
      </c>
      <c r="M49" s="98" t="s">
        <v>635</v>
      </c>
      <c r="N49" s="104" t="s">
        <v>201</v>
      </c>
      <c r="O49" s="104" t="s">
        <v>201</v>
      </c>
      <c r="P49" s="104" t="s">
        <v>201</v>
      </c>
      <c r="Q49" s="104" t="s">
        <v>201</v>
      </c>
      <c r="R49" s="104">
        <v>-0.27660000000000001</v>
      </c>
      <c r="S49" s="104">
        <v>0.5978</v>
      </c>
      <c r="T49" s="104">
        <v>2.2183999999999999</v>
      </c>
      <c r="U49" s="104">
        <v>2.2088999999999999</v>
      </c>
      <c r="V49" s="104">
        <v>5.7991999999999999</v>
      </c>
      <c r="W49" s="104">
        <v>8.8688000000000002</v>
      </c>
      <c r="X49" s="104">
        <v>8.7652999999999999</v>
      </c>
      <c r="Y49" s="104">
        <v>8.5879999999999992</v>
      </c>
      <c r="Z49" s="104">
        <v>7.4866999999999999</v>
      </c>
      <c r="AA49" s="104">
        <v>4.1612</v>
      </c>
      <c r="AB49" s="104">
        <v>0.97689999999999999</v>
      </c>
      <c r="AC49" s="104">
        <v>1.2723</v>
      </c>
      <c r="AD49" s="104">
        <v>3.4967999999999999</v>
      </c>
      <c r="AE49" s="104">
        <v>3.4106000000000001</v>
      </c>
      <c r="AF49" s="104">
        <v>3.8527999999999998</v>
      </c>
      <c r="AG49" s="104">
        <v>4.0358000000000001</v>
      </c>
      <c r="AH49" s="104">
        <v>3.8532000000000002</v>
      </c>
      <c r="AI49" s="104">
        <v>1.7897000000000001</v>
      </c>
      <c r="AJ49" s="104">
        <v>3.0363000000000002</v>
      </c>
      <c r="AK49" s="104">
        <v>3.1499000000000001</v>
      </c>
      <c r="AL49" s="104">
        <v>3.6663999999999999</v>
      </c>
      <c r="AM49" s="104">
        <v>3.8687</v>
      </c>
      <c r="AN49" s="104">
        <v>4.2157999999999998</v>
      </c>
      <c r="AO49" s="104">
        <v>4.3063000000000002</v>
      </c>
      <c r="AP49" s="104">
        <v>3.8319999999999999</v>
      </c>
      <c r="AQ49" s="104">
        <v>3.1730999999999998</v>
      </c>
      <c r="AR49" s="104">
        <v>2.9356</v>
      </c>
      <c r="AS49" s="104">
        <v>2.9674999999999998</v>
      </c>
      <c r="AT49" s="104">
        <v>2.7502</v>
      </c>
      <c r="AU49" s="104">
        <v>2.7360000000000002</v>
      </c>
      <c r="AV49" s="104">
        <v>3.2378999999999998</v>
      </c>
    </row>
    <row r="50" spans="12:48" x14ac:dyDescent="0.25">
      <c r="L50" s="98" t="s">
        <v>597</v>
      </c>
      <c r="M50" s="98" t="s">
        <v>636</v>
      </c>
      <c r="N50" s="104" t="s">
        <v>201</v>
      </c>
      <c r="O50" s="104" t="s">
        <v>201</v>
      </c>
      <c r="P50" s="104" t="s">
        <v>201</v>
      </c>
      <c r="Q50" s="104" t="s">
        <v>201</v>
      </c>
      <c r="R50" s="104" t="s">
        <v>201</v>
      </c>
      <c r="S50" s="104" t="s">
        <v>201</v>
      </c>
      <c r="T50" s="104" t="s">
        <v>201</v>
      </c>
      <c r="U50" s="104" t="s">
        <v>201</v>
      </c>
      <c r="V50" s="104" t="s">
        <v>201</v>
      </c>
      <c r="W50" s="104" t="s">
        <v>201</v>
      </c>
      <c r="X50" s="104" t="s">
        <v>201</v>
      </c>
      <c r="Y50" s="104" t="s">
        <v>201</v>
      </c>
      <c r="Z50" s="104" t="s">
        <v>201</v>
      </c>
      <c r="AA50" s="104" t="s">
        <v>201</v>
      </c>
      <c r="AB50" s="104">
        <v>38.286900000000003</v>
      </c>
      <c r="AC50" s="104" t="s">
        <v>201</v>
      </c>
      <c r="AD50" s="104">
        <v>23.503599999999999</v>
      </c>
      <c r="AE50" s="104">
        <v>94.642399999999995</v>
      </c>
      <c r="AF50" s="104">
        <v>27.9086</v>
      </c>
      <c r="AG50" s="104">
        <v>19.867100000000001</v>
      </c>
      <c r="AH50" s="104">
        <v>-7.0538999999999996</v>
      </c>
      <c r="AI50" s="104">
        <v>-12.6403</v>
      </c>
      <c r="AJ50" s="104">
        <v>-18.071400000000001</v>
      </c>
      <c r="AK50" s="104">
        <v>-11.285600000000001</v>
      </c>
      <c r="AL50" s="104">
        <v>-12.707700000000001</v>
      </c>
      <c r="AM50" s="104">
        <v>-0.22900000000000001</v>
      </c>
      <c r="AN50" s="104">
        <v>19.247299999999999</v>
      </c>
      <c r="AO50" s="104">
        <v>28.047999999999998</v>
      </c>
      <c r="AP50" s="104">
        <v>19.411799999999999</v>
      </c>
      <c r="AQ50" s="104">
        <v>17.395199999999999</v>
      </c>
      <c r="AR50" s="104">
        <v>-1.3623000000000001</v>
      </c>
      <c r="AS50" s="104">
        <v>-18.1997</v>
      </c>
      <c r="AT50" s="104">
        <v>-6.5410000000000004</v>
      </c>
      <c r="AU50" s="104">
        <v>-0.56289999999999996</v>
      </c>
      <c r="AV50" s="104">
        <v>1.1452</v>
      </c>
    </row>
    <row r="51" spans="12:48" x14ac:dyDescent="0.25">
      <c r="L51" s="98" t="s">
        <v>599</v>
      </c>
      <c r="M51" s="98" t="s">
        <v>637</v>
      </c>
      <c r="N51" s="104" t="s">
        <v>201</v>
      </c>
      <c r="O51" s="104" t="s">
        <v>201</v>
      </c>
      <c r="P51" s="104" t="s">
        <v>201</v>
      </c>
      <c r="Q51" s="104" t="s">
        <v>201</v>
      </c>
      <c r="R51" s="104" t="s">
        <v>201</v>
      </c>
      <c r="S51" s="104" t="s">
        <v>201</v>
      </c>
      <c r="T51" s="104" t="s">
        <v>201</v>
      </c>
      <c r="U51" s="104" t="s">
        <v>201</v>
      </c>
      <c r="V51" s="104" t="s">
        <v>201</v>
      </c>
      <c r="W51" s="104" t="s">
        <v>201</v>
      </c>
      <c r="X51" s="104" t="s">
        <v>201</v>
      </c>
      <c r="Y51" s="104" t="s">
        <v>201</v>
      </c>
      <c r="Z51" s="104" t="s">
        <v>201</v>
      </c>
      <c r="AA51" s="104" t="s">
        <v>201</v>
      </c>
      <c r="AB51" s="104" t="s">
        <v>201</v>
      </c>
      <c r="AC51" s="104" t="s">
        <v>201</v>
      </c>
      <c r="AD51" s="104" t="s">
        <v>201</v>
      </c>
      <c r="AE51" s="104" t="s">
        <v>201</v>
      </c>
      <c r="AF51" s="104" t="s">
        <v>201</v>
      </c>
      <c r="AG51" s="104" t="s">
        <v>201</v>
      </c>
      <c r="AH51" s="104" t="s">
        <v>201</v>
      </c>
      <c r="AI51" s="104" t="s">
        <v>201</v>
      </c>
      <c r="AJ51" s="104" t="s">
        <v>201</v>
      </c>
      <c r="AK51" s="104" t="s">
        <v>201</v>
      </c>
      <c r="AL51" s="104" t="s">
        <v>201</v>
      </c>
      <c r="AM51" s="104" t="s">
        <v>201</v>
      </c>
      <c r="AN51" s="104">
        <v>-7.9862000000000002</v>
      </c>
      <c r="AO51" s="104">
        <v>22.799700000000001</v>
      </c>
      <c r="AP51" s="104">
        <v>12.504799999999999</v>
      </c>
      <c r="AQ51" s="104">
        <v>-34.485999999999997</v>
      </c>
      <c r="AR51" s="104">
        <v>29.568300000000001</v>
      </c>
      <c r="AS51" s="104">
        <v>19.369700000000002</v>
      </c>
      <c r="AT51" s="104">
        <v>22.222799999999999</v>
      </c>
      <c r="AU51" s="104">
        <v>29.690200000000001</v>
      </c>
      <c r="AV51" s="104">
        <v>130.8905</v>
      </c>
    </row>
    <row r="52" spans="12:48" x14ac:dyDescent="0.25">
      <c r="L52" s="98" t="s">
        <v>601</v>
      </c>
      <c r="M52" s="98" t="s">
        <v>638</v>
      </c>
      <c r="N52" s="104" t="s">
        <v>201</v>
      </c>
      <c r="O52" s="104" t="s">
        <v>201</v>
      </c>
      <c r="P52" s="104" t="s">
        <v>201</v>
      </c>
      <c r="Q52" s="104" t="s">
        <v>201</v>
      </c>
      <c r="R52" s="104">
        <v>-3.1453000000000002</v>
      </c>
      <c r="S52" s="104">
        <v>-2.7008999999999999</v>
      </c>
      <c r="T52" s="104">
        <v>-4.3636999999999997</v>
      </c>
      <c r="U52" s="104">
        <v>-1.788</v>
      </c>
      <c r="V52" s="104">
        <v>-1.0732999999999999</v>
      </c>
      <c r="W52" s="104">
        <v>-0.2903</v>
      </c>
      <c r="X52" s="104">
        <v>-0.39229999999999998</v>
      </c>
      <c r="Y52" s="104" t="s">
        <v>201</v>
      </c>
      <c r="Z52" s="104" t="s">
        <v>201</v>
      </c>
      <c r="AA52" s="104" t="s">
        <v>201</v>
      </c>
      <c r="AB52" s="104" t="s">
        <v>201</v>
      </c>
      <c r="AC52" s="104" t="s">
        <v>201</v>
      </c>
      <c r="AD52" s="104" t="s">
        <v>201</v>
      </c>
      <c r="AE52" s="104" t="s">
        <v>201</v>
      </c>
      <c r="AF52" s="104" t="s">
        <v>201</v>
      </c>
      <c r="AG52" s="104" t="s">
        <v>201</v>
      </c>
      <c r="AH52" s="104">
        <v>-1.9489000000000001</v>
      </c>
      <c r="AI52" s="104">
        <v>-3.4420000000000002</v>
      </c>
      <c r="AJ52" s="104">
        <v>-3.036</v>
      </c>
      <c r="AK52" s="104">
        <v>-2.9464000000000001</v>
      </c>
      <c r="AL52" s="104">
        <v>-1.7763</v>
      </c>
      <c r="AM52" s="104">
        <v>-1.8305</v>
      </c>
      <c r="AN52" s="104">
        <v>1.2398</v>
      </c>
      <c r="AO52" s="104">
        <v>-0.67569999999999997</v>
      </c>
      <c r="AP52" s="104">
        <v>-2.7252000000000001</v>
      </c>
      <c r="AQ52" s="104">
        <v>-5.5911999999999997</v>
      </c>
      <c r="AR52" s="104">
        <v>-6.2084000000000001</v>
      </c>
      <c r="AS52" s="104">
        <v>-8.0792000000000002</v>
      </c>
      <c r="AT52" s="104">
        <v>-7.8381999999999996</v>
      </c>
      <c r="AU52" s="104">
        <v>-4.9755000000000003</v>
      </c>
      <c r="AV52" s="104">
        <v>-1.2456</v>
      </c>
    </row>
    <row r="53" spans="12:48" x14ac:dyDescent="0.25">
      <c r="L53" s="98" t="s">
        <v>603</v>
      </c>
      <c r="M53" s="98" t="s">
        <v>639</v>
      </c>
      <c r="N53" s="104" t="s">
        <v>201</v>
      </c>
      <c r="O53" s="104" t="s">
        <v>201</v>
      </c>
      <c r="P53" s="104" t="s">
        <v>201</v>
      </c>
      <c r="Q53" s="104" t="s">
        <v>201</v>
      </c>
      <c r="R53" s="104">
        <v>3.4895999999999998</v>
      </c>
      <c r="S53" s="104">
        <v>2.6905999999999999</v>
      </c>
      <c r="T53" s="104">
        <v>1.5370999999999999</v>
      </c>
      <c r="U53" s="104">
        <v>1.6681999999999999</v>
      </c>
      <c r="V53" s="104">
        <v>5.1269999999999998</v>
      </c>
      <c r="W53" s="104">
        <v>5.5255999999999998</v>
      </c>
      <c r="X53" s="104">
        <v>5.8066000000000004</v>
      </c>
      <c r="Y53" s="104">
        <v>5.2680999999999996</v>
      </c>
      <c r="Z53" s="104">
        <v>-0.76080000000000003</v>
      </c>
      <c r="AA53" s="104">
        <v>-4.069</v>
      </c>
      <c r="AB53" s="104">
        <v>-7.4168000000000003</v>
      </c>
      <c r="AC53" s="104">
        <v>-7.4206000000000003</v>
      </c>
      <c r="AD53" s="104">
        <v>-6.1821999999999999</v>
      </c>
      <c r="AE53" s="104">
        <v>-2.4325000000000001</v>
      </c>
      <c r="AF53" s="104">
        <v>0.1651</v>
      </c>
      <c r="AG53" s="104">
        <v>4.0052000000000003</v>
      </c>
      <c r="AH53" s="104">
        <v>3.3050000000000002</v>
      </c>
      <c r="AI53" s="104">
        <v>2.1366000000000001</v>
      </c>
      <c r="AJ53" s="104">
        <v>1.8584000000000001</v>
      </c>
      <c r="AK53" s="104">
        <v>0.88759999999999994</v>
      </c>
      <c r="AL53" s="104">
        <v>0.76680000000000004</v>
      </c>
      <c r="AM53" s="104">
        <v>-0.33110000000000001</v>
      </c>
      <c r="AN53" s="104">
        <v>-2.6612</v>
      </c>
      <c r="AO53" s="104">
        <v>-6.0899000000000001</v>
      </c>
      <c r="AP53" s="104">
        <v>-4.5629</v>
      </c>
      <c r="AQ53" s="104">
        <v>-3.5352000000000001</v>
      </c>
      <c r="AR53" s="104">
        <v>-0.1678</v>
      </c>
      <c r="AS53" s="104">
        <v>4.3003</v>
      </c>
      <c r="AT53" s="104">
        <v>1.1512</v>
      </c>
      <c r="AU53" s="104">
        <v>3.6234999999999999</v>
      </c>
      <c r="AV53" s="104">
        <v>5.9348999999999998</v>
      </c>
    </row>
    <row r="54" spans="12:48" x14ac:dyDescent="0.25">
      <c r="L54" s="98" t="s">
        <v>605</v>
      </c>
      <c r="M54" s="98" t="s">
        <v>640</v>
      </c>
      <c r="N54" s="104" t="s">
        <v>201</v>
      </c>
      <c r="O54" s="104" t="s">
        <v>201</v>
      </c>
      <c r="P54" s="104" t="s">
        <v>201</v>
      </c>
      <c r="Q54" s="104" t="s">
        <v>201</v>
      </c>
      <c r="R54" s="104">
        <v>-7.9036999999999997</v>
      </c>
      <c r="S54" s="104">
        <v>-23.6646</v>
      </c>
      <c r="T54" s="104">
        <v>2.0280999999999998</v>
      </c>
      <c r="U54" s="104">
        <v>12.171900000000001</v>
      </c>
      <c r="V54" s="104">
        <v>1.8405</v>
      </c>
      <c r="W54" s="104">
        <v>10.652900000000001</v>
      </c>
      <c r="X54" s="104">
        <v>-1.53</v>
      </c>
      <c r="Y54" s="104">
        <v>12.4649</v>
      </c>
      <c r="Z54" s="104">
        <v>7.7542</v>
      </c>
      <c r="AA54" s="104">
        <v>23.821200000000001</v>
      </c>
      <c r="AB54" s="104">
        <v>8.5082000000000004</v>
      </c>
      <c r="AC54" s="104">
        <v>8.3209</v>
      </c>
      <c r="AD54" s="104">
        <v>3.2679</v>
      </c>
      <c r="AE54" s="104">
        <v>0.34510000000000002</v>
      </c>
      <c r="AF54" s="104">
        <v>-13.9129</v>
      </c>
      <c r="AG54" s="104">
        <v>8.0654000000000003</v>
      </c>
      <c r="AH54" s="104">
        <v>-5.6501000000000001</v>
      </c>
      <c r="AI54" s="104">
        <v>-36.377600000000001</v>
      </c>
      <c r="AJ54" s="104">
        <v>-8.1362000000000005</v>
      </c>
      <c r="AK54" s="104">
        <v>-3.3123</v>
      </c>
      <c r="AL54" s="104">
        <v>-0.17849999999999999</v>
      </c>
      <c r="AM54" s="104">
        <v>10.742800000000001</v>
      </c>
      <c r="AN54" s="104">
        <v>15.0724</v>
      </c>
      <c r="AO54" s="104">
        <v>-49.567100000000003</v>
      </c>
      <c r="AP54" s="104">
        <v>-8.1744000000000003</v>
      </c>
      <c r="AQ54" s="104">
        <v>-52.430100000000003</v>
      </c>
      <c r="AR54" s="104">
        <v>-49.2181</v>
      </c>
      <c r="AS54" s="104">
        <v>5.7826000000000004</v>
      </c>
      <c r="AT54" s="104">
        <v>86.063400000000001</v>
      </c>
      <c r="AU54" s="104">
        <v>-5.8396999999999997</v>
      </c>
      <c r="AV54" s="104">
        <v>63.205100000000002</v>
      </c>
    </row>
    <row r="55" spans="12:48" x14ac:dyDescent="0.25">
      <c r="L55" s="98" t="s">
        <v>607</v>
      </c>
      <c r="M55" s="98" t="s">
        <v>641</v>
      </c>
      <c r="N55" s="104" t="s">
        <v>201</v>
      </c>
      <c r="O55" s="104" t="s">
        <v>201</v>
      </c>
      <c r="P55" s="104" t="s">
        <v>201</v>
      </c>
      <c r="Q55" s="104" t="s">
        <v>201</v>
      </c>
      <c r="R55" s="104">
        <v>-0.1497</v>
      </c>
      <c r="S55" s="104">
        <v>-4.0244999999999997</v>
      </c>
      <c r="T55" s="104">
        <v>-0.37890000000000001</v>
      </c>
      <c r="U55" s="104">
        <v>-3.3243999999999998</v>
      </c>
      <c r="V55" s="104">
        <v>8.2841000000000005</v>
      </c>
      <c r="W55" s="104">
        <v>14.3775</v>
      </c>
      <c r="X55" s="104">
        <v>14.3072</v>
      </c>
      <c r="Y55" s="104">
        <v>17.854800000000001</v>
      </c>
      <c r="Z55" s="104">
        <v>18.703700000000001</v>
      </c>
      <c r="AA55" s="104">
        <v>8.3179999999999996</v>
      </c>
      <c r="AB55" s="104">
        <v>0.81940000000000002</v>
      </c>
      <c r="AC55" s="104">
        <v>1.7115</v>
      </c>
      <c r="AD55" s="104">
        <v>0.59140000000000004</v>
      </c>
      <c r="AE55" s="104">
        <v>-2.1755</v>
      </c>
      <c r="AF55" s="104">
        <v>-3.4552</v>
      </c>
      <c r="AG55" s="104">
        <v>0.57189999999999996</v>
      </c>
      <c r="AH55" s="104">
        <v>1.3779999999999999</v>
      </c>
      <c r="AI55" s="104">
        <v>1.7795000000000001</v>
      </c>
      <c r="AJ55" s="104">
        <v>7.5178000000000003</v>
      </c>
      <c r="AK55" s="104">
        <v>9.1605000000000008</v>
      </c>
      <c r="AL55" s="104">
        <v>6.2617000000000003</v>
      </c>
      <c r="AM55" s="104">
        <v>4.0571000000000002</v>
      </c>
      <c r="AN55" s="104">
        <v>3.9980000000000002</v>
      </c>
      <c r="AO55" s="104">
        <v>3.988</v>
      </c>
      <c r="AP55" s="104">
        <v>4.0922000000000001</v>
      </c>
      <c r="AQ55" s="104">
        <v>3.7324000000000002</v>
      </c>
      <c r="AR55" s="104">
        <v>9.0821000000000005</v>
      </c>
      <c r="AS55" s="104">
        <v>11.498799999999999</v>
      </c>
      <c r="AT55" s="104">
        <v>10.3072</v>
      </c>
      <c r="AU55" s="104">
        <v>8.4068000000000005</v>
      </c>
      <c r="AV55" s="104">
        <v>9.5162999999999993</v>
      </c>
    </row>
    <row r="56" spans="12:48" x14ac:dyDescent="0.25">
      <c r="L56" s="98" t="s">
        <v>51</v>
      </c>
      <c r="M56" s="98" t="s">
        <v>642</v>
      </c>
      <c r="N56" s="104" t="s">
        <v>201</v>
      </c>
      <c r="O56" s="104" t="s">
        <v>201</v>
      </c>
      <c r="P56" s="104" t="s">
        <v>201</v>
      </c>
      <c r="Q56" s="104" t="s">
        <v>201</v>
      </c>
      <c r="R56" s="104">
        <v>-10.519</v>
      </c>
      <c r="S56" s="104">
        <v>-1.9441999999999999</v>
      </c>
      <c r="T56" s="104">
        <v>1.1654</v>
      </c>
      <c r="U56" s="104">
        <v>3.6785999999999999</v>
      </c>
      <c r="V56" s="104">
        <v>9.4376999999999995</v>
      </c>
      <c r="W56" s="104">
        <v>14.150399999999999</v>
      </c>
      <c r="X56" s="104">
        <v>13.081099999999999</v>
      </c>
      <c r="Y56" s="104">
        <v>9.0584000000000007</v>
      </c>
      <c r="Z56" s="104">
        <v>7.2412999999999998</v>
      </c>
      <c r="AA56" s="104">
        <v>4.1460999999999997</v>
      </c>
      <c r="AB56" s="104">
        <v>1.5958000000000001</v>
      </c>
      <c r="AC56" s="104">
        <v>1.8772</v>
      </c>
      <c r="AD56" s="104">
        <v>3.4232</v>
      </c>
      <c r="AE56" s="104">
        <v>5.7404000000000002</v>
      </c>
      <c r="AF56" s="104">
        <v>7.8788999999999998</v>
      </c>
      <c r="AG56" s="104">
        <v>6.8323999999999998</v>
      </c>
      <c r="AH56" s="104">
        <v>4.5166000000000004</v>
      </c>
      <c r="AI56" s="104">
        <v>5.1811999999999996</v>
      </c>
      <c r="AJ56" s="104">
        <v>1.8090999999999999</v>
      </c>
      <c r="AK56" s="104">
        <v>-1.0833999999999999</v>
      </c>
      <c r="AL56" s="104">
        <v>0.71960000000000002</v>
      </c>
      <c r="AM56" s="104">
        <v>5.4710999999999999</v>
      </c>
      <c r="AN56" s="104">
        <v>4.9729000000000001</v>
      </c>
      <c r="AO56" s="104">
        <v>6.0462999999999996</v>
      </c>
      <c r="AP56" s="104">
        <v>6.6685999999999996</v>
      </c>
      <c r="AQ56" s="104">
        <v>10.336600000000001</v>
      </c>
      <c r="AR56" s="104">
        <v>3.6728999999999998</v>
      </c>
      <c r="AS56" s="104">
        <v>1.2002999999999999</v>
      </c>
      <c r="AT56" s="104">
        <v>2.3578999999999999</v>
      </c>
      <c r="AU56" s="104">
        <v>2.9138999999999999</v>
      </c>
      <c r="AV56" s="104">
        <v>-3.0251999999999999</v>
      </c>
    </row>
    <row r="57" spans="12:48" x14ac:dyDescent="0.25">
      <c r="L57" s="98" t="s">
        <v>643</v>
      </c>
      <c r="M57" s="98" t="s">
        <v>644</v>
      </c>
      <c r="N57" s="104" t="s">
        <v>201</v>
      </c>
      <c r="O57" s="104" t="s">
        <v>201</v>
      </c>
      <c r="P57" s="104" t="s">
        <v>201</v>
      </c>
      <c r="Q57" s="104" t="s">
        <v>201</v>
      </c>
      <c r="R57" s="104">
        <v>-5.7931999999999997</v>
      </c>
      <c r="S57" s="104">
        <v>-3.0590000000000002</v>
      </c>
      <c r="T57" s="104">
        <v>0.443</v>
      </c>
      <c r="U57" s="104">
        <v>0.50049999999999994</v>
      </c>
      <c r="V57" s="104">
        <v>8.8651999999999997</v>
      </c>
      <c r="W57" s="104">
        <v>14.2727</v>
      </c>
      <c r="X57" s="104">
        <v>13.725099999999999</v>
      </c>
      <c r="Y57" s="104">
        <v>13.412100000000001</v>
      </c>
      <c r="Z57" s="104">
        <v>12.4246</v>
      </c>
      <c r="AA57" s="104">
        <v>6.2652000000000001</v>
      </c>
      <c r="AB57" s="104">
        <v>1.1795</v>
      </c>
      <c r="AC57" s="104">
        <v>1.7889999999999999</v>
      </c>
      <c r="AD57" s="104">
        <v>1.8964000000000001</v>
      </c>
      <c r="AE57" s="104">
        <v>1.8680000000000001</v>
      </c>
      <c r="AF57" s="104">
        <v>2.4146000000000001</v>
      </c>
      <c r="AG57" s="104">
        <v>3.6997</v>
      </c>
      <c r="AH57" s="104">
        <v>2.8969</v>
      </c>
      <c r="AI57" s="104">
        <v>3.4735999999999998</v>
      </c>
      <c r="AJ57" s="104">
        <v>4.4248000000000003</v>
      </c>
      <c r="AK57" s="104">
        <v>3.5089999999999999</v>
      </c>
      <c r="AL57" s="104">
        <v>3.3902999999999999</v>
      </c>
      <c r="AM57" s="104">
        <v>4.7831999999999999</v>
      </c>
      <c r="AN57" s="104">
        <v>4.5119999999999996</v>
      </c>
      <c r="AO57" s="104">
        <v>5.0393999999999997</v>
      </c>
      <c r="AP57" s="104">
        <v>5.3555999999999999</v>
      </c>
      <c r="AQ57" s="104">
        <v>7.0925000000000002</v>
      </c>
      <c r="AR57" s="104">
        <v>6.3868999999999998</v>
      </c>
      <c r="AS57" s="104">
        <v>6.4936999999999996</v>
      </c>
      <c r="AT57" s="104">
        <v>6.4264000000000001</v>
      </c>
      <c r="AU57" s="104">
        <v>5.7549999999999999</v>
      </c>
      <c r="AV57" s="104">
        <v>3.3151999999999999</v>
      </c>
    </row>
    <row r="58" spans="12:48" x14ac:dyDescent="0.25">
      <c r="L58" s="98" t="s">
        <v>612</v>
      </c>
      <c r="M58" s="98" t="s">
        <v>645</v>
      </c>
      <c r="N58" s="104" t="s">
        <v>201</v>
      </c>
      <c r="O58" s="104" t="s">
        <v>201</v>
      </c>
      <c r="P58" s="104" t="s">
        <v>201</v>
      </c>
      <c r="Q58" s="104" t="s">
        <v>201</v>
      </c>
      <c r="R58" s="104">
        <v>-1.6546000000000001</v>
      </c>
      <c r="S58" s="104">
        <v>8.5800000000000001E-2</v>
      </c>
      <c r="T58" s="104">
        <v>1.3996</v>
      </c>
      <c r="U58" s="104">
        <v>2.3220000000000001</v>
      </c>
      <c r="V58" s="104">
        <v>8.1853999999999996</v>
      </c>
      <c r="W58" s="104">
        <v>12.937099999999999</v>
      </c>
      <c r="X58" s="104">
        <v>12.1569</v>
      </c>
      <c r="Y58" s="104">
        <v>8.1446000000000005</v>
      </c>
      <c r="Z58" s="104">
        <v>7.0141999999999998</v>
      </c>
      <c r="AA58" s="104">
        <v>4.4558999999999997</v>
      </c>
      <c r="AB58" s="104">
        <v>1.9363999999999999</v>
      </c>
      <c r="AC58" s="104">
        <v>2.0705</v>
      </c>
      <c r="AD58" s="104">
        <v>3.7014999999999998</v>
      </c>
      <c r="AE58" s="104">
        <v>5.2054</v>
      </c>
      <c r="AF58" s="104">
        <v>7.3620000000000001</v>
      </c>
      <c r="AG58" s="104">
        <v>7.9362000000000004</v>
      </c>
      <c r="AH58" s="104">
        <v>6.5559000000000003</v>
      </c>
      <c r="AI58" s="104">
        <v>7.1093999999999999</v>
      </c>
      <c r="AJ58" s="104">
        <v>5.1924999999999999</v>
      </c>
      <c r="AK58" s="104">
        <v>3.4283999999999999</v>
      </c>
      <c r="AL58" s="104">
        <v>4.4105999999999996</v>
      </c>
      <c r="AM58" s="104">
        <v>8.6295000000000002</v>
      </c>
      <c r="AN58" s="104">
        <v>8.6588999999999992</v>
      </c>
      <c r="AO58" s="104">
        <v>9.0508000000000006</v>
      </c>
      <c r="AP58" s="104">
        <v>9.3201000000000001</v>
      </c>
      <c r="AQ58" s="104">
        <v>13.411799999999999</v>
      </c>
      <c r="AR58" s="104">
        <v>8.1229999999999993</v>
      </c>
      <c r="AS58" s="104">
        <v>6.3742000000000001</v>
      </c>
      <c r="AT58" s="104">
        <v>-13.8497</v>
      </c>
      <c r="AU58" s="104">
        <v>7.8739999999999997</v>
      </c>
      <c r="AV58" s="104">
        <v>2.0775999999999999</v>
      </c>
    </row>
    <row r="59" spans="12:48" x14ac:dyDescent="0.25">
      <c r="L59" s="98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</row>
    <row r="60" spans="12:48" x14ac:dyDescent="0.25">
      <c r="L60" s="98" t="s">
        <v>614</v>
      </c>
      <c r="M60" s="98" t="s">
        <v>646</v>
      </c>
      <c r="N60" s="104" t="s">
        <v>201</v>
      </c>
      <c r="O60" s="104" t="s">
        <v>201</v>
      </c>
      <c r="P60" s="104" t="s">
        <v>201</v>
      </c>
      <c r="Q60" s="104" t="s">
        <v>201</v>
      </c>
      <c r="R60" s="104">
        <v>-4.9290000000000003</v>
      </c>
      <c r="S60" s="104">
        <v>3.4739</v>
      </c>
      <c r="T60" s="104">
        <v>5.6581000000000001</v>
      </c>
      <c r="U60" s="104">
        <v>12.004</v>
      </c>
      <c r="V60" s="104">
        <v>10.705399999999999</v>
      </c>
      <c r="W60" s="104">
        <v>10.657400000000001</v>
      </c>
      <c r="X60" s="104">
        <v>0.77780000000000005</v>
      </c>
      <c r="Y60" s="104">
        <v>-4.1814999999999998</v>
      </c>
      <c r="Z60" s="104">
        <v>-14.6433</v>
      </c>
      <c r="AA60" s="104">
        <v>-10.498900000000001</v>
      </c>
      <c r="AB60" s="104">
        <v>-6.2716000000000003</v>
      </c>
      <c r="AC60" s="104">
        <v>-4.2693000000000003</v>
      </c>
      <c r="AD60" s="104">
        <v>6.1881000000000004</v>
      </c>
      <c r="AE60" s="104">
        <v>9.3484999999999996</v>
      </c>
      <c r="AF60" s="104">
        <v>20.001899999999999</v>
      </c>
      <c r="AG60" s="104">
        <v>14.1473</v>
      </c>
      <c r="AH60" s="104">
        <v>29.373899999999999</v>
      </c>
      <c r="AI60" s="104">
        <v>7.1148999999999996</v>
      </c>
      <c r="AJ60" s="104">
        <v>24.052499999999998</v>
      </c>
      <c r="AK60" s="104">
        <v>11.1478</v>
      </c>
      <c r="AL60" s="104">
        <v>6.1685999999999996</v>
      </c>
      <c r="AM60" s="104">
        <v>2.3132999999999999</v>
      </c>
      <c r="AN60" s="104">
        <v>10.393599999999999</v>
      </c>
      <c r="AO60" s="104">
        <v>0.65969999999999995</v>
      </c>
      <c r="AP60" s="104">
        <v>-2.7223000000000002</v>
      </c>
      <c r="AQ60" s="104">
        <v>3.3401999999999998</v>
      </c>
      <c r="AR60" s="104">
        <v>7.2735000000000003</v>
      </c>
      <c r="AS60" s="104">
        <v>7.7260999999999997</v>
      </c>
      <c r="AT60" s="104">
        <v>4.8135000000000003</v>
      </c>
      <c r="AU60" s="104">
        <v>10.8903</v>
      </c>
      <c r="AV60" s="104">
        <v>10.107200000000001</v>
      </c>
    </row>
    <row r="61" spans="12:48" x14ac:dyDescent="0.25">
      <c r="L61" s="98" t="s">
        <v>45</v>
      </c>
      <c r="M61" s="98" t="s">
        <v>647</v>
      </c>
      <c r="N61" s="104" t="s">
        <v>201</v>
      </c>
      <c r="O61" s="104" t="s">
        <v>201</v>
      </c>
      <c r="P61" s="104" t="s">
        <v>201</v>
      </c>
      <c r="Q61" s="104" t="s">
        <v>201</v>
      </c>
      <c r="R61" s="104" t="s">
        <v>201</v>
      </c>
      <c r="S61" s="104" t="s">
        <v>201</v>
      </c>
      <c r="T61" s="104" t="s">
        <v>201</v>
      </c>
      <c r="U61" s="104" t="s">
        <v>201</v>
      </c>
      <c r="V61" s="104">
        <v>155.32069999999999</v>
      </c>
      <c r="W61" s="104" t="s">
        <v>201</v>
      </c>
      <c r="X61" s="104" t="s">
        <v>201</v>
      </c>
      <c r="Y61" s="104" t="s">
        <v>201</v>
      </c>
      <c r="Z61" s="104" t="s">
        <v>201</v>
      </c>
      <c r="AA61" s="104" t="s">
        <v>201</v>
      </c>
      <c r="AB61" s="104" t="s">
        <v>201</v>
      </c>
      <c r="AC61" s="104" t="s">
        <v>201</v>
      </c>
      <c r="AD61" s="104" t="s">
        <v>201</v>
      </c>
      <c r="AE61" s="104" t="s">
        <v>201</v>
      </c>
      <c r="AF61" s="104" t="s">
        <v>201</v>
      </c>
      <c r="AG61" s="104" t="s">
        <v>201</v>
      </c>
      <c r="AH61" s="104" t="s">
        <v>201</v>
      </c>
      <c r="AI61" s="104">
        <v>8.0620999999999992</v>
      </c>
      <c r="AJ61" s="104" t="s">
        <v>201</v>
      </c>
      <c r="AK61" s="104">
        <v>23.2986</v>
      </c>
      <c r="AL61" s="104">
        <v>8.0395000000000003</v>
      </c>
      <c r="AM61" s="104">
        <v>-4.0651999999999999</v>
      </c>
      <c r="AN61" s="104">
        <v>7.8388999999999998</v>
      </c>
      <c r="AO61" s="104">
        <v>-10.677</v>
      </c>
      <c r="AP61" s="104">
        <v>-11.642899999999999</v>
      </c>
      <c r="AQ61" s="104">
        <v>18.805800000000001</v>
      </c>
      <c r="AR61" s="104">
        <v>24.867699999999999</v>
      </c>
      <c r="AS61" s="104">
        <v>28.994800000000001</v>
      </c>
      <c r="AT61" s="104">
        <v>26.6892</v>
      </c>
      <c r="AU61" s="104">
        <v>38.762099999999997</v>
      </c>
      <c r="AV61" s="104">
        <v>19.475000000000001</v>
      </c>
    </row>
    <row r="62" spans="12:48" x14ac:dyDescent="0.25">
      <c r="L62" s="98" t="s">
        <v>620</v>
      </c>
      <c r="M62" s="98" t="s">
        <v>648</v>
      </c>
      <c r="N62" s="104" t="s">
        <v>201</v>
      </c>
      <c r="O62" s="104" t="s">
        <v>201</v>
      </c>
      <c r="P62" s="104" t="s">
        <v>201</v>
      </c>
      <c r="Q62" s="104" t="s">
        <v>201</v>
      </c>
      <c r="R62" s="104" t="s">
        <v>201</v>
      </c>
      <c r="S62" s="104" t="s">
        <v>201</v>
      </c>
      <c r="T62" s="104" t="s">
        <v>201</v>
      </c>
      <c r="U62" s="104" t="s">
        <v>201</v>
      </c>
      <c r="V62" s="104" t="s">
        <v>201</v>
      </c>
      <c r="W62" s="104" t="s">
        <v>201</v>
      </c>
      <c r="X62" s="104">
        <v>3.6779000000000002</v>
      </c>
      <c r="Y62" s="104">
        <v>-3.9746000000000001</v>
      </c>
      <c r="Z62" s="104">
        <v>-9.1708999999999996</v>
      </c>
      <c r="AA62" s="104">
        <v>-6.1882999999999999</v>
      </c>
      <c r="AB62" s="104">
        <v>-5.4058999999999999</v>
      </c>
      <c r="AC62" s="104">
        <v>-4.1700999999999997</v>
      </c>
      <c r="AD62" s="104">
        <v>7.0553999999999997</v>
      </c>
      <c r="AE62" s="104">
        <v>5.4924999999999997</v>
      </c>
      <c r="AF62" s="104">
        <v>14.922700000000001</v>
      </c>
      <c r="AG62" s="104">
        <v>11.600899999999999</v>
      </c>
      <c r="AH62" s="104">
        <v>24.202400000000001</v>
      </c>
      <c r="AI62" s="104">
        <v>6.7436999999999996</v>
      </c>
      <c r="AJ62" s="104">
        <v>20.7423</v>
      </c>
      <c r="AK62" s="104">
        <v>10.4375</v>
      </c>
      <c r="AL62" s="104">
        <v>6.1559999999999997</v>
      </c>
      <c r="AM62" s="104">
        <v>2.2467000000000001</v>
      </c>
      <c r="AN62" s="104">
        <v>8.9769000000000005</v>
      </c>
      <c r="AO62" s="104">
        <v>0.59370000000000001</v>
      </c>
      <c r="AP62" s="104">
        <v>-2.3824000000000001</v>
      </c>
      <c r="AQ62" s="104" t="s">
        <v>201</v>
      </c>
      <c r="AR62" s="104" t="s">
        <v>201</v>
      </c>
      <c r="AS62" s="104" t="s">
        <v>201</v>
      </c>
      <c r="AT62" s="104" t="s">
        <v>201</v>
      </c>
      <c r="AU62" s="104" t="s">
        <v>201</v>
      </c>
      <c r="AV62" s="104" t="s">
        <v>201</v>
      </c>
    </row>
    <row r="63" spans="12:48" x14ac:dyDescent="0.25">
      <c r="L63" s="98" t="s">
        <v>425</v>
      </c>
      <c r="M63" s="98" t="s">
        <v>649</v>
      </c>
      <c r="N63" s="104" t="s">
        <v>201</v>
      </c>
      <c r="O63" s="104" t="s">
        <v>201</v>
      </c>
      <c r="P63" s="104" t="s">
        <v>201</v>
      </c>
      <c r="Q63" s="104" t="s">
        <v>201</v>
      </c>
      <c r="R63" s="104" t="s">
        <v>201</v>
      </c>
      <c r="S63" s="104" t="s">
        <v>201</v>
      </c>
      <c r="T63" s="104" t="s">
        <v>201</v>
      </c>
      <c r="U63" s="104" t="s">
        <v>201</v>
      </c>
      <c r="V63" s="104" t="s">
        <v>201</v>
      </c>
      <c r="W63" s="104" t="s">
        <v>201</v>
      </c>
      <c r="X63" s="104" t="s">
        <v>201</v>
      </c>
      <c r="Y63" s="104" t="s">
        <v>201</v>
      </c>
      <c r="Z63" s="104" t="s">
        <v>201</v>
      </c>
      <c r="AA63" s="104" t="s">
        <v>201</v>
      </c>
      <c r="AB63" s="104" t="s">
        <v>201</v>
      </c>
      <c r="AC63" s="104" t="s">
        <v>201</v>
      </c>
      <c r="AD63" s="104" t="s">
        <v>201</v>
      </c>
      <c r="AE63" s="104">
        <v>10.643000000000001</v>
      </c>
      <c r="AF63" s="104">
        <v>24.239899999999999</v>
      </c>
      <c r="AG63" s="104">
        <v>15.1007</v>
      </c>
      <c r="AH63" s="104">
        <v>107.96429999999999</v>
      </c>
      <c r="AI63" s="104">
        <v>6.7744999999999997</v>
      </c>
      <c r="AJ63" s="104">
        <v>45.756599999999999</v>
      </c>
      <c r="AK63" s="104">
        <v>17.1816</v>
      </c>
      <c r="AL63" s="104">
        <v>7.2786</v>
      </c>
      <c r="AM63" s="104">
        <v>-2.6909999999999998</v>
      </c>
      <c r="AN63" s="104">
        <v>4.9417999999999997</v>
      </c>
      <c r="AO63" s="104">
        <v>-8.2028999999999996</v>
      </c>
      <c r="AP63" s="104">
        <v>-8.2056000000000004</v>
      </c>
      <c r="AQ63" s="104" t="s">
        <v>201</v>
      </c>
      <c r="AR63" s="104" t="s">
        <v>201</v>
      </c>
      <c r="AS63" s="104" t="s">
        <v>201</v>
      </c>
      <c r="AT63" s="104" t="s">
        <v>201</v>
      </c>
      <c r="AU63" s="104" t="s">
        <v>201</v>
      </c>
      <c r="AV63" s="104" t="s">
        <v>201</v>
      </c>
    </row>
    <row r="64" spans="12:48" x14ac:dyDescent="0.25">
      <c r="L64" s="98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</row>
    <row r="65" spans="12:48" x14ac:dyDescent="0.25">
      <c r="L65" s="96" t="s">
        <v>650</v>
      </c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  <c r="AU65" s="97"/>
      <c r="AV65" s="97"/>
    </row>
    <row r="66" spans="12:48" x14ac:dyDescent="0.25">
      <c r="L66" s="98" t="s">
        <v>3</v>
      </c>
      <c r="M66" s="98" t="s">
        <v>651</v>
      </c>
      <c r="N66" s="104">
        <v>-5.6074000000000002</v>
      </c>
      <c r="O66" s="104">
        <v>2.0152999999999999</v>
      </c>
      <c r="P66" s="104">
        <v>5.9393000000000002</v>
      </c>
      <c r="Q66" s="104">
        <v>5.2529000000000003</v>
      </c>
      <c r="R66" s="104">
        <v>1.1348</v>
      </c>
      <c r="S66" s="104">
        <v>2.3586</v>
      </c>
      <c r="T66" s="104">
        <v>7.4720000000000004</v>
      </c>
      <c r="U66" s="104">
        <v>9.3255999999999997</v>
      </c>
      <c r="V66" s="104">
        <v>0.30459999999999998</v>
      </c>
      <c r="W66" s="104">
        <v>0.80679999999999996</v>
      </c>
      <c r="X66" s="104">
        <v>-7.0896999999999997</v>
      </c>
      <c r="Y66" s="104">
        <v>5.1378000000000004</v>
      </c>
      <c r="Z66" s="104">
        <v>-21.050599999999999</v>
      </c>
      <c r="AA66" s="104">
        <v>-0.9889</v>
      </c>
      <c r="AB66" s="104">
        <v>0.51790000000000003</v>
      </c>
      <c r="AC66" s="104">
        <v>-7.1883999999999997</v>
      </c>
      <c r="AD66" s="104">
        <v>6.2648999999999999</v>
      </c>
      <c r="AE66" s="104">
        <v>7.1890999999999998</v>
      </c>
      <c r="AF66" s="104">
        <v>11.0002</v>
      </c>
      <c r="AG66" s="104">
        <v>4.8505000000000003</v>
      </c>
      <c r="AH66" s="104">
        <v>12.2134</v>
      </c>
      <c r="AI66" s="104">
        <v>-19.671299999999999</v>
      </c>
      <c r="AJ66" s="104">
        <v>17.6419</v>
      </c>
      <c r="AK66" s="104">
        <v>10.897</v>
      </c>
      <c r="AL66" s="104">
        <v>-0.3306</v>
      </c>
      <c r="AM66" s="104">
        <v>2.2967</v>
      </c>
      <c r="AN66" s="104">
        <v>5.3467000000000002</v>
      </c>
      <c r="AO66" s="104">
        <v>-6.7724000000000002</v>
      </c>
      <c r="AP66" s="104">
        <v>-6.2823000000000002</v>
      </c>
      <c r="AQ66" s="104">
        <v>3.0626000000000002</v>
      </c>
      <c r="AR66" s="104">
        <v>7.3807999999999998</v>
      </c>
      <c r="AS66" s="104">
        <v>-2.5550999999999999</v>
      </c>
      <c r="AT66" s="104">
        <v>-11.3429</v>
      </c>
      <c r="AU66" s="104">
        <v>18.3218</v>
      </c>
      <c r="AV66" s="104">
        <v>18.615200000000002</v>
      </c>
    </row>
    <row r="67" spans="12:48" x14ac:dyDescent="0.25">
      <c r="L67" s="98" t="s">
        <v>16</v>
      </c>
      <c r="M67" s="98" t="s">
        <v>652</v>
      </c>
      <c r="N67" s="104">
        <v>-4.3780000000000001</v>
      </c>
      <c r="O67" s="104">
        <v>-4.3605</v>
      </c>
      <c r="P67" s="104">
        <v>-2.1276999999999999</v>
      </c>
      <c r="Q67" s="104">
        <v>5.2019000000000002</v>
      </c>
      <c r="R67" s="104">
        <v>10.1107</v>
      </c>
      <c r="S67" s="104">
        <v>-0.46920000000000001</v>
      </c>
      <c r="T67" s="104">
        <v>21.818200000000001</v>
      </c>
      <c r="U67" s="104">
        <v>12.1614</v>
      </c>
      <c r="V67" s="104">
        <v>5.5692000000000004</v>
      </c>
      <c r="W67" s="104">
        <v>6.0224000000000002</v>
      </c>
      <c r="X67" s="104">
        <v>-22.501100000000001</v>
      </c>
      <c r="Y67" s="104">
        <v>-32.159100000000002</v>
      </c>
      <c r="Z67" s="104">
        <v>17.671700000000001</v>
      </c>
      <c r="AA67" s="104">
        <v>12.3843</v>
      </c>
      <c r="AB67" s="104">
        <v>12.4763</v>
      </c>
      <c r="AC67" s="104">
        <v>-34.515799999999999</v>
      </c>
      <c r="AD67" s="104">
        <v>48.7532</v>
      </c>
      <c r="AE67" s="104">
        <v>37.745699999999999</v>
      </c>
      <c r="AF67" s="104">
        <v>26.101600000000001</v>
      </c>
      <c r="AG67" s="104">
        <v>4.6921999999999997</v>
      </c>
      <c r="AH67" s="104">
        <v>17.1647</v>
      </c>
      <c r="AI67" s="104">
        <v>-13.9175</v>
      </c>
      <c r="AJ67" s="104">
        <v>26.6309</v>
      </c>
      <c r="AK67" s="104">
        <v>10.652100000000001</v>
      </c>
      <c r="AL67" s="104">
        <v>1.5744</v>
      </c>
      <c r="AM67" s="104">
        <v>1.3508</v>
      </c>
      <c r="AN67" s="104">
        <v>4.0856000000000003</v>
      </c>
      <c r="AO67" s="104">
        <v>0.5877</v>
      </c>
      <c r="AP67" s="104">
        <v>-2.1284999999999998</v>
      </c>
      <c r="AQ67" s="104">
        <v>7.3560999999999996</v>
      </c>
      <c r="AR67" s="104">
        <v>23.138000000000002</v>
      </c>
      <c r="AS67" s="104">
        <v>3.1934999999999998</v>
      </c>
      <c r="AT67" s="104">
        <v>-8.9246999999999996</v>
      </c>
      <c r="AU67" s="104">
        <v>21.898099999999999</v>
      </c>
      <c r="AV67" s="104">
        <v>7.4476000000000004</v>
      </c>
    </row>
    <row r="68" spans="12:48" x14ac:dyDescent="0.25">
      <c r="L68" s="98" t="s">
        <v>578</v>
      </c>
      <c r="M68" s="98" t="s">
        <v>653</v>
      </c>
      <c r="N68" s="104">
        <v>1.5642</v>
      </c>
      <c r="O68" s="104">
        <v>-4.4004000000000003</v>
      </c>
      <c r="P68" s="104">
        <v>-6.2140000000000004</v>
      </c>
      <c r="Q68" s="104">
        <v>4.7853000000000003</v>
      </c>
      <c r="R68" s="104">
        <v>12.9977</v>
      </c>
      <c r="S68" s="104">
        <v>-5.3886000000000003</v>
      </c>
      <c r="T68" s="104">
        <v>34.939799999999998</v>
      </c>
      <c r="U68" s="104">
        <v>15.9903</v>
      </c>
      <c r="V68" s="104">
        <v>6.508</v>
      </c>
      <c r="W68" s="104">
        <v>4.0079000000000002</v>
      </c>
      <c r="X68" s="104">
        <v>-28.616599999999998</v>
      </c>
      <c r="Y68" s="104">
        <v>-49.292000000000002</v>
      </c>
      <c r="Z68" s="104">
        <v>40.488700000000001</v>
      </c>
      <c r="AA68" s="104">
        <v>18.882000000000001</v>
      </c>
      <c r="AB68" s="104">
        <v>17.7638</v>
      </c>
      <c r="AC68" s="104">
        <v>-53.8598</v>
      </c>
      <c r="AD68" s="104">
        <v>92.307699999999997</v>
      </c>
      <c r="AE68" s="104">
        <v>55</v>
      </c>
      <c r="AF68" s="104">
        <v>37.935499999999998</v>
      </c>
      <c r="AG68" s="104">
        <v>5.5191999999999997</v>
      </c>
      <c r="AH68" s="104">
        <v>22.695</v>
      </c>
      <c r="AI68" s="104">
        <v>-17.991299999999999</v>
      </c>
      <c r="AJ68" s="104">
        <v>35.286299999999997</v>
      </c>
      <c r="AK68" s="104">
        <v>12.9925</v>
      </c>
      <c r="AL68" s="104">
        <v>-0.37459999999999999</v>
      </c>
      <c r="AM68" s="104">
        <v>0.46279999999999999</v>
      </c>
      <c r="AN68" s="104">
        <v>4.0311000000000003</v>
      </c>
      <c r="AO68" s="104">
        <v>-0.80269999999999997</v>
      </c>
      <c r="AP68" s="104">
        <v>-5.4408000000000003</v>
      </c>
      <c r="AQ68" s="104">
        <v>9.7668999999999997</v>
      </c>
      <c r="AR68" s="104">
        <v>30.8871</v>
      </c>
      <c r="AS68" s="104">
        <v>1.9717</v>
      </c>
      <c r="AT68" s="104">
        <v>-12.145</v>
      </c>
      <c r="AU68" s="104">
        <v>28.2439</v>
      </c>
      <c r="AV68" s="104">
        <v>7.6688999999999998</v>
      </c>
    </row>
    <row r="69" spans="12:48" x14ac:dyDescent="0.25">
      <c r="L69" s="98" t="s">
        <v>580</v>
      </c>
      <c r="M69" s="98" t="s">
        <v>654</v>
      </c>
      <c r="N69" s="104">
        <v>0.73529999999999995</v>
      </c>
      <c r="O69" s="104">
        <v>220.43799999999999</v>
      </c>
      <c r="P69" s="104">
        <v>-7.2892999999999999</v>
      </c>
      <c r="Q69" s="104">
        <v>-166.8305</v>
      </c>
      <c r="R69" s="104" t="s">
        <v>201</v>
      </c>
      <c r="S69" s="104">
        <v>1695</v>
      </c>
      <c r="T69" s="104">
        <v>81.615600000000001</v>
      </c>
      <c r="U69" s="104">
        <v>-5.2146999999999997</v>
      </c>
      <c r="V69" s="104">
        <v>38.349499999999999</v>
      </c>
      <c r="W69" s="104">
        <v>-6.5496999999999996</v>
      </c>
      <c r="X69" s="104">
        <v>-32.790999999999997</v>
      </c>
      <c r="Y69" s="104">
        <v>-99.627600000000001</v>
      </c>
      <c r="Z69" s="104">
        <v>28150</v>
      </c>
      <c r="AA69" s="104">
        <v>-48.141599999999997</v>
      </c>
      <c r="AB69" s="104">
        <v>44.709899999999998</v>
      </c>
      <c r="AC69" s="104">
        <v>-41.981099999999998</v>
      </c>
      <c r="AD69" s="104">
        <v>37.804900000000004</v>
      </c>
      <c r="AE69" s="104">
        <v>237.75810000000001</v>
      </c>
      <c r="AF69" s="104">
        <v>14.410500000000001</v>
      </c>
      <c r="AG69" s="104">
        <v>1.9846999999999999</v>
      </c>
      <c r="AH69" s="104">
        <v>2.1707000000000001</v>
      </c>
      <c r="AI69" s="104">
        <v>-16.2637</v>
      </c>
      <c r="AJ69" s="104">
        <v>36.745399999999997</v>
      </c>
      <c r="AK69" s="104">
        <v>18.681999999999999</v>
      </c>
      <c r="AL69" s="104">
        <v>0.21560000000000001</v>
      </c>
      <c r="AM69" s="104">
        <v>0.2152</v>
      </c>
      <c r="AN69" s="104">
        <v>3.3816000000000002</v>
      </c>
      <c r="AO69" s="104">
        <v>2.1288</v>
      </c>
      <c r="AP69" s="104">
        <v>-12.9131</v>
      </c>
      <c r="AQ69" s="104">
        <v>219.3228</v>
      </c>
      <c r="AR69" s="104">
        <v>-39.524700000000003</v>
      </c>
      <c r="AS69" s="104">
        <v>0.69530000000000003</v>
      </c>
      <c r="AT69" s="104">
        <v>-16.991900000000001</v>
      </c>
      <c r="AU69" s="104">
        <v>36.744999999999997</v>
      </c>
      <c r="AV69" s="104">
        <v>10.182499999999999</v>
      </c>
    </row>
    <row r="70" spans="12:48" x14ac:dyDescent="0.25">
      <c r="L70" s="98" t="s">
        <v>582</v>
      </c>
      <c r="M70" s="98" t="s">
        <v>655</v>
      </c>
      <c r="N70" s="104">
        <v>5.6818</v>
      </c>
      <c r="O70" s="104">
        <v>366.66669999999999</v>
      </c>
      <c r="P70" s="104">
        <v>-4.3779000000000003</v>
      </c>
      <c r="Q70" s="104">
        <v>-165.06020000000001</v>
      </c>
      <c r="R70" s="104" t="s">
        <v>201</v>
      </c>
      <c r="S70" s="104">
        <v>1721.0526</v>
      </c>
      <c r="T70" s="104">
        <v>80.0578</v>
      </c>
      <c r="U70" s="104">
        <v>-5.6180000000000003</v>
      </c>
      <c r="V70" s="104">
        <v>34.693899999999999</v>
      </c>
      <c r="W70" s="104">
        <v>-6.0606</v>
      </c>
      <c r="X70" s="104">
        <v>-32.526899999999998</v>
      </c>
      <c r="Y70" s="104">
        <v>-99.601600000000005</v>
      </c>
      <c r="Z70" s="104">
        <v>26600</v>
      </c>
      <c r="AA70" s="104">
        <v>-48.314599999999999</v>
      </c>
      <c r="AB70" s="104">
        <v>44.2029</v>
      </c>
      <c r="AC70" s="104">
        <v>-44.2211</v>
      </c>
      <c r="AD70" s="104">
        <v>36.936900000000001</v>
      </c>
      <c r="AE70" s="104">
        <v>231.5789</v>
      </c>
      <c r="AF70" s="104">
        <v>11.9048</v>
      </c>
      <c r="AG70" s="104">
        <v>6.0284000000000004</v>
      </c>
      <c r="AH70" s="104">
        <v>11.7057</v>
      </c>
      <c r="AI70" s="104">
        <v>-13.473100000000001</v>
      </c>
      <c r="AJ70" s="104">
        <v>40.138399999999997</v>
      </c>
      <c r="AK70" s="104">
        <v>25.925899999999999</v>
      </c>
      <c r="AL70" s="104">
        <v>5.2941000000000003</v>
      </c>
      <c r="AM70" s="104">
        <v>2.2345999999999999</v>
      </c>
      <c r="AN70" s="104">
        <v>4.9180000000000001</v>
      </c>
      <c r="AO70" s="104">
        <v>4.1666999999999996</v>
      </c>
      <c r="AP70" s="104">
        <v>-9.5</v>
      </c>
      <c r="AQ70" s="104">
        <v>230.9392</v>
      </c>
      <c r="AR70" s="104">
        <v>-35.8932</v>
      </c>
      <c r="AS70" s="104">
        <v>8.5937999999999999</v>
      </c>
      <c r="AT70" s="104">
        <v>-71.222999999999999</v>
      </c>
      <c r="AU70" s="104">
        <v>320</v>
      </c>
      <c r="AV70" s="104">
        <v>16.071400000000001</v>
      </c>
    </row>
    <row r="71" spans="12:48" x14ac:dyDescent="0.25">
      <c r="L71" s="98" t="s">
        <v>584</v>
      </c>
      <c r="M71" s="98" t="s">
        <v>656</v>
      </c>
      <c r="N71" s="104">
        <v>-111.87050000000001</v>
      </c>
      <c r="O71" s="104" t="s">
        <v>201</v>
      </c>
      <c r="P71" s="104">
        <v>-11.2469</v>
      </c>
      <c r="Q71" s="104">
        <v>-120.66119999999999</v>
      </c>
      <c r="R71" s="104" t="s">
        <v>201</v>
      </c>
      <c r="S71" s="104">
        <v>1721.0526</v>
      </c>
      <c r="T71" s="104">
        <v>80.0578</v>
      </c>
      <c r="U71" s="104">
        <v>-5.6180000000000003</v>
      </c>
      <c r="V71" s="104">
        <v>34.693899999999999</v>
      </c>
      <c r="W71" s="104">
        <v>-6.0606</v>
      </c>
      <c r="X71" s="104">
        <v>-32.526899999999998</v>
      </c>
      <c r="Y71" s="104">
        <v>-90.438199999999995</v>
      </c>
      <c r="Z71" s="104">
        <v>265.19209999999998</v>
      </c>
      <c r="AA71" s="104">
        <v>57.4514</v>
      </c>
      <c r="AB71" s="104">
        <v>58.695700000000002</v>
      </c>
      <c r="AC71" s="104">
        <v>-71.232900000000001</v>
      </c>
      <c r="AD71" s="104">
        <v>196.8254</v>
      </c>
      <c r="AE71" s="104">
        <v>69.518699999999995</v>
      </c>
      <c r="AF71" s="104">
        <v>77.918000000000006</v>
      </c>
      <c r="AG71" s="104">
        <v>-2.8369</v>
      </c>
      <c r="AH71" s="104">
        <v>33.576599999999999</v>
      </c>
      <c r="AI71" s="104">
        <v>-22.1311</v>
      </c>
      <c r="AJ71" s="104">
        <v>42.1053</v>
      </c>
      <c r="AK71" s="104">
        <v>25.925899999999999</v>
      </c>
      <c r="AL71" s="104">
        <v>5.2941000000000003</v>
      </c>
      <c r="AM71" s="104">
        <v>2.2345999999999999</v>
      </c>
      <c r="AN71" s="104">
        <v>4.9180000000000001</v>
      </c>
      <c r="AO71" s="104">
        <v>4.1666999999999996</v>
      </c>
      <c r="AP71" s="104">
        <v>-9.5</v>
      </c>
      <c r="AQ71" s="104">
        <v>230.9392</v>
      </c>
      <c r="AR71" s="104">
        <v>-35.8932</v>
      </c>
      <c r="AS71" s="104">
        <v>8.5937999999999999</v>
      </c>
      <c r="AT71" s="104">
        <v>-71.222999999999999</v>
      </c>
      <c r="AU71" s="104">
        <v>320</v>
      </c>
      <c r="AV71" s="104">
        <v>16.071400000000001</v>
      </c>
    </row>
    <row r="72" spans="12:48" x14ac:dyDescent="0.25">
      <c r="L72" s="98" t="s">
        <v>586</v>
      </c>
      <c r="M72" s="98" t="s">
        <v>657</v>
      </c>
      <c r="N72" s="104">
        <v>-111.87050000000001</v>
      </c>
      <c r="O72" s="104" t="s">
        <v>201</v>
      </c>
      <c r="P72" s="104">
        <v>-11.2469</v>
      </c>
      <c r="Q72" s="104">
        <v>-120.66119999999999</v>
      </c>
      <c r="R72" s="104" t="s">
        <v>201</v>
      </c>
      <c r="S72" s="104">
        <v>1721.0526</v>
      </c>
      <c r="T72" s="104">
        <v>80.0578</v>
      </c>
      <c r="U72" s="104">
        <v>-5.6180000000000003</v>
      </c>
      <c r="V72" s="104">
        <v>34.693899999999999</v>
      </c>
      <c r="W72" s="104">
        <v>5.3029999999999999</v>
      </c>
      <c r="X72" s="104">
        <v>-52.038400000000003</v>
      </c>
      <c r="Y72" s="104">
        <v>-92.5</v>
      </c>
      <c r="Z72" s="104">
        <v>486.66669999999999</v>
      </c>
      <c r="AA72" s="104">
        <v>56.818199999999997</v>
      </c>
      <c r="AB72" s="104">
        <v>44.2029</v>
      </c>
      <c r="AC72" s="104">
        <v>-42.7136</v>
      </c>
      <c r="AD72" s="104">
        <v>64.0351</v>
      </c>
      <c r="AE72" s="104">
        <v>69.518699999999995</v>
      </c>
      <c r="AF72" s="104">
        <v>77.918000000000006</v>
      </c>
      <c r="AG72" s="104">
        <v>-4.2553000000000001</v>
      </c>
      <c r="AH72" s="104">
        <v>35.555599999999998</v>
      </c>
      <c r="AI72" s="104">
        <v>-22.1311</v>
      </c>
      <c r="AJ72" s="104">
        <v>45.343400000000003</v>
      </c>
      <c r="AK72" s="104">
        <v>23.1204</v>
      </c>
      <c r="AL72" s="104">
        <v>-0.625</v>
      </c>
      <c r="AM72" s="104">
        <v>5.0118</v>
      </c>
      <c r="AN72" s="104">
        <v>10.2385</v>
      </c>
      <c r="AO72" s="104">
        <v>-0.77359999999999995</v>
      </c>
      <c r="AP72" s="104">
        <v>-7.2454999999999998</v>
      </c>
      <c r="AQ72" s="104">
        <v>24.739899999999999</v>
      </c>
      <c r="AR72" s="104">
        <v>65.458399999999997</v>
      </c>
      <c r="AS72" s="104">
        <v>7.7674000000000003</v>
      </c>
      <c r="AT72" s="104">
        <v>-70.325999999999993</v>
      </c>
      <c r="AU72" s="104">
        <v>279.14949999999999</v>
      </c>
      <c r="AV72" s="104">
        <v>21.849</v>
      </c>
    </row>
    <row r="73" spans="12:48" x14ac:dyDescent="0.25">
      <c r="L73" s="98" t="s">
        <v>588</v>
      </c>
      <c r="M73" s="98" t="s">
        <v>658</v>
      </c>
      <c r="N73" s="104">
        <v>11.206899999999999</v>
      </c>
      <c r="O73" s="104">
        <v>-0.7752</v>
      </c>
      <c r="P73" s="104">
        <v>9.375</v>
      </c>
      <c r="Q73" s="104">
        <v>2.1429</v>
      </c>
      <c r="R73" s="104">
        <v>6.2937000000000003</v>
      </c>
      <c r="S73" s="104">
        <v>3.9474</v>
      </c>
      <c r="T73" s="104">
        <v>11.3924</v>
      </c>
      <c r="U73" s="104">
        <v>4.5454999999999997</v>
      </c>
      <c r="V73" s="104">
        <v>13.0435</v>
      </c>
      <c r="W73" s="104">
        <v>3.8462000000000001</v>
      </c>
      <c r="X73" s="104">
        <v>11.1111</v>
      </c>
      <c r="Y73" s="104">
        <v>0</v>
      </c>
      <c r="Z73" s="104">
        <v>0</v>
      </c>
      <c r="AA73" s="104">
        <v>-33.333300000000001</v>
      </c>
      <c r="AB73" s="104">
        <v>-50</v>
      </c>
      <c r="AC73" s="104">
        <v>0</v>
      </c>
      <c r="AD73" s="104">
        <v>0</v>
      </c>
      <c r="AE73" s="104">
        <v>7.5</v>
      </c>
      <c r="AF73" s="104">
        <v>53.488399999999999</v>
      </c>
      <c r="AG73" s="104">
        <v>63.636400000000002</v>
      </c>
      <c r="AH73" s="104">
        <v>42.592599999999997</v>
      </c>
      <c r="AI73" s="104">
        <v>14.2857</v>
      </c>
      <c r="AJ73" s="104">
        <v>12.5</v>
      </c>
      <c r="AK73" s="104">
        <v>36.363599999999998</v>
      </c>
      <c r="AL73" s="104">
        <v>20</v>
      </c>
      <c r="AM73" s="104">
        <v>9.2592999999999996</v>
      </c>
      <c r="AN73" s="104">
        <v>6.7797000000000001</v>
      </c>
      <c r="AO73" s="104">
        <v>11.1111</v>
      </c>
      <c r="AP73" s="104">
        <v>2.8571</v>
      </c>
      <c r="AQ73" s="104">
        <v>8.3332999999999995</v>
      </c>
      <c r="AR73" s="104">
        <v>12.820499999999999</v>
      </c>
      <c r="AS73" s="104">
        <v>227.27269999999999</v>
      </c>
      <c r="AT73" s="104">
        <v>-87.916700000000006</v>
      </c>
      <c r="AU73" s="104">
        <v>220.68960000000001</v>
      </c>
      <c r="AV73" s="104">
        <v>7.5269000000000004</v>
      </c>
    </row>
    <row r="74" spans="12:48" x14ac:dyDescent="0.25">
      <c r="L74" s="98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</row>
    <row r="75" spans="12:48" x14ac:dyDescent="0.25">
      <c r="L75" s="98" t="s">
        <v>590</v>
      </c>
      <c r="M75" s="98" t="s">
        <v>659</v>
      </c>
      <c r="N75" s="104">
        <v>2.2831000000000001</v>
      </c>
      <c r="O75" s="104">
        <v>-28.013400000000001</v>
      </c>
      <c r="P75" s="104">
        <v>12.8682</v>
      </c>
      <c r="Q75" s="104">
        <v>0</v>
      </c>
      <c r="R75" s="104">
        <v>-16.895600000000002</v>
      </c>
      <c r="S75" s="104">
        <v>10.4132</v>
      </c>
      <c r="T75" s="104">
        <v>5.6886000000000001</v>
      </c>
      <c r="U75" s="104">
        <v>17.847000000000001</v>
      </c>
      <c r="V75" s="104">
        <v>7.4519000000000002</v>
      </c>
      <c r="W75" s="104">
        <v>10.402699999999999</v>
      </c>
      <c r="X75" s="104">
        <v>-9.0172000000000008</v>
      </c>
      <c r="Y75" s="104">
        <v>26.391999999999999</v>
      </c>
      <c r="Z75" s="104">
        <v>-25.110099999999999</v>
      </c>
      <c r="AA75" s="104">
        <v>3.2940999999999998</v>
      </c>
      <c r="AB75" s="104">
        <v>-8.9977</v>
      </c>
      <c r="AC75" s="104">
        <v>45.556899999999999</v>
      </c>
      <c r="AD75" s="104">
        <v>-0.34389999999999998</v>
      </c>
      <c r="AE75" s="104">
        <v>3.7101000000000002</v>
      </c>
      <c r="AF75" s="104">
        <v>-2.3294999999999999</v>
      </c>
      <c r="AG75" s="104">
        <v>0</v>
      </c>
      <c r="AH75" s="104">
        <v>-5.7069999999999999</v>
      </c>
      <c r="AI75" s="104">
        <v>-10.1174</v>
      </c>
      <c r="AJ75" s="104">
        <v>-0.20100000000000001</v>
      </c>
      <c r="AK75" s="104">
        <v>0.70489999999999997</v>
      </c>
      <c r="AL75" s="104">
        <v>-3.8</v>
      </c>
      <c r="AM75" s="104">
        <v>9.3554999999999993</v>
      </c>
      <c r="AN75" s="104">
        <v>7.3193999999999999</v>
      </c>
      <c r="AO75" s="104">
        <v>-13.0204</v>
      </c>
      <c r="AP75" s="104">
        <v>-4.4806999999999997</v>
      </c>
      <c r="AQ75" s="104">
        <v>3.4115000000000002</v>
      </c>
      <c r="AR75" s="104">
        <v>4.1237000000000004</v>
      </c>
      <c r="AS75" s="104">
        <v>-2.3761999999999999</v>
      </c>
      <c r="AT75" s="104">
        <v>-7.5050999999999997</v>
      </c>
      <c r="AU75" s="104">
        <v>25.877199999999998</v>
      </c>
      <c r="AV75" s="104">
        <v>14.3728</v>
      </c>
    </row>
    <row r="76" spans="12:48" x14ac:dyDescent="0.25">
      <c r="L76" s="98" t="s">
        <v>592</v>
      </c>
      <c r="M76" s="98" t="s">
        <v>660</v>
      </c>
      <c r="N76" s="104">
        <v>-33.608800000000002</v>
      </c>
      <c r="O76" s="104">
        <v>-1.6597999999999999</v>
      </c>
      <c r="P76" s="104">
        <v>8.4388000000000005</v>
      </c>
      <c r="Q76" s="104">
        <v>-19.8444</v>
      </c>
      <c r="R76" s="104">
        <v>-8.2523999999999997</v>
      </c>
      <c r="S76" s="104">
        <v>5.2910000000000004</v>
      </c>
      <c r="T76" s="104">
        <v>6.0301999999999998</v>
      </c>
      <c r="U76" s="104">
        <v>4.2653999999999996</v>
      </c>
      <c r="V76" s="104">
        <v>4.0909000000000004</v>
      </c>
      <c r="W76" s="104">
        <v>-0.87339999999999995</v>
      </c>
      <c r="X76" s="104">
        <v>-0.88109999999999999</v>
      </c>
      <c r="Y76" s="104">
        <v>-2.2222</v>
      </c>
      <c r="Z76" s="104">
        <v>11.3636</v>
      </c>
      <c r="AA76" s="104">
        <v>-15.9184</v>
      </c>
      <c r="AB76" s="104">
        <v>-12.6214</v>
      </c>
      <c r="AC76" s="104">
        <v>-5.5556000000000001</v>
      </c>
      <c r="AD76" s="104">
        <v>-2.9411999999999998</v>
      </c>
      <c r="AE76" s="104">
        <v>20.606100000000001</v>
      </c>
      <c r="AF76" s="104">
        <v>2.5125999999999999</v>
      </c>
      <c r="AG76" s="104">
        <v>17.647099999999998</v>
      </c>
      <c r="AH76" s="104">
        <v>-9.5832999999999995</v>
      </c>
      <c r="AI76" s="104">
        <v>-6.4516</v>
      </c>
      <c r="AJ76" s="104">
        <v>7.3891999999999998</v>
      </c>
      <c r="AK76" s="104">
        <v>10.091699999999999</v>
      </c>
      <c r="AL76" s="104">
        <v>14.166700000000001</v>
      </c>
      <c r="AM76" s="104">
        <v>-8.0291999999999994</v>
      </c>
      <c r="AN76" s="104">
        <v>8.3332999999999995</v>
      </c>
      <c r="AO76" s="104">
        <v>28.205100000000002</v>
      </c>
      <c r="AP76" s="104">
        <v>16.285699999999999</v>
      </c>
      <c r="AQ76" s="104">
        <v>-8.5995000000000008</v>
      </c>
      <c r="AR76" s="104">
        <v>-29.301100000000002</v>
      </c>
      <c r="AS76" s="104">
        <v>-0.76049999999999995</v>
      </c>
      <c r="AT76" s="104">
        <v>15.7088</v>
      </c>
      <c r="AU76" s="104">
        <v>12.2517</v>
      </c>
      <c r="AV76" s="104">
        <v>0.59</v>
      </c>
    </row>
    <row r="77" spans="12:48" x14ac:dyDescent="0.25">
      <c r="L77" s="98" t="s">
        <v>594</v>
      </c>
      <c r="M77" s="98" t="s">
        <v>661</v>
      </c>
      <c r="N77" s="104">
        <v>-5.2252999999999998</v>
      </c>
      <c r="O77" s="104">
        <v>0.218</v>
      </c>
      <c r="P77" s="104">
        <v>3.5122</v>
      </c>
      <c r="Q77" s="104">
        <v>1.8616999999999999</v>
      </c>
      <c r="R77" s="104">
        <v>4.5102000000000002</v>
      </c>
      <c r="S77" s="104">
        <v>1.4291</v>
      </c>
      <c r="T77" s="104">
        <v>2.3730000000000002</v>
      </c>
      <c r="U77" s="104">
        <v>2.2907999999999999</v>
      </c>
      <c r="V77" s="104">
        <v>5.3907999999999996</v>
      </c>
      <c r="W77" s="104">
        <v>4.1996000000000002</v>
      </c>
      <c r="X77" s="104">
        <v>1.9265000000000001</v>
      </c>
      <c r="Y77" s="104">
        <v>-3.0684</v>
      </c>
      <c r="Z77" s="104">
        <v>3.1410999999999998</v>
      </c>
      <c r="AA77" s="104">
        <v>2.6103000000000001</v>
      </c>
      <c r="AB77" s="104">
        <v>2.4205999999999999</v>
      </c>
      <c r="AC77" s="104">
        <v>3.3418999999999999</v>
      </c>
      <c r="AD77" s="104">
        <v>45.265799999999999</v>
      </c>
      <c r="AE77" s="104">
        <v>1.093</v>
      </c>
      <c r="AF77" s="104">
        <v>3.7692999999999999</v>
      </c>
      <c r="AG77" s="104">
        <v>4.0960000000000001</v>
      </c>
      <c r="AH77" s="104">
        <v>4.1689999999999996</v>
      </c>
      <c r="AI77" s="104">
        <v>1.6573</v>
      </c>
      <c r="AJ77" s="104">
        <v>3.1867999999999999</v>
      </c>
      <c r="AK77" s="104">
        <v>4.9371999999999998</v>
      </c>
      <c r="AL77" s="104">
        <v>4.3085000000000004</v>
      </c>
      <c r="AM77" s="104">
        <v>4.7638999999999996</v>
      </c>
      <c r="AN77" s="104">
        <v>4.7378</v>
      </c>
      <c r="AO77" s="104">
        <v>5.5625999999999998</v>
      </c>
      <c r="AP77" s="104">
        <v>3.2345999999999999</v>
      </c>
      <c r="AQ77" s="104">
        <v>1.9711000000000001</v>
      </c>
      <c r="AR77" s="104">
        <v>0.73670000000000002</v>
      </c>
      <c r="AS77" s="104">
        <v>2.1939000000000002</v>
      </c>
      <c r="AT77" s="104">
        <v>0.66059999999999997</v>
      </c>
      <c r="AU77" s="104">
        <v>1.8228</v>
      </c>
      <c r="AV77" s="104">
        <v>3.6728999999999998</v>
      </c>
    </row>
    <row r="78" spans="12:48" x14ac:dyDescent="0.25">
      <c r="L78" s="98" t="s">
        <v>47</v>
      </c>
      <c r="M78" s="98" t="s">
        <v>662</v>
      </c>
      <c r="N78" s="104">
        <v>-1.5494000000000001</v>
      </c>
      <c r="O78" s="104">
        <v>-5.5888</v>
      </c>
      <c r="P78" s="104">
        <v>4.1144999999999996</v>
      </c>
      <c r="Q78" s="104">
        <v>-4.6899999999999997E-2</v>
      </c>
      <c r="R78" s="104">
        <v>1.9612000000000001</v>
      </c>
      <c r="S78" s="104">
        <v>2.8431000000000002</v>
      </c>
      <c r="T78" s="104">
        <v>2.2652999999999999</v>
      </c>
      <c r="U78" s="104">
        <v>4.0659000000000001</v>
      </c>
      <c r="V78" s="104">
        <v>18.785900000000002</v>
      </c>
      <c r="W78" s="104">
        <v>17.636299999999999</v>
      </c>
      <c r="X78" s="104">
        <v>2.3551000000000002</v>
      </c>
      <c r="Y78" s="104">
        <v>1.4343999999999999</v>
      </c>
      <c r="Z78" s="104">
        <v>-1.1052</v>
      </c>
      <c r="AA78" s="104">
        <v>1.5128999999999999</v>
      </c>
      <c r="AB78" s="104">
        <v>0.72109999999999996</v>
      </c>
      <c r="AC78" s="104">
        <v>3.8614000000000002</v>
      </c>
      <c r="AD78" s="104">
        <v>13.074400000000001</v>
      </c>
      <c r="AE78" s="104">
        <v>-1.516</v>
      </c>
      <c r="AF78" s="104">
        <v>3.7017000000000002</v>
      </c>
      <c r="AG78" s="104">
        <v>1.6116999999999999</v>
      </c>
      <c r="AH78" s="104">
        <v>2.9529000000000001</v>
      </c>
      <c r="AI78" s="104">
        <v>2.2786</v>
      </c>
      <c r="AJ78" s="104">
        <v>4.6639999999999997</v>
      </c>
      <c r="AK78" s="104">
        <v>4.2748999999999997</v>
      </c>
      <c r="AL78" s="104">
        <v>4.1814</v>
      </c>
      <c r="AM78" s="104">
        <v>3.9613</v>
      </c>
      <c r="AN78" s="104">
        <v>3.9990999999999999</v>
      </c>
      <c r="AO78" s="104">
        <v>5.1191000000000004</v>
      </c>
      <c r="AP78" s="104">
        <v>1.9255</v>
      </c>
      <c r="AQ78" s="104">
        <v>0.91769999999999996</v>
      </c>
      <c r="AR78" s="104">
        <v>2.7700999999999998</v>
      </c>
      <c r="AS78" s="104">
        <v>4.1601999999999997</v>
      </c>
      <c r="AT78" s="104">
        <v>4.0149999999999997</v>
      </c>
      <c r="AU78" s="104">
        <v>1.8546</v>
      </c>
      <c r="AV78" s="104">
        <v>3.4073000000000002</v>
      </c>
    </row>
    <row r="79" spans="12:48" x14ac:dyDescent="0.25">
      <c r="L79" s="98" t="s">
        <v>597</v>
      </c>
      <c r="M79" s="98" t="s">
        <v>663</v>
      </c>
      <c r="N79" s="104">
        <v>-30.416699999999999</v>
      </c>
      <c r="O79" s="104">
        <v>-92.814400000000006</v>
      </c>
      <c r="P79" s="104">
        <v>-295.83330000000001</v>
      </c>
      <c r="Q79" s="104" t="s">
        <v>201</v>
      </c>
      <c r="R79" s="104">
        <v>-1437.5</v>
      </c>
      <c r="S79" s="104" t="s">
        <v>201</v>
      </c>
      <c r="T79" s="104" t="s">
        <v>201</v>
      </c>
      <c r="U79" s="104" t="s">
        <v>201</v>
      </c>
      <c r="V79" s="104" t="s">
        <v>201</v>
      </c>
      <c r="W79" s="104" t="s">
        <v>201</v>
      </c>
      <c r="X79" s="104">
        <v>-365.71429999999998</v>
      </c>
      <c r="Y79" s="104" t="s">
        <v>201</v>
      </c>
      <c r="Z79" s="104">
        <v>-89.873400000000004</v>
      </c>
      <c r="AA79" s="104">
        <v>637.5</v>
      </c>
      <c r="AB79" s="104">
        <v>50</v>
      </c>
      <c r="AC79" s="104">
        <v>185.87569999999999</v>
      </c>
      <c r="AD79" s="104">
        <v>-10.2767</v>
      </c>
      <c r="AE79" s="104">
        <v>-1.5419</v>
      </c>
      <c r="AF79" s="104">
        <v>-9.6196999999999999</v>
      </c>
      <c r="AG79" s="104">
        <v>8.4158000000000008</v>
      </c>
      <c r="AH79" s="104">
        <v>-19.863</v>
      </c>
      <c r="AI79" s="104">
        <v>-34.188000000000002</v>
      </c>
      <c r="AJ79" s="104">
        <v>-28.571400000000001</v>
      </c>
      <c r="AK79" s="104">
        <v>34.545499999999997</v>
      </c>
      <c r="AL79" s="104">
        <v>0</v>
      </c>
      <c r="AM79" s="104">
        <v>56.3063</v>
      </c>
      <c r="AN79" s="104">
        <v>60.518700000000003</v>
      </c>
      <c r="AO79" s="104">
        <v>1.9749000000000001</v>
      </c>
      <c r="AP79" s="104">
        <v>-5.1055999999999999</v>
      </c>
      <c r="AQ79" s="104">
        <v>-8.1632999999999996</v>
      </c>
      <c r="AR79" s="104">
        <v>-34.545499999999997</v>
      </c>
      <c r="AS79" s="104">
        <v>-37.036999999999999</v>
      </c>
      <c r="AT79" s="104">
        <v>98.529399999999995</v>
      </c>
      <c r="AU79" s="104">
        <v>29.3827</v>
      </c>
      <c r="AV79" s="104">
        <v>0</v>
      </c>
    </row>
    <row r="80" spans="12:48" x14ac:dyDescent="0.25">
      <c r="L80" s="98" t="s">
        <v>599</v>
      </c>
      <c r="M80" s="98" t="s">
        <v>664</v>
      </c>
      <c r="N80" s="104">
        <v>-227.23580000000001</v>
      </c>
      <c r="O80" s="104" t="s">
        <v>201</v>
      </c>
      <c r="P80" s="104" t="s">
        <v>201</v>
      </c>
      <c r="Q80" s="104" t="s">
        <v>201</v>
      </c>
      <c r="R80" s="104" t="s">
        <v>201</v>
      </c>
      <c r="S80" s="104" t="s">
        <v>201</v>
      </c>
      <c r="T80" s="104" t="s">
        <v>201</v>
      </c>
      <c r="U80" s="104" t="s">
        <v>201</v>
      </c>
      <c r="V80" s="104" t="s">
        <v>201</v>
      </c>
      <c r="W80" s="104" t="s">
        <v>201</v>
      </c>
      <c r="X80" s="104" t="s">
        <v>201</v>
      </c>
      <c r="Y80" s="104" t="s">
        <v>201</v>
      </c>
      <c r="Z80" s="104" t="s">
        <v>201</v>
      </c>
      <c r="AA80" s="104" t="s">
        <v>201</v>
      </c>
      <c r="AB80" s="104" t="s">
        <v>201</v>
      </c>
      <c r="AC80" s="104" t="s">
        <v>201</v>
      </c>
      <c r="AD80" s="104" t="s">
        <v>201</v>
      </c>
      <c r="AE80" s="104" t="s">
        <v>201</v>
      </c>
      <c r="AF80" s="104" t="s">
        <v>201</v>
      </c>
      <c r="AG80" s="104">
        <v>-220</v>
      </c>
      <c r="AH80" s="104" t="s">
        <v>201</v>
      </c>
      <c r="AI80" s="104" t="s">
        <v>201</v>
      </c>
      <c r="AJ80" s="104">
        <v>-54.893599999999999</v>
      </c>
      <c r="AK80" s="104">
        <v>-22.012599999999999</v>
      </c>
      <c r="AL80" s="104">
        <v>-29.838699999999999</v>
      </c>
      <c r="AM80" s="104">
        <v>2.2989000000000002</v>
      </c>
      <c r="AN80" s="104">
        <v>161.23599999999999</v>
      </c>
      <c r="AO80" s="104">
        <v>90.967699999999994</v>
      </c>
      <c r="AP80" s="104">
        <v>-49.662199999999999</v>
      </c>
      <c r="AQ80" s="104">
        <v>-95.302000000000007</v>
      </c>
      <c r="AR80" s="104">
        <v>2995.2381</v>
      </c>
      <c r="AS80" s="104">
        <v>73.384600000000006</v>
      </c>
      <c r="AT80" s="104">
        <v>114.9068</v>
      </c>
      <c r="AU80" s="104">
        <v>-32.287399999999998</v>
      </c>
      <c r="AV80" s="104">
        <v>-15.9756</v>
      </c>
    </row>
    <row r="81" spans="12:48" x14ac:dyDescent="0.25">
      <c r="L81" s="98" t="s">
        <v>601</v>
      </c>
      <c r="M81" s="98" t="s">
        <v>665</v>
      </c>
      <c r="N81" s="104">
        <v>-3.3611</v>
      </c>
      <c r="O81" s="104">
        <v>-1.6138999999999999</v>
      </c>
      <c r="P81" s="104">
        <v>-3.1263999999999998</v>
      </c>
      <c r="Q81" s="104">
        <v>-2.9161999999999999</v>
      </c>
      <c r="R81" s="104">
        <v>-4.6839000000000004</v>
      </c>
      <c r="S81" s="104">
        <v>-1.1240000000000001</v>
      </c>
      <c r="T81" s="104">
        <v>-9.7379999999999995</v>
      </c>
      <c r="U81" s="104">
        <v>10.6403</v>
      </c>
      <c r="V81" s="104">
        <v>0.66810000000000003</v>
      </c>
      <c r="W81" s="104">
        <v>-0.8518</v>
      </c>
      <c r="X81" s="104">
        <v>-1.6286</v>
      </c>
      <c r="Y81" s="104" t="s">
        <v>201</v>
      </c>
      <c r="Z81" s="104" t="s">
        <v>201</v>
      </c>
      <c r="AA81" s="104">
        <v>-3.8717000000000001</v>
      </c>
      <c r="AB81" s="104" t="s">
        <v>201</v>
      </c>
      <c r="AC81" s="104" t="s">
        <v>201</v>
      </c>
      <c r="AD81" s="104">
        <v>-4.4488000000000003</v>
      </c>
      <c r="AE81" s="104">
        <v>-2.3628</v>
      </c>
      <c r="AF81" s="104">
        <v>2.8571</v>
      </c>
      <c r="AG81" s="104">
        <v>-2.7778</v>
      </c>
      <c r="AH81" s="104">
        <v>-2.8571</v>
      </c>
      <c r="AI81" s="104">
        <v>-11.5059</v>
      </c>
      <c r="AJ81" s="104">
        <v>-0.29249999999999998</v>
      </c>
      <c r="AK81" s="104">
        <v>3.3332999999999999</v>
      </c>
      <c r="AL81" s="104">
        <v>3.2258</v>
      </c>
      <c r="AM81" s="104">
        <v>-3.125</v>
      </c>
      <c r="AN81" s="104">
        <v>3.2258</v>
      </c>
      <c r="AO81" s="104">
        <v>-9.375</v>
      </c>
      <c r="AP81" s="104">
        <v>-6.8966000000000003</v>
      </c>
      <c r="AQ81" s="104">
        <v>-11.1111</v>
      </c>
      <c r="AR81" s="104">
        <v>-6.25</v>
      </c>
      <c r="AS81" s="104">
        <v>-6.6666999999999996</v>
      </c>
      <c r="AT81" s="104">
        <v>-8.1809999999999992</v>
      </c>
      <c r="AU81" s="104">
        <v>8.4898000000000007</v>
      </c>
      <c r="AV81" s="104">
        <v>7.7584999999999997</v>
      </c>
    </row>
    <row r="82" spans="12:48" x14ac:dyDescent="0.25">
      <c r="L82" s="98" t="s">
        <v>603</v>
      </c>
      <c r="M82" s="98" t="s">
        <v>666</v>
      </c>
      <c r="N82" s="104">
        <v>5.7971000000000004</v>
      </c>
      <c r="O82" s="104">
        <v>6.8493000000000004</v>
      </c>
      <c r="P82" s="104">
        <v>20.279699999999998</v>
      </c>
      <c r="Q82" s="104">
        <v>-10.2713</v>
      </c>
      <c r="R82" s="104">
        <v>-2.6998000000000002</v>
      </c>
      <c r="S82" s="104">
        <v>1.7758</v>
      </c>
      <c r="T82" s="104">
        <v>0.98150000000000004</v>
      </c>
      <c r="U82" s="104">
        <v>21.058299999999999</v>
      </c>
      <c r="V82" s="104">
        <v>6.0659999999999998</v>
      </c>
      <c r="W82" s="104">
        <v>-0.84099999999999997</v>
      </c>
      <c r="X82" s="104">
        <v>3.1383000000000001</v>
      </c>
      <c r="Y82" s="104">
        <v>-1.5625</v>
      </c>
      <c r="Z82" s="104">
        <v>-9.8580000000000005</v>
      </c>
      <c r="AA82" s="104">
        <v>-10.4727</v>
      </c>
      <c r="AB82" s="104">
        <v>-16.9772</v>
      </c>
      <c r="AC82" s="104">
        <v>3.1172</v>
      </c>
      <c r="AD82" s="104">
        <v>5.1994999999999996</v>
      </c>
      <c r="AE82" s="104">
        <v>9.6552000000000007</v>
      </c>
      <c r="AF82" s="104">
        <v>2.0964</v>
      </c>
      <c r="AG82" s="104">
        <v>0.20530000000000001</v>
      </c>
      <c r="AH82" s="104">
        <v>-0.30740000000000001</v>
      </c>
      <c r="AI82" s="104">
        <v>-0.61660000000000004</v>
      </c>
      <c r="AJ82" s="104">
        <v>8.1696000000000009</v>
      </c>
      <c r="AK82" s="104">
        <v>-2.6768999999999998</v>
      </c>
      <c r="AL82" s="104">
        <v>-0.39290000000000003</v>
      </c>
      <c r="AM82" s="104">
        <v>-5.6212999999999997</v>
      </c>
      <c r="AN82" s="104">
        <v>-11.703200000000001</v>
      </c>
      <c r="AO82" s="104">
        <v>-9.5858000000000008</v>
      </c>
      <c r="AP82" s="104">
        <v>5.4973999999999998</v>
      </c>
      <c r="AQ82" s="104">
        <v>5.0868000000000002</v>
      </c>
      <c r="AR82" s="104">
        <v>12.0425</v>
      </c>
      <c r="AS82" s="104">
        <v>9.9052000000000007</v>
      </c>
      <c r="AT82" s="104">
        <v>-22.435300000000002</v>
      </c>
      <c r="AU82" s="104">
        <v>19.035799999999998</v>
      </c>
      <c r="AV82" s="104">
        <v>17.3416</v>
      </c>
    </row>
    <row r="83" spans="12:48" x14ac:dyDescent="0.25">
      <c r="L83" s="98" t="s">
        <v>605</v>
      </c>
      <c r="M83" s="98" t="s">
        <v>667</v>
      </c>
      <c r="N83" s="104">
        <v>270.27859999999998</v>
      </c>
      <c r="O83" s="104">
        <v>-61.204000000000001</v>
      </c>
      <c r="P83" s="104">
        <v>-23.060300000000002</v>
      </c>
      <c r="Q83" s="104">
        <v>11.4846</v>
      </c>
      <c r="R83" s="104">
        <v>-46.231200000000001</v>
      </c>
      <c r="S83" s="104">
        <v>44.8598</v>
      </c>
      <c r="T83" s="104">
        <v>65.483900000000006</v>
      </c>
      <c r="U83" s="104">
        <v>23.5867</v>
      </c>
      <c r="V83" s="104">
        <v>-31.2303</v>
      </c>
      <c r="W83" s="104">
        <v>-18.577999999999999</v>
      </c>
      <c r="X83" s="104">
        <v>-19.154900000000001</v>
      </c>
      <c r="Y83" s="104">
        <v>221.6028</v>
      </c>
      <c r="Z83" s="104">
        <v>-0.2167</v>
      </c>
      <c r="AA83" s="104">
        <v>37.784999999999997</v>
      </c>
      <c r="AB83" s="104">
        <v>-57.919600000000003</v>
      </c>
      <c r="AC83" s="104">
        <v>-19.850200000000001</v>
      </c>
      <c r="AD83" s="104">
        <v>153.27099999999999</v>
      </c>
      <c r="AE83" s="104">
        <v>-13.5609</v>
      </c>
      <c r="AF83" s="104">
        <v>-35.965800000000002</v>
      </c>
      <c r="AG83" s="104">
        <v>31.166699999999999</v>
      </c>
      <c r="AH83" s="104">
        <v>-59.339300000000001</v>
      </c>
      <c r="AI83" s="104">
        <v>-64.6875</v>
      </c>
      <c r="AJ83" s="104">
        <v>442.47789999999998</v>
      </c>
      <c r="AK83" s="104">
        <v>-17.292000000000002</v>
      </c>
      <c r="AL83" s="104">
        <v>53.846200000000003</v>
      </c>
      <c r="AM83" s="104">
        <v>-31.666699999999999</v>
      </c>
      <c r="AN83" s="104">
        <v>-57.223300000000002</v>
      </c>
      <c r="AO83" s="104">
        <v>-91.228099999999998</v>
      </c>
      <c r="AP83" s="104">
        <v>1555</v>
      </c>
      <c r="AQ83" s="104">
        <v>-94.259799999999998</v>
      </c>
      <c r="AR83" s="104">
        <v>-5.2632000000000003</v>
      </c>
      <c r="AS83" s="104">
        <v>1577.7778000000001</v>
      </c>
      <c r="AT83" s="104">
        <v>47.682099999999998</v>
      </c>
      <c r="AU83" s="104">
        <v>-45.067300000000003</v>
      </c>
      <c r="AV83" s="104">
        <v>-10.2041</v>
      </c>
    </row>
    <row r="84" spans="12:48" x14ac:dyDescent="0.25">
      <c r="L84" s="98" t="s">
        <v>607</v>
      </c>
      <c r="M84" s="98" t="s">
        <v>668</v>
      </c>
      <c r="N84" s="104">
        <v>21.319900000000001</v>
      </c>
      <c r="O84" s="104">
        <v>-24.527000000000001</v>
      </c>
      <c r="P84" s="104">
        <v>5.9855999999999998</v>
      </c>
      <c r="Q84" s="104">
        <v>-5.3223000000000003</v>
      </c>
      <c r="R84" s="104">
        <v>8.0261999999999993</v>
      </c>
      <c r="S84" s="104">
        <v>-0.46260000000000001</v>
      </c>
      <c r="T84" s="104">
        <v>-9.0618999999999996</v>
      </c>
      <c r="U84" s="104">
        <v>-8.7830999999999992</v>
      </c>
      <c r="V84" s="104">
        <v>66.911799999999999</v>
      </c>
      <c r="W84" s="104">
        <v>42.039000000000001</v>
      </c>
      <c r="X84" s="104">
        <v>-0.76800000000000002</v>
      </c>
      <c r="Y84" s="104">
        <v>5.9532999999999996</v>
      </c>
      <c r="Z84" s="104">
        <v>-5.4501999999999997</v>
      </c>
      <c r="AA84" s="104">
        <v>5.601</v>
      </c>
      <c r="AB84" s="104">
        <v>-0.77380000000000004</v>
      </c>
      <c r="AC84" s="104">
        <v>3.7006000000000001</v>
      </c>
      <c r="AD84" s="104">
        <v>0.24610000000000001</v>
      </c>
      <c r="AE84" s="104">
        <v>-17.7578</v>
      </c>
      <c r="AF84" s="104">
        <v>-1.1276999999999999</v>
      </c>
      <c r="AG84" s="104">
        <v>21.7209</v>
      </c>
      <c r="AH84" s="104">
        <v>7.9234</v>
      </c>
      <c r="AI84" s="104">
        <v>2.2471999999999999</v>
      </c>
      <c r="AJ84" s="104">
        <v>8.1918000000000006</v>
      </c>
      <c r="AK84" s="104">
        <v>6.6597</v>
      </c>
      <c r="AL84" s="104">
        <v>6.3954000000000004</v>
      </c>
      <c r="AM84" s="104">
        <v>-2.8172999999999999</v>
      </c>
      <c r="AN84" s="104">
        <v>1.9571000000000001</v>
      </c>
      <c r="AO84" s="104">
        <v>8.14</v>
      </c>
      <c r="AP84" s="104">
        <v>7.1951000000000001</v>
      </c>
      <c r="AQ84" s="104">
        <v>4.5692000000000004</v>
      </c>
      <c r="AR84" s="104">
        <v>24.963999999999999</v>
      </c>
      <c r="AS84" s="104">
        <v>13.763</v>
      </c>
      <c r="AT84" s="104">
        <v>2.4839000000000002</v>
      </c>
      <c r="AU84" s="104">
        <v>-1.7262</v>
      </c>
      <c r="AV84" s="104">
        <v>10.030799999999999</v>
      </c>
    </row>
    <row r="85" spans="12:48" x14ac:dyDescent="0.25">
      <c r="L85" s="98" t="s">
        <v>51</v>
      </c>
      <c r="M85" s="98" t="s">
        <v>669</v>
      </c>
      <c r="N85" s="104">
        <v>-32.356299999999997</v>
      </c>
      <c r="O85" s="104">
        <v>0.37059999999999998</v>
      </c>
      <c r="P85" s="104">
        <v>0.56799999999999995</v>
      </c>
      <c r="Q85" s="104">
        <v>-10.138400000000001</v>
      </c>
      <c r="R85" s="104">
        <v>-6.5053000000000001</v>
      </c>
      <c r="S85" s="104">
        <v>6.8907999999999996</v>
      </c>
      <c r="T85" s="104">
        <v>17.327000000000002</v>
      </c>
      <c r="U85" s="104">
        <v>13.696099999999999</v>
      </c>
      <c r="V85" s="104">
        <v>17.751100000000001</v>
      </c>
      <c r="W85" s="104">
        <v>15.4354</v>
      </c>
      <c r="X85" s="104">
        <v>1.9771000000000001</v>
      </c>
      <c r="Y85" s="104">
        <v>-2.1088</v>
      </c>
      <c r="Z85" s="104">
        <v>4.5343999999999998</v>
      </c>
      <c r="AA85" s="104">
        <v>1.7118</v>
      </c>
      <c r="AB85" s="104">
        <v>1.9771000000000001</v>
      </c>
      <c r="AC85" s="104">
        <v>3.3969</v>
      </c>
      <c r="AD85" s="104">
        <v>5.5477999999999996</v>
      </c>
      <c r="AE85" s="104">
        <v>16.781700000000001</v>
      </c>
      <c r="AF85" s="104">
        <v>12.4214</v>
      </c>
      <c r="AG85" s="104">
        <v>-2.8740999999999999</v>
      </c>
      <c r="AH85" s="104">
        <v>-7.3345000000000002</v>
      </c>
      <c r="AI85" s="104">
        <v>8.9463000000000008</v>
      </c>
      <c r="AJ85" s="104">
        <v>-0.77549999999999997</v>
      </c>
      <c r="AK85" s="104">
        <v>-2.6667000000000001</v>
      </c>
      <c r="AL85" s="104">
        <v>6.3060999999999998</v>
      </c>
      <c r="AM85" s="104">
        <v>16.685199999999998</v>
      </c>
      <c r="AN85" s="104">
        <v>6.3975999999999997</v>
      </c>
      <c r="AO85" s="104">
        <v>4.4023000000000003</v>
      </c>
      <c r="AP85" s="104">
        <v>0.2228</v>
      </c>
      <c r="AQ85" s="104">
        <v>25.885100000000001</v>
      </c>
      <c r="AR85" s="104">
        <v>-14.543799999999999</v>
      </c>
      <c r="AS85" s="104">
        <v>-5.6994999999999996</v>
      </c>
      <c r="AT85" s="104">
        <v>10.511699999999999</v>
      </c>
      <c r="AU85" s="104">
        <v>2.9748000000000001</v>
      </c>
      <c r="AV85" s="104">
        <v>-6.4814999999999996</v>
      </c>
    </row>
    <row r="86" spans="12:48" x14ac:dyDescent="0.25">
      <c r="L86" s="98" t="s">
        <v>610</v>
      </c>
      <c r="M86" s="98" t="s">
        <v>670</v>
      </c>
      <c r="N86" s="104">
        <v>-10.783099999999999</v>
      </c>
      <c r="O86" s="104">
        <v>-13.236800000000001</v>
      </c>
      <c r="P86" s="104">
        <v>3.1436000000000002</v>
      </c>
      <c r="Q86" s="104">
        <v>-7.7855999999999996</v>
      </c>
      <c r="R86" s="104">
        <v>0.78320000000000001</v>
      </c>
      <c r="S86" s="104">
        <v>2.9375</v>
      </c>
      <c r="T86" s="104">
        <v>3.6086</v>
      </c>
      <c r="U86" s="104">
        <v>3.4392</v>
      </c>
      <c r="V86" s="104">
        <v>37.531700000000001</v>
      </c>
      <c r="W86" s="104">
        <v>28.426600000000001</v>
      </c>
      <c r="X86" s="104">
        <v>0.4945</v>
      </c>
      <c r="Y86" s="104">
        <v>2.1907000000000001</v>
      </c>
      <c r="Z86" s="104">
        <v>-0.98640000000000005</v>
      </c>
      <c r="AA86" s="104">
        <v>3.7652999999999999</v>
      </c>
      <c r="AB86" s="104">
        <v>0.49890000000000001</v>
      </c>
      <c r="AC86" s="104">
        <v>3.5579999999999998</v>
      </c>
      <c r="AD86" s="104">
        <v>2.7311999999999999</v>
      </c>
      <c r="AE86" s="104">
        <v>-1.1242000000000001</v>
      </c>
      <c r="AF86" s="104">
        <v>6.5789</v>
      </c>
      <c r="AG86" s="104">
        <v>6.9645999999999999</v>
      </c>
      <c r="AH86" s="104">
        <v>-0.38890000000000002</v>
      </c>
      <c r="AI86" s="104">
        <v>5.6422999999999996</v>
      </c>
      <c r="AJ86" s="104">
        <v>3.5049999999999999</v>
      </c>
      <c r="AK86" s="104">
        <v>1.9869000000000001</v>
      </c>
      <c r="AL86" s="104">
        <v>6.3526999999999996</v>
      </c>
      <c r="AM86" s="104">
        <v>6.5042</v>
      </c>
      <c r="AN86" s="104">
        <v>4.2824</v>
      </c>
      <c r="AO86" s="104">
        <v>6.1429999999999998</v>
      </c>
      <c r="AP86" s="104">
        <v>3.5310999999999999</v>
      </c>
      <c r="AQ86" s="104">
        <v>15.4131</v>
      </c>
      <c r="AR86" s="104">
        <v>3.0417999999999998</v>
      </c>
      <c r="AS86" s="104">
        <v>4.8067000000000002</v>
      </c>
      <c r="AT86" s="104">
        <v>5.8078000000000003</v>
      </c>
      <c r="AU86" s="104">
        <v>0.30680000000000002</v>
      </c>
      <c r="AV86" s="104">
        <v>2.6999</v>
      </c>
    </row>
    <row r="87" spans="12:48" x14ac:dyDescent="0.25">
      <c r="L87" s="98" t="s">
        <v>612</v>
      </c>
      <c r="M87" s="98" t="s">
        <v>671</v>
      </c>
      <c r="N87" s="104">
        <v>-2.7610999999999999</v>
      </c>
      <c r="O87" s="104">
        <v>9.3673999999999999</v>
      </c>
      <c r="P87" s="104">
        <v>8.1204999999999998</v>
      </c>
      <c r="Q87" s="104">
        <v>-13.507199999999999</v>
      </c>
      <c r="R87" s="104">
        <v>-7.4973999999999998</v>
      </c>
      <c r="S87" s="104">
        <v>6.1532</v>
      </c>
      <c r="T87" s="104">
        <v>16.736599999999999</v>
      </c>
      <c r="U87" s="104">
        <v>13.128399999999999</v>
      </c>
      <c r="V87" s="104">
        <v>14.2818</v>
      </c>
      <c r="W87" s="104">
        <v>14.681900000000001</v>
      </c>
      <c r="X87" s="104">
        <v>2.5365000000000002</v>
      </c>
      <c r="Y87" s="104">
        <v>-2.7025999999999999</v>
      </c>
      <c r="Z87" s="104">
        <v>7.3381999999999996</v>
      </c>
      <c r="AA87" s="104">
        <v>1.2596000000000001</v>
      </c>
      <c r="AB87" s="104">
        <v>1.5025999999999999</v>
      </c>
      <c r="AC87" s="104">
        <v>3.2122999999999999</v>
      </c>
      <c r="AD87" s="104">
        <v>5.3235000000000001</v>
      </c>
      <c r="AE87" s="104">
        <v>15.3506</v>
      </c>
      <c r="AF87" s="104">
        <v>12.072699999999999</v>
      </c>
      <c r="AG87" s="104">
        <v>4.2461000000000002</v>
      </c>
      <c r="AH87" s="104">
        <v>-3.2204999999999999</v>
      </c>
      <c r="AI87" s="104">
        <v>8.0876000000000001</v>
      </c>
      <c r="AJ87" s="104">
        <v>5.3910999999999998</v>
      </c>
      <c r="AK87" s="104">
        <v>2.9855</v>
      </c>
      <c r="AL87" s="104">
        <v>9.2906999999999993</v>
      </c>
      <c r="AM87" s="104">
        <v>17.9772</v>
      </c>
      <c r="AN87" s="104">
        <v>8.2344000000000008</v>
      </c>
      <c r="AO87" s="104">
        <v>7.3053999999999997</v>
      </c>
      <c r="AP87" s="104">
        <v>4.2633000000000001</v>
      </c>
      <c r="AQ87" s="104">
        <v>31.333100000000002</v>
      </c>
      <c r="AR87" s="104">
        <v>-7.0827</v>
      </c>
      <c r="AS87" s="104">
        <v>-0.24</v>
      </c>
      <c r="AT87" s="104">
        <v>-62.6126</v>
      </c>
      <c r="AU87" s="104">
        <v>220.9453</v>
      </c>
      <c r="AV87" s="104">
        <v>-0.35780000000000001</v>
      </c>
    </row>
    <row r="88" spans="12:48" x14ac:dyDescent="0.25">
      <c r="L88" s="98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</row>
    <row r="89" spans="12:48" x14ac:dyDescent="0.25">
      <c r="L89" s="98" t="s">
        <v>614</v>
      </c>
      <c r="M89" s="98" t="s">
        <v>672</v>
      </c>
      <c r="N89" s="104">
        <v>-32.919800000000002</v>
      </c>
      <c r="O89" s="104">
        <v>24.1677</v>
      </c>
      <c r="P89" s="104">
        <v>-11.718</v>
      </c>
      <c r="Q89" s="104">
        <v>-2.5872000000000002</v>
      </c>
      <c r="R89" s="104">
        <v>8.4296000000000006</v>
      </c>
      <c r="S89" s="104">
        <v>2.4493999999999998</v>
      </c>
      <c r="T89" s="104">
        <v>37.837800000000001</v>
      </c>
      <c r="U89" s="104">
        <v>18.175000000000001</v>
      </c>
      <c r="V89" s="104">
        <v>-8.1046999999999993</v>
      </c>
      <c r="W89" s="104">
        <v>8.1943999999999999</v>
      </c>
      <c r="X89" s="104">
        <v>-35.815100000000001</v>
      </c>
      <c r="Y89" s="104">
        <v>7.1</v>
      </c>
      <c r="Z89" s="104">
        <v>-33.706800000000001</v>
      </c>
      <c r="AA89" s="104">
        <v>16.478899999999999</v>
      </c>
      <c r="AB89" s="104">
        <v>36.275700000000001</v>
      </c>
      <c r="AC89" s="104">
        <v>-28.6602</v>
      </c>
      <c r="AD89" s="104">
        <v>79.850700000000003</v>
      </c>
      <c r="AE89" s="104">
        <v>-23.236499999999999</v>
      </c>
      <c r="AF89" s="104">
        <v>85.4054</v>
      </c>
      <c r="AG89" s="104">
        <v>6.1223999999999998</v>
      </c>
      <c r="AH89" s="104">
        <v>33.424900000000001</v>
      </c>
      <c r="AI89" s="104">
        <v>-30.0275</v>
      </c>
      <c r="AJ89" s="104">
        <v>59.9313</v>
      </c>
      <c r="AK89" s="104">
        <v>7.0530999999999997</v>
      </c>
      <c r="AL89" s="104">
        <v>-15.611599999999999</v>
      </c>
      <c r="AM89" s="104">
        <v>10.896100000000001</v>
      </c>
      <c r="AN89" s="104">
        <v>2.3262999999999998</v>
      </c>
      <c r="AO89" s="104">
        <v>0.80769999999999997</v>
      </c>
      <c r="AP89" s="104">
        <v>-9.7626000000000008</v>
      </c>
      <c r="AQ89" s="104">
        <v>14.173</v>
      </c>
      <c r="AR89" s="104">
        <v>33.669400000000003</v>
      </c>
      <c r="AS89" s="104">
        <v>4.5033000000000003</v>
      </c>
      <c r="AT89" s="104">
        <v>-12.1031</v>
      </c>
      <c r="AU89" s="104">
        <v>19.610600000000002</v>
      </c>
      <c r="AV89" s="104">
        <v>10.1981</v>
      </c>
    </row>
    <row r="90" spans="12:48" x14ac:dyDescent="0.25">
      <c r="L90" s="98" t="s">
        <v>44</v>
      </c>
      <c r="M90" s="98" t="s">
        <v>673</v>
      </c>
      <c r="N90" s="104">
        <v>49.569499999999998</v>
      </c>
      <c r="O90" s="104">
        <v>7.2367999999999997</v>
      </c>
      <c r="P90" s="104">
        <v>-9.0490999999999993</v>
      </c>
      <c r="Q90" s="104">
        <v>-27.150099999999998</v>
      </c>
      <c r="R90" s="104">
        <v>20.4861</v>
      </c>
      <c r="S90" s="104">
        <v>-26.224799999999998</v>
      </c>
      <c r="T90" s="104">
        <v>13.9323</v>
      </c>
      <c r="U90" s="104">
        <v>32.1143</v>
      </c>
      <c r="V90" s="104">
        <v>5.7957999999999998</v>
      </c>
      <c r="W90" s="104">
        <v>-8.0130999999999997</v>
      </c>
      <c r="X90" s="104">
        <v>31.466699999999999</v>
      </c>
      <c r="Y90" s="104">
        <v>2.5693000000000001</v>
      </c>
      <c r="Z90" s="104">
        <v>-39.815399999999997</v>
      </c>
      <c r="AA90" s="104">
        <v>1.8620000000000001</v>
      </c>
      <c r="AB90" s="104">
        <v>16.129000000000001</v>
      </c>
      <c r="AC90" s="104">
        <v>-1.9443999999999999</v>
      </c>
      <c r="AD90" s="104">
        <v>-2.7383999999999999</v>
      </c>
      <c r="AE90" s="104">
        <v>10.2913</v>
      </c>
      <c r="AF90" s="104">
        <v>44.278199999999998</v>
      </c>
      <c r="AG90" s="104">
        <v>8.1757000000000009</v>
      </c>
      <c r="AH90" s="104">
        <v>-1.8613</v>
      </c>
      <c r="AI90" s="104">
        <v>-18.045999999999999</v>
      </c>
      <c r="AJ90" s="104">
        <v>29.032299999999999</v>
      </c>
      <c r="AK90" s="104">
        <v>24.837</v>
      </c>
      <c r="AL90" s="104">
        <v>1.9155</v>
      </c>
      <c r="AM90" s="104">
        <v>-1.1960999999999999</v>
      </c>
      <c r="AN90" s="104">
        <v>5.8798000000000004</v>
      </c>
      <c r="AO90" s="104">
        <v>4.6140999999999996</v>
      </c>
      <c r="AP90" s="104">
        <v>-6.4012000000000002</v>
      </c>
      <c r="AQ90" s="104">
        <v>-14.9291</v>
      </c>
      <c r="AR90" s="104">
        <v>-14.460800000000001</v>
      </c>
      <c r="AS90" s="104">
        <v>-5.0430000000000001</v>
      </c>
      <c r="AT90" s="104">
        <v>-1.8709</v>
      </c>
      <c r="AU90" s="104">
        <v>10.147600000000001</v>
      </c>
      <c r="AV90" s="104">
        <v>19.095500000000001</v>
      </c>
    </row>
    <row r="91" spans="12:48" x14ac:dyDescent="0.25">
      <c r="L91" s="98" t="s">
        <v>617</v>
      </c>
      <c r="M91" s="98" t="s">
        <v>674</v>
      </c>
      <c r="N91" s="104">
        <v>-155.11670000000001</v>
      </c>
      <c r="O91" s="104" t="s">
        <v>201</v>
      </c>
      <c r="P91" s="104">
        <v>-307.69229999999999</v>
      </c>
      <c r="Q91" s="104" t="s">
        <v>201</v>
      </c>
      <c r="R91" s="104" t="s">
        <v>201</v>
      </c>
      <c r="S91" s="104">
        <v>-190.47620000000001</v>
      </c>
      <c r="T91" s="104" t="s">
        <v>201</v>
      </c>
      <c r="U91" s="104" t="s">
        <v>201</v>
      </c>
      <c r="V91" s="104">
        <v>-12.7273</v>
      </c>
      <c r="W91" s="104">
        <v>-343.75</v>
      </c>
      <c r="X91" s="104" t="s">
        <v>201</v>
      </c>
      <c r="Y91" s="104" t="s">
        <v>201</v>
      </c>
      <c r="Z91" s="104">
        <v>-170.24950000000001</v>
      </c>
      <c r="AA91" s="104" t="s">
        <v>201</v>
      </c>
      <c r="AB91" s="104" t="s">
        <v>201</v>
      </c>
      <c r="AC91" s="104" t="s">
        <v>201</v>
      </c>
      <c r="AD91" s="104">
        <v>33.727800000000002</v>
      </c>
      <c r="AE91" s="104">
        <v>-194.24780000000001</v>
      </c>
      <c r="AF91" s="104" t="s">
        <v>201</v>
      </c>
      <c r="AG91" s="104">
        <v>-161.1842</v>
      </c>
      <c r="AH91" s="104" t="s">
        <v>201</v>
      </c>
      <c r="AI91" s="104">
        <v>19.601299999999998</v>
      </c>
      <c r="AJ91" s="104">
        <v>-26.944400000000002</v>
      </c>
      <c r="AK91" s="104">
        <v>-293.53609999999998</v>
      </c>
      <c r="AL91" s="104" t="s">
        <v>201</v>
      </c>
      <c r="AM91" s="104">
        <v>-19300</v>
      </c>
      <c r="AN91" s="104" t="s">
        <v>201</v>
      </c>
      <c r="AO91" s="104">
        <v>-153.24680000000001</v>
      </c>
      <c r="AP91" s="104" t="s">
        <v>201</v>
      </c>
      <c r="AQ91" s="104" t="s">
        <v>201</v>
      </c>
      <c r="AR91" s="104" t="s">
        <v>201</v>
      </c>
      <c r="AS91" s="104">
        <v>-78.118200000000002</v>
      </c>
      <c r="AT91" s="104">
        <v>2071</v>
      </c>
      <c r="AU91" s="104">
        <v>-140.9949</v>
      </c>
      <c r="AV91" s="104" t="s">
        <v>201</v>
      </c>
    </row>
    <row r="92" spans="12:48" x14ac:dyDescent="0.25">
      <c r="L92" s="98" t="s">
        <v>45</v>
      </c>
      <c r="M92" s="98" t="s">
        <v>675</v>
      </c>
      <c r="N92" s="104">
        <v>-202.27269999999999</v>
      </c>
      <c r="O92" s="104" t="s">
        <v>201</v>
      </c>
      <c r="P92" s="104" t="s">
        <v>201</v>
      </c>
      <c r="Q92" s="104" t="s">
        <v>201</v>
      </c>
      <c r="R92" s="104">
        <v>-5200</v>
      </c>
      <c r="S92" s="104" t="s">
        <v>201</v>
      </c>
      <c r="T92" s="104">
        <v>132.4742</v>
      </c>
      <c r="U92" s="104">
        <v>-8.8691999999999993</v>
      </c>
      <c r="V92" s="104">
        <v>-47.201900000000002</v>
      </c>
      <c r="W92" s="104">
        <v>99.539199999999994</v>
      </c>
      <c r="X92" s="104">
        <v>-210.62360000000001</v>
      </c>
      <c r="Y92" s="104" t="s">
        <v>201</v>
      </c>
      <c r="Z92" s="104" t="s">
        <v>201</v>
      </c>
      <c r="AA92" s="104" t="s">
        <v>201</v>
      </c>
      <c r="AB92" s="104" t="s">
        <v>201</v>
      </c>
      <c r="AC92" s="104">
        <v>-642.55319999999995</v>
      </c>
      <c r="AD92" s="104" t="s">
        <v>201</v>
      </c>
      <c r="AE92" s="104">
        <v>-106.25</v>
      </c>
      <c r="AF92" s="104" t="s">
        <v>201</v>
      </c>
      <c r="AG92" s="104">
        <v>-1.9093</v>
      </c>
      <c r="AH92" s="104">
        <v>185.6448</v>
      </c>
      <c r="AI92" s="104">
        <v>-47.785299999999999</v>
      </c>
      <c r="AJ92" s="104">
        <v>131.8108</v>
      </c>
      <c r="AK92" s="104">
        <v>-15.9747</v>
      </c>
      <c r="AL92" s="104">
        <v>-49.33</v>
      </c>
      <c r="AM92" s="104">
        <v>57.686</v>
      </c>
      <c r="AN92" s="104">
        <v>-6.2892999999999999</v>
      </c>
      <c r="AO92" s="104">
        <v>-9.6196999999999999</v>
      </c>
      <c r="AP92" s="104">
        <v>-20.4208</v>
      </c>
      <c r="AQ92" s="104">
        <v>122.70610000000001</v>
      </c>
      <c r="AR92" s="104">
        <v>102.2346</v>
      </c>
      <c r="AS92" s="104">
        <v>10.2555</v>
      </c>
      <c r="AT92" s="104">
        <v>-17.4131</v>
      </c>
      <c r="AU92" s="104">
        <v>25.445599999999999</v>
      </c>
      <c r="AV92" s="104">
        <v>5.3808999999999996</v>
      </c>
    </row>
    <row r="93" spans="12:48" x14ac:dyDescent="0.25">
      <c r="L93" s="98" t="s">
        <v>620</v>
      </c>
      <c r="M93" s="98" t="s">
        <v>676</v>
      </c>
      <c r="N93" s="104" t="s">
        <v>201</v>
      </c>
      <c r="O93" s="104" t="s">
        <v>201</v>
      </c>
      <c r="P93" s="104">
        <v>-9.3577999999999992</v>
      </c>
      <c r="Q93" s="104" t="s">
        <v>201</v>
      </c>
      <c r="R93" s="104" t="s">
        <v>201</v>
      </c>
      <c r="S93" s="104" t="s">
        <v>201</v>
      </c>
      <c r="T93" s="104">
        <v>33.014699999999998</v>
      </c>
      <c r="U93" s="104">
        <v>15.2637</v>
      </c>
      <c r="V93" s="104">
        <v>-7.6994999999999996</v>
      </c>
      <c r="W93" s="104">
        <v>16.393999999999998</v>
      </c>
      <c r="X93" s="104">
        <v>-27.271699999999999</v>
      </c>
      <c r="Y93" s="104">
        <v>-9.3431999999999995</v>
      </c>
      <c r="Z93" s="104">
        <v>-12.7258</v>
      </c>
      <c r="AA93" s="104">
        <v>8.4837000000000007</v>
      </c>
      <c r="AB93" s="104">
        <v>21.3293</v>
      </c>
      <c r="AC93" s="104">
        <v>-22.395</v>
      </c>
      <c r="AD93" s="104">
        <v>57.738199999999999</v>
      </c>
      <c r="AE93" s="104">
        <v>-18.9131</v>
      </c>
      <c r="AF93" s="104">
        <v>66.451099999999997</v>
      </c>
      <c r="AG93" s="104">
        <v>4.7789999999999999</v>
      </c>
      <c r="AH93" s="104">
        <v>32.495699999999999</v>
      </c>
      <c r="AI93" s="104">
        <v>-26.04</v>
      </c>
      <c r="AJ93" s="104">
        <v>50.154299999999999</v>
      </c>
      <c r="AK93" s="104">
        <v>6.5545</v>
      </c>
      <c r="AL93" s="104">
        <v>-14.016500000000001</v>
      </c>
      <c r="AM93" s="104">
        <v>9.8309999999999995</v>
      </c>
      <c r="AN93" s="104">
        <v>1.7239</v>
      </c>
      <c r="AO93" s="104">
        <v>0.62790000000000001</v>
      </c>
      <c r="AP93" s="104">
        <v>-8.3021999999999991</v>
      </c>
      <c r="AQ93" s="104" t="s">
        <v>201</v>
      </c>
      <c r="AR93" s="104" t="s">
        <v>201</v>
      </c>
      <c r="AS93" s="104">
        <v>5.5827999999999998</v>
      </c>
      <c r="AT93" s="104">
        <v>-10.7219</v>
      </c>
      <c r="AU93" s="104">
        <v>16.796399999999998</v>
      </c>
      <c r="AV93" s="104">
        <v>9.5494000000000003</v>
      </c>
    </row>
    <row r="94" spans="12:48" x14ac:dyDescent="0.25">
      <c r="L94" s="98" t="s">
        <v>425</v>
      </c>
      <c r="M94" s="98" t="s">
        <v>677</v>
      </c>
      <c r="N94" s="104" t="s">
        <v>201</v>
      </c>
      <c r="O94" s="104" t="s">
        <v>201</v>
      </c>
      <c r="P94" s="104" t="s">
        <v>201</v>
      </c>
      <c r="Q94" s="104" t="s">
        <v>201</v>
      </c>
      <c r="R94" s="104" t="s">
        <v>201</v>
      </c>
      <c r="S94" s="104" t="s">
        <v>201</v>
      </c>
      <c r="T94" s="104">
        <v>73.078400000000002</v>
      </c>
      <c r="U94" s="104">
        <v>-8.0245999999999995</v>
      </c>
      <c r="V94" s="104">
        <v>-34.490299999999998</v>
      </c>
      <c r="W94" s="104">
        <v>94.643299999999996</v>
      </c>
      <c r="X94" s="104">
        <v>-116.2681</v>
      </c>
      <c r="Y94" s="104" t="s">
        <v>201</v>
      </c>
      <c r="Z94" s="104" t="s">
        <v>201</v>
      </c>
      <c r="AA94" s="104">
        <v>45.8919</v>
      </c>
      <c r="AB94" s="104">
        <v>41.840899999999998</v>
      </c>
      <c r="AC94" s="104">
        <v>-88.436700000000002</v>
      </c>
      <c r="AD94" s="104">
        <v>1713.8476000000001</v>
      </c>
      <c r="AE94" s="104">
        <v>-61.796599999999998</v>
      </c>
      <c r="AF94" s="104">
        <v>160.4462</v>
      </c>
      <c r="AG94" s="104">
        <v>-3.1976</v>
      </c>
      <c r="AH94" s="104">
        <v>122.65730000000001</v>
      </c>
      <c r="AI94" s="104">
        <v>-35.2864</v>
      </c>
      <c r="AJ94" s="104">
        <v>81.094399999999993</v>
      </c>
      <c r="AK94" s="104">
        <v>-12.527100000000001</v>
      </c>
      <c r="AL94" s="104">
        <v>-37.747700000000002</v>
      </c>
      <c r="AM94" s="104">
        <v>36.7211</v>
      </c>
      <c r="AN94" s="104">
        <v>-5.5998999999999999</v>
      </c>
      <c r="AO94" s="104">
        <v>-7.2510000000000003</v>
      </c>
      <c r="AP94" s="104">
        <v>-12.5404</v>
      </c>
      <c r="AQ94" s="104" t="s">
        <v>201</v>
      </c>
      <c r="AR94" s="104" t="s">
        <v>201</v>
      </c>
      <c r="AS94" s="104">
        <v>11.056800000000001</v>
      </c>
      <c r="AT94" s="104">
        <v>-14.6206</v>
      </c>
      <c r="AU94" s="104">
        <v>20.162400000000002</v>
      </c>
      <c r="AV94" s="104">
        <v>5.1195000000000004</v>
      </c>
    </row>
    <row r="95" spans="12:48" x14ac:dyDescent="0.25">
      <c r="L95" s="105" t="s">
        <v>199</v>
      </c>
      <c r="M95" s="105"/>
      <c r="N95" s="105" t="s">
        <v>200</v>
      </c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8D9F-B40A-41A8-A641-3B60FA4CF3DB}">
  <dimension ref="A1:J72"/>
  <sheetViews>
    <sheetView zoomScale="94" zoomScaleNormal="80" workbookViewId="0">
      <selection activeCell="G88" sqref="G88"/>
    </sheetView>
  </sheetViews>
  <sheetFormatPr defaultColWidth="8.85546875" defaultRowHeight="15" x14ac:dyDescent="0.25"/>
  <cols>
    <col min="1" max="1" width="26.140625" customWidth="1"/>
  </cols>
  <sheetData>
    <row r="1" spans="1:10" ht="20.25" x14ac:dyDescent="0.25">
      <c r="A1" s="183" t="s">
        <v>497</v>
      </c>
      <c r="B1" s="183"/>
      <c r="C1" s="183"/>
      <c r="D1" s="183"/>
      <c r="E1" s="183"/>
      <c r="F1" s="183"/>
      <c r="G1" s="183"/>
      <c r="H1" s="183"/>
      <c r="I1" s="183"/>
      <c r="J1" s="183"/>
    </row>
    <row r="2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5" t="s">
        <v>75</v>
      </c>
      <c r="B3" s="185"/>
      <c r="C3" s="186" t="s">
        <v>76</v>
      </c>
      <c r="D3" s="186" t="s">
        <v>77</v>
      </c>
      <c r="E3" s="186" t="s">
        <v>78</v>
      </c>
      <c r="F3" s="186" t="s">
        <v>79</v>
      </c>
      <c r="G3" s="186" t="s">
        <v>80</v>
      </c>
      <c r="H3" s="186" t="s">
        <v>81</v>
      </c>
      <c r="I3" s="186" t="s">
        <v>82</v>
      </c>
      <c r="J3" s="186" t="s">
        <v>83</v>
      </c>
    </row>
    <row r="4" spans="1:10" x14ac:dyDescent="0.25">
      <c r="A4" s="187" t="s">
        <v>84</v>
      </c>
      <c r="B4" s="187"/>
      <c r="C4" s="188" t="s">
        <v>85</v>
      </c>
      <c r="D4" s="188" t="s">
        <v>86</v>
      </c>
      <c r="E4" s="188" t="s">
        <v>87</v>
      </c>
      <c r="F4" s="188" t="s">
        <v>88</v>
      </c>
      <c r="G4" s="188" t="s">
        <v>89</v>
      </c>
      <c r="H4" s="188" t="s">
        <v>90</v>
      </c>
      <c r="I4" s="188" t="s">
        <v>91</v>
      </c>
      <c r="J4" s="188" t="s">
        <v>92</v>
      </c>
    </row>
    <row r="5" spans="1:10" x14ac:dyDescent="0.25">
      <c r="A5" s="96" t="s">
        <v>3</v>
      </c>
      <c r="B5" s="96" t="s">
        <v>93</v>
      </c>
      <c r="C5" s="100">
        <v>12250</v>
      </c>
      <c r="D5" s="100">
        <v>11937</v>
      </c>
      <c r="E5" s="100">
        <v>10583</v>
      </c>
      <c r="F5" s="100">
        <v>12522</v>
      </c>
      <c r="G5" s="100">
        <v>14853</v>
      </c>
      <c r="H5" s="108">
        <v>14707</v>
      </c>
      <c r="I5" s="100">
        <v>14614.154</v>
      </c>
      <c r="J5" s="100">
        <v>14995.846</v>
      </c>
    </row>
    <row r="6" spans="1:10" x14ac:dyDescent="0.25">
      <c r="A6" s="98" t="s">
        <v>94</v>
      </c>
      <c r="B6" s="98" t="s">
        <v>95</v>
      </c>
      <c r="C6" s="99">
        <v>11668</v>
      </c>
      <c r="D6" s="99">
        <v>10809</v>
      </c>
      <c r="E6" s="99">
        <v>9810</v>
      </c>
      <c r="F6" s="99">
        <v>11120</v>
      </c>
      <c r="G6" s="99">
        <v>12430</v>
      </c>
      <c r="H6" s="107">
        <v>12692</v>
      </c>
      <c r="I6" s="99"/>
      <c r="J6" s="99"/>
    </row>
    <row r="7" spans="1:10" x14ac:dyDescent="0.25">
      <c r="A7" s="98" t="s">
        <v>488</v>
      </c>
      <c r="B7" s="98" t="s">
        <v>489</v>
      </c>
      <c r="C7" s="99">
        <v>582</v>
      </c>
      <c r="D7" s="99">
        <v>1128</v>
      </c>
      <c r="E7" s="99">
        <v>773</v>
      </c>
      <c r="F7" s="99">
        <v>1402</v>
      </c>
      <c r="G7" s="99">
        <v>2423</v>
      </c>
      <c r="H7" s="107">
        <v>2015</v>
      </c>
      <c r="I7" s="99"/>
      <c r="J7" s="99"/>
    </row>
    <row r="8" spans="1:10" x14ac:dyDescent="0.25">
      <c r="A8" s="96" t="s">
        <v>96</v>
      </c>
      <c r="B8" s="96" t="s">
        <v>97</v>
      </c>
      <c r="C8" s="100" t="s">
        <v>201</v>
      </c>
      <c r="D8" s="100" t="s">
        <v>201</v>
      </c>
      <c r="E8" s="100" t="s">
        <v>201</v>
      </c>
      <c r="F8" s="100" t="s">
        <v>201</v>
      </c>
      <c r="G8" s="100" t="s">
        <v>201</v>
      </c>
      <c r="H8" s="108"/>
      <c r="I8" s="100">
        <v>5557.1782000399999</v>
      </c>
      <c r="J8" s="100">
        <v>5787.6467636999996</v>
      </c>
    </row>
    <row r="9" spans="1:10" x14ac:dyDescent="0.25">
      <c r="A9" s="98" t="s">
        <v>98</v>
      </c>
      <c r="B9" s="98" t="s">
        <v>99</v>
      </c>
      <c r="C9" s="99">
        <v>96</v>
      </c>
      <c r="D9" s="99">
        <v>0</v>
      </c>
      <c r="E9" s="99">
        <v>0</v>
      </c>
      <c r="F9" s="99">
        <v>0</v>
      </c>
      <c r="G9" s="99">
        <v>0</v>
      </c>
      <c r="H9" s="107">
        <v>0</v>
      </c>
      <c r="I9" s="99"/>
      <c r="J9" s="99"/>
    </row>
    <row r="10" spans="1:10" x14ac:dyDescent="0.25">
      <c r="A10" s="98" t="s">
        <v>100</v>
      </c>
      <c r="B10" s="98" t="s">
        <v>101</v>
      </c>
      <c r="C10" s="99">
        <v>7631</v>
      </c>
      <c r="D10" s="99">
        <v>7101</v>
      </c>
      <c r="E10" s="99">
        <v>6256</v>
      </c>
      <c r="F10" s="99">
        <v>7382</v>
      </c>
      <c r="G10" s="99">
        <v>9068</v>
      </c>
      <c r="H10" s="107">
        <v>9088</v>
      </c>
      <c r="I10" s="99"/>
      <c r="J10" s="99"/>
    </row>
    <row r="11" spans="1:10" x14ac:dyDescent="0.25">
      <c r="A11" s="98" t="s">
        <v>102</v>
      </c>
      <c r="B11" s="98" t="s">
        <v>103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107"/>
      <c r="I11" s="99"/>
      <c r="J11" s="99"/>
    </row>
    <row r="12" spans="1:10" x14ac:dyDescent="0.25">
      <c r="A12" s="98" t="s">
        <v>104</v>
      </c>
      <c r="B12" s="98" t="s">
        <v>105</v>
      </c>
      <c r="C12" s="99">
        <v>1331</v>
      </c>
      <c r="D12" s="99">
        <v>1349</v>
      </c>
      <c r="E12" s="99">
        <v>1383</v>
      </c>
      <c r="F12" s="99">
        <v>1420</v>
      </c>
      <c r="G12" s="99">
        <v>1500</v>
      </c>
      <c r="H12" s="107">
        <v>1587</v>
      </c>
      <c r="I12" s="99"/>
      <c r="J12" s="99"/>
    </row>
    <row r="13" spans="1:10" x14ac:dyDescent="0.25">
      <c r="A13" s="98" t="s">
        <v>106</v>
      </c>
      <c r="B13" s="98" t="s">
        <v>107</v>
      </c>
      <c r="C13" s="99">
        <v>6300</v>
      </c>
      <c r="D13" s="99">
        <v>5752</v>
      </c>
      <c r="E13" s="99">
        <v>4873</v>
      </c>
      <c r="F13" s="99">
        <v>5962</v>
      </c>
      <c r="G13" s="99">
        <v>7568</v>
      </c>
      <c r="H13" s="107">
        <v>7501</v>
      </c>
      <c r="I13" s="99"/>
      <c r="J13" s="99"/>
    </row>
    <row r="14" spans="1:10" x14ac:dyDescent="0.25">
      <c r="A14" s="96" t="s">
        <v>108</v>
      </c>
      <c r="B14" s="96" t="s">
        <v>109</v>
      </c>
      <c r="C14" s="100">
        <v>4715</v>
      </c>
      <c r="D14" s="100">
        <v>4836</v>
      </c>
      <c r="E14" s="100">
        <v>4327</v>
      </c>
      <c r="F14" s="100">
        <v>5140</v>
      </c>
      <c r="G14" s="100">
        <v>5785</v>
      </c>
      <c r="H14" s="108">
        <v>5619</v>
      </c>
      <c r="I14" s="100">
        <v>5555.68</v>
      </c>
      <c r="J14" s="100">
        <v>5758.5</v>
      </c>
    </row>
    <row r="15" spans="1:10" x14ac:dyDescent="0.25">
      <c r="A15" s="98" t="s">
        <v>110</v>
      </c>
      <c r="B15" s="98" t="s">
        <v>111</v>
      </c>
      <c r="C15" s="99">
        <v>565</v>
      </c>
      <c r="D15" s="99">
        <v>649</v>
      </c>
      <c r="E15" s="99">
        <v>735</v>
      </c>
      <c r="F15" s="99">
        <v>643</v>
      </c>
      <c r="G15" s="99">
        <v>609</v>
      </c>
      <c r="H15" s="107">
        <v>654</v>
      </c>
      <c r="I15" s="99"/>
      <c r="J15" s="99"/>
    </row>
    <row r="16" spans="1:10" x14ac:dyDescent="0.25">
      <c r="A16" s="98" t="s">
        <v>112</v>
      </c>
      <c r="B16" s="98" t="s">
        <v>113</v>
      </c>
      <c r="C16" s="99">
        <v>607</v>
      </c>
      <c r="D16" s="99">
        <v>689</v>
      </c>
      <c r="E16" s="99">
        <v>754</v>
      </c>
      <c r="F16" s="99">
        <v>722</v>
      </c>
      <c r="G16" s="99">
        <v>742</v>
      </c>
      <c r="H16" s="107"/>
      <c r="I16" s="99"/>
      <c r="J16" s="99"/>
    </row>
    <row r="17" spans="1:10" x14ac:dyDescent="0.25">
      <c r="A17" s="101" t="s">
        <v>114</v>
      </c>
      <c r="B17" s="101" t="s">
        <v>115</v>
      </c>
      <c r="C17" s="102">
        <v>639</v>
      </c>
      <c r="D17" s="102">
        <v>737</v>
      </c>
      <c r="E17" s="102">
        <v>754</v>
      </c>
      <c r="F17" s="102">
        <v>722</v>
      </c>
      <c r="G17" s="102">
        <v>742</v>
      </c>
      <c r="H17" s="109">
        <v>804</v>
      </c>
      <c r="I17" s="102"/>
      <c r="J17" s="102"/>
    </row>
    <row r="18" spans="1:10" x14ac:dyDescent="0.25">
      <c r="A18" s="101" t="s">
        <v>116</v>
      </c>
      <c r="B18" s="101" t="s">
        <v>117</v>
      </c>
      <c r="C18" s="102">
        <v>32</v>
      </c>
      <c r="D18" s="102">
        <v>48</v>
      </c>
      <c r="E18" s="102">
        <v>0</v>
      </c>
      <c r="F18" s="102">
        <v>0</v>
      </c>
      <c r="G18" s="102">
        <v>0</v>
      </c>
      <c r="H18" s="109"/>
      <c r="I18" s="102"/>
      <c r="J18" s="102"/>
    </row>
    <row r="19" spans="1:10" x14ac:dyDescent="0.25">
      <c r="A19" s="98" t="s">
        <v>118</v>
      </c>
      <c r="B19" s="98" t="s">
        <v>119</v>
      </c>
      <c r="C19" s="99">
        <v>0</v>
      </c>
      <c r="D19" s="99">
        <v>0</v>
      </c>
      <c r="E19" s="99">
        <v>0</v>
      </c>
      <c r="F19" s="99">
        <v>0</v>
      </c>
      <c r="G19" s="99">
        <v>0</v>
      </c>
      <c r="H19" s="107"/>
      <c r="I19" s="99"/>
      <c r="J19" s="99"/>
    </row>
    <row r="20" spans="1:10" x14ac:dyDescent="0.25">
      <c r="A20" s="98" t="s">
        <v>120</v>
      </c>
      <c r="B20" s="98" t="s">
        <v>121</v>
      </c>
      <c r="C20" s="99">
        <v>-42</v>
      </c>
      <c r="D20" s="99">
        <v>-40</v>
      </c>
      <c r="E20" s="99">
        <v>-19</v>
      </c>
      <c r="F20" s="99">
        <v>-79</v>
      </c>
      <c r="G20" s="99">
        <v>-133</v>
      </c>
      <c r="H20" s="107">
        <v>-150</v>
      </c>
      <c r="I20" s="99"/>
      <c r="J20" s="99"/>
    </row>
    <row r="21" spans="1:10" x14ac:dyDescent="0.25">
      <c r="A21" s="96" t="s">
        <v>122</v>
      </c>
      <c r="B21" s="96" t="s">
        <v>123</v>
      </c>
      <c r="C21" s="100">
        <v>4150</v>
      </c>
      <c r="D21" s="100">
        <v>4187</v>
      </c>
      <c r="E21" s="100">
        <v>3592</v>
      </c>
      <c r="F21" s="100">
        <v>4497</v>
      </c>
      <c r="G21" s="100">
        <v>5176</v>
      </c>
      <c r="H21" s="108">
        <v>4965</v>
      </c>
      <c r="I21" s="100">
        <v>4886.12</v>
      </c>
      <c r="J21" s="100">
        <v>5064.3599999999997</v>
      </c>
    </row>
    <row r="22" spans="1:10" x14ac:dyDescent="0.25">
      <c r="A22" s="98" t="s">
        <v>124</v>
      </c>
      <c r="B22" s="98" t="s">
        <v>125</v>
      </c>
      <c r="C22" s="99">
        <v>-154</v>
      </c>
      <c r="D22" s="99">
        <v>-129</v>
      </c>
      <c r="E22" s="99">
        <v>-35</v>
      </c>
      <c r="F22" s="99">
        <v>-454</v>
      </c>
      <c r="G22" s="99">
        <v>-238</v>
      </c>
      <c r="H22" s="107">
        <v>-81</v>
      </c>
      <c r="I22" s="99"/>
      <c r="J22" s="99"/>
    </row>
    <row r="23" spans="1:10" x14ac:dyDescent="0.25">
      <c r="A23" s="98" t="s">
        <v>126</v>
      </c>
      <c r="B23" s="98" t="s">
        <v>127</v>
      </c>
      <c r="C23" s="99">
        <v>-154</v>
      </c>
      <c r="D23" s="99">
        <v>-151</v>
      </c>
      <c r="E23" s="99">
        <v>-35</v>
      </c>
      <c r="F23" s="99">
        <v>-454</v>
      </c>
      <c r="G23" s="99">
        <v>-238</v>
      </c>
      <c r="H23" s="107">
        <v>-81</v>
      </c>
      <c r="I23" s="99"/>
      <c r="J23" s="99"/>
    </row>
    <row r="24" spans="1:10" x14ac:dyDescent="0.25">
      <c r="A24" s="98" t="s">
        <v>128</v>
      </c>
      <c r="B24" s="98" t="s">
        <v>129</v>
      </c>
      <c r="C24" s="99" t="s">
        <v>201</v>
      </c>
      <c r="D24" s="99" t="s">
        <v>201</v>
      </c>
      <c r="E24" s="99" t="s">
        <v>201</v>
      </c>
      <c r="F24" s="99" t="s">
        <v>201</v>
      </c>
      <c r="G24" s="99" t="s">
        <v>201</v>
      </c>
      <c r="H24" s="107"/>
      <c r="I24" s="99"/>
      <c r="J24" s="99"/>
    </row>
    <row r="25" spans="1:10" x14ac:dyDescent="0.25">
      <c r="A25" s="98" t="s">
        <v>490</v>
      </c>
      <c r="B25" s="98" t="s">
        <v>491</v>
      </c>
      <c r="C25" s="99" t="s">
        <v>201</v>
      </c>
      <c r="D25" s="99">
        <v>22</v>
      </c>
      <c r="E25" s="99" t="s">
        <v>201</v>
      </c>
      <c r="F25" s="99" t="s">
        <v>201</v>
      </c>
      <c r="G25" s="99" t="s">
        <v>201</v>
      </c>
      <c r="H25" s="107"/>
      <c r="I25" s="99"/>
      <c r="J25" s="99"/>
    </row>
    <row r="26" spans="1:10" x14ac:dyDescent="0.25">
      <c r="A26" s="98" t="s">
        <v>130</v>
      </c>
      <c r="B26" s="98" t="s">
        <v>131</v>
      </c>
      <c r="C26" s="99" t="s">
        <v>201</v>
      </c>
      <c r="D26" s="99" t="s">
        <v>201</v>
      </c>
      <c r="E26" s="99" t="s">
        <v>201</v>
      </c>
      <c r="F26" s="99" t="s">
        <v>201</v>
      </c>
      <c r="G26" s="99" t="s">
        <v>201</v>
      </c>
      <c r="H26" s="107"/>
      <c r="I26" s="99"/>
      <c r="J26" s="99"/>
    </row>
    <row r="27" spans="1:10" x14ac:dyDescent="0.25">
      <c r="A27" s="98" t="s">
        <v>498</v>
      </c>
      <c r="B27" s="98" t="s">
        <v>499</v>
      </c>
      <c r="C27" s="99" t="s">
        <v>201</v>
      </c>
      <c r="D27" s="99" t="s">
        <v>201</v>
      </c>
      <c r="E27" s="99" t="s">
        <v>201</v>
      </c>
      <c r="F27" s="99" t="s">
        <v>201</v>
      </c>
      <c r="G27" s="99" t="s">
        <v>201</v>
      </c>
      <c r="H27" s="107"/>
      <c r="I27" s="99"/>
      <c r="J27" s="99"/>
    </row>
    <row r="28" spans="1:10" x14ac:dyDescent="0.25">
      <c r="A28" s="96" t="s">
        <v>132</v>
      </c>
      <c r="B28" s="96" t="s">
        <v>123</v>
      </c>
      <c r="C28" s="100">
        <v>4304</v>
      </c>
      <c r="D28" s="100">
        <v>4316</v>
      </c>
      <c r="E28" s="100">
        <v>3627</v>
      </c>
      <c r="F28" s="100">
        <v>4951</v>
      </c>
      <c r="G28" s="100">
        <v>5414</v>
      </c>
      <c r="H28" s="108">
        <v>5046</v>
      </c>
      <c r="I28" s="100">
        <v>4886.12</v>
      </c>
      <c r="J28" s="100">
        <v>5064.3599999999997</v>
      </c>
    </row>
    <row r="29" spans="1:10" x14ac:dyDescent="0.25">
      <c r="A29" s="98" t="s">
        <v>133</v>
      </c>
      <c r="B29" s="98" t="s">
        <v>134</v>
      </c>
      <c r="C29" s="99">
        <v>995</v>
      </c>
      <c r="D29" s="99">
        <v>985</v>
      </c>
      <c r="E29" s="99">
        <v>862</v>
      </c>
      <c r="F29" s="99">
        <v>1170</v>
      </c>
      <c r="G29" s="99">
        <v>1248</v>
      </c>
      <c r="H29" s="107">
        <v>1199</v>
      </c>
      <c r="I29" s="99"/>
      <c r="J29" s="99"/>
    </row>
    <row r="30" spans="1:10" x14ac:dyDescent="0.25">
      <c r="A30" s="98" t="s">
        <v>135</v>
      </c>
      <c r="B30" s="98" t="s">
        <v>136</v>
      </c>
      <c r="C30" s="99">
        <v>716</v>
      </c>
      <c r="D30" s="99">
        <v>712</v>
      </c>
      <c r="E30" s="99">
        <v>682</v>
      </c>
      <c r="F30" s="99">
        <v>1003</v>
      </c>
      <c r="G30" s="99">
        <v>1131</v>
      </c>
      <c r="H30" s="107"/>
      <c r="I30" s="99"/>
      <c r="J30" s="99"/>
    </row>
    <row r="31" spans="1:10" x14ac:dyDescent="0.25">
      <c r="A31" s="98" t="s">
        <v>137</v>
      </c>
      <c r="B31" s="98" t="s">
        <v>138</v>
      </c>
      <c r="C31" s="99">
        <v>279</v>
      </c>
      <c r="D31" s="99">
        <v>273</v>
      </c>
      <c r="E31" s="99">
        <v>180</v>
      </c>
      <c r="F31" s="99">
        <v>167</v>
      </c>
      <c r="G31" s="99">
        <v>117</v>
      </c>
      <c r="H31" s="107"/>
      <c r="I31" s="99"/>
      <c r="J31" s="99"/>
    </row>
    <row r="32" spans="1:10" x14ac:dyDescent="0.25">
      <c r="A32" s="98" t="s">
        <v>500</v>
      </c>
      <c r="B32" s="98" t="s">
        <v>501</v>
      </c>
      <c r="C32" s="99" t="s">
        <v>201</v>
      </c>
      <c r="D32" s="99" t="s">
        <v>201</v>
      </c>
      <c r="E32" s="99" t="s">
        <v>201</v>
      </c>
      <c r="F32" s="99" t="s">
        <v>201</v>
      </c>
      <c r="G32" s="99" t="s">
        <v>201</v>
      </c>
      <c r="H32" s="107"/>
      <c r="I32" s="99"/>
      <c r="J32" s="99"/>
    </row>
    <row r="33" spans="1:10" x14ac:dyDescent="0.25">
      <c r="A33" s="96" t="s">
        <v>139</v>
      </c>
      <c r="B33" s="96" t="s">
        <v>140</v>
      </c>
      <c r="C33" s="100">
        <v>3309</v>
      </c>
      <c r="D33" s="100">
        <v>3331</v>
      </c>
      <c r="E33" s="100">
        <v>2765</v>
      </c>
      <c r="F33" s="100">
        <v>3781</v>
      </c>
      <c r="G33" s="100">
        <v>4166</v>
      </c>
      <c r="H33" s="108">
        <v>3847</v>
      </c>
      <c r="I33" s="100">
        <v>3699.0949999999998</v>
      </c>
      <c r="J33" s="100">
        <v>3857.4760000000001</v>
      </c>
    </row>
    <row r="34" spans="1:10" x14ac:dyDescent="0.25">
      <c r="A34" s="98" t="s">
        <v>141</v>
      </c>
      <c r="B34" s="98" t="s">
        <v>142</v>
      </c>
      <c r="C34" s="99">
        <v>0</v>
      </c>
      <c r="D34" s="99">
        <v>0</v>
      </c>
      <c r="E34" s="99">
        <v>0</v>
      </c>
      <c r="F34" s="99">
        <v>0</v>
      </c>
      <c r="G34" s="99">
        <v>0</v>
      </c>
      <c r="H34" s="107">
        <v>0</v>
      </c>
      <c r="I34" s="99"/>
      <c r="J34" s="99"/>
    </row>
    <row r="35" spans="1:10" x14ac:dyDescent="0.25">
      <c r="A35" s="98" t="s">
        <v>143</v>
      </c>
      <c r="B35" s="98" t="s">
        <v>144</v>
      </c>
      <c r="C35" s="99">
        <v>0</v>
      </c>
      <c r="D35" s="99">
        <v>0</v>
      </c>
      <c r="E35" s="99">
        <v>0</v>
      </c>
      <c r="F35" s="99">
        <v>0</v>
      </c>
      <c r="G35" s="99">
        <v>0</v>
      </c>
      <c r="H35" s="107">
        <v>0</v>
      </c>
      <c r="I35" s="99"/>
      <c r="J35" s="99"/>
    </row>
    <row r="36" spans="1:10" x14ac:dyDescent="0.25">
      <c r="A36" s="98" t="s">
        <v>145</v>
      </c>
      <c r="B36" s="98" t="s">
        <v>146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  <c r="H36" s="107">
        <v>0</v>
      </c>
      <c r="I36" s="99"/>
      <c r="J36" s="99"/>
    </row>
    <row r="37" spans="1:10" x14ac:dyDescent="0.25">
      <c r="A37" s="96" t="s">
        <v>147</v>
      </c>
      <c r="B37" s="96" t="s">
        <v>148</v>
      </c>
      <c r="C37" s="100">
        <v>3309</v>
      </c>
      <c r="D37" s="100">
        <v>3331</v>
      </c>
      <c r="E37" s="100">
        <v>2765</v>
      </c>
      <c r="F37" s="100">
        <v>3781</v>
      </c>
      <c r="G37" s="100">
        <v>4166</v>
      </c>
      <c r="H37" s="108">
        <v>3847</v>
      </c>
      <c r="I37" s="100"/>
      <c r="J37" s="100"/>
    </row>
    <row r="38" spans="1:10" x14ac:dyDescent="0.25">
      <c r="A38" s="96" t="s">
        <v>149</v>
      </c>
      <c r="B38" s="96" t="s">
        <v>150</v>
      </c>
      <c r="C38" s="100">
        <v>3309</v>
      </c>
      <c r="D38" s="100">
        <v>3331</v>
      </c>
      <c r="E38" s="100">
        <v>2765</v>
      </c>
      <c r="F38" s="100">
        <v>3781</v>
      </c>
      <c r="G38" s="100">
        <v>4166</v>
      </c>
      <c r="H38" s="108">
        <v>3847</v>
      </c>
      <c r="I38" s="100">
        <v>3699.0949999999998</v>
      </c>
      <c r="J38" s="100">
        <v>3857.4760000000001</v>
      </c>
    </row>
    <row r="39" spans="1:10" x14ac:dyDescent="0.25">
      <c r="A39" s="98" t="s">
        <v>151</v>
      </c>
      <c r="B39" s="98" t="s">
        <v>152</v>
      </c>
      <c r="C39" s="99">
        <v>0</v>
      </c>
      <c r="D39" s="99">
        <v>0</v>
      </c>
      <c r="E39" s="99">
        <v>0</v>
      </c>
      <c r="F39" s="99">
        <v>0</v>
      </c>
      <c r="G39" s="99">
        <v>0</v>
      </c>
      <c r="H39" s="107">
        <v>0</v>
      </c>
      <c r="I39" s="99"/>
      <c r="J39" s="99"/>
    </row>
    <row r="40" spans="1:10" x14ac:dyDescent="0.25">
      <c r="A40" s="98" t="s">
        <v>153</v>
      </c>
      <c r="B40" s="98" t="s">
        <v>154</v>
      </c>
      <c r="C40" s="99">
        <v>1</v>
      </c>
      <c r="D40" s="99">
        <v>0</v>
      </c>
      <c r="E40" s="99">
        <v>0</v>
      </c>
      <c r="F40" s="99">
        <v>0</v>
      </c>
      <c r="G40" s="99">
        <v>0</v>
      </c>
      <c r="H40" s="107">
        <v>0</v>
      </c>
      <c r="I40" s="99"/>
      <c r="J40" s="99"/>
    </row>
    <row r="41" spans="1:10" x14ac:dyDescent="0.25">
      <c r="A41" s="96" t="s">
        <v>155</v>
      </c>
      <c r="B41" s="96" t="s">
        <v>156</v>
      </c>
      <c r="C41" s="100">
        <v>3308</v>
      </c>
      <c r="D41" s="100">
        <v>3331</v>
      </c>
      <c r="E41" s="100">
        <v>2765</v>
      </c>
      <c r="F41" s="100">
        <v>3781</v>
      </c>
      <c r="G41" s="100">
        <v>4166</v>
      </c>
      <c r="H41" s="108">
        <v>3847</v>
      </c>
      <c r="I41" s="100">
        <v>3699.0949999999998</v>
      </c>
      <c r="J41" s="100">
        <v>3857.4760000000001</v>
      </c>
    </row>
    <row r="42" spans="1:10" x14ac:dyDescent="0.25">
      <c r="A42" s="96"/>
      <c r="B42" s="97"/>
      <c r="C42" s="97"/>
      <c r="D42" s="97"/>
      <c r="E42" s="97"/>
      <c r="F42" s="97"/>
      <c r="G42" s="97"/>
      <c r="H42" s="106"/>
      <c r="I42" s="97"/>
      <c r="J42" s="97"/>
    </row>
    <row r="43" spans="1:10" x14ac:dyDescent="0.25">
      <c r="A43" s="96" t="s">
        <v>157</v>
      </c>
      <c r="B43" s="96" t="s">
        <v>156</v>
      </c>
      <c r="C43" s="100">
        <v>3200.34</v>
      </c>
      <c r="D43" s="100">
        <v>3198.09</v>
      </c>
      <c r="E43" s="100">
        <v>2737.35</v>
      </c>
      <c r="F43" s="100">
        <v>3378.34</v>
      </c>
      <c r="G43" s="100">
        <v>3907.98</v>
      </c>
      <c r="H43" s="108">
        <v>3750.01</v>
      </c>
      <c r="I43" s="100">
        <v>3695.192</v>
      </c>
      <c r="J43" s="100">
        <v>3837.5770000000002</v>
      </c>
    </row>
    <row r="44" spans="1:10" x14ac:dyDescent="0.25">
      <c r="A44" s="98" t="s">
        <v>158</v>
      </c>
      <c r="B44" s="98" t="s">
        <v>159</v>
      </c>
      <c r="C44" s="99">
        <v>-107.66</v>
      </c>
      <c r="D44" s="99">
        <v>-132.91</v>
      </c>
      <c r="E44" s="99">
        <v>-27.65</v>
      </c>
      <c r="F44" s="99">
        <v>-402.66</v>
      </c>
      <c r="G44" s="99">
        <v>-258.02</v>
      </c>
      <c r="H44" s="107">
        <v>-96.99</v>
      </c>
      <c r="I44" s="99"/>
      <c r="J44" s="99"/>
    </row>
    <row r="45" spans="1:10" x14ac:dyDescent="0.25">
      <c r="A45" s="98" t="s">
        <v>160</v>
      </c>
      <c r="B45" s="98" t="s">
        <v>142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107">
        <v>0</v>
      </c>
      <c r="I45" s="99"/>
      <c r="J45" s="99"/>
    </row>
    <row r="46" spans="1:10" x14ac:dyDescent="0.25">
      <c r="A46" s="96"/>
      <c r="B46" s="97"/>
      <c r="C46" s="97"/>
      <c r="D46" s="97"/>
      <c r="E46" s="97"/>
      <c r="F46" s="97"/>
      <c r="G46" s="97"/>
      <c r="H46" s="106"/>
      <c r="I46" s="97"/>
      <c r="J46" s="97"/>
    </row>
    <row r="47" spans="1:10" x14ac:dyDescent="0.25">
      <c r="A47" s="98" t="s">
        <v>161</v>
      </c>
      <c r="B47" s="98" t="s">
        <v>162</v>
      </c>
      <c r="C47" s="99">
        <v>2571</v>
      </c>
      <c r="D47" s="99">
        <v>2389</v>
      </c>
      <c r="E47" s="99">
        <v>6900</v>
      </c>
      <c r="F47" s="99">
        <v>2250</v>
      </c>
      <c r="G47" s="99">
        <v>2136</v>
      </c>
      <c r="H47" s="107">
        <v>1994</v>
      </c>
      <c r="I47" s="99"/>
      <c r="J47" s="99"/>
    </row>
    <row r="48" spans="1:10" x14ac:dyDescent="0.25">
      <c r="A48" s="96" t="s">
        <v>163</v>
      </c>
      <c r="B48" s="96" t="s">
        <v>164</v>
      </c>
      <c r="C48" s="112">
        <v>1.2867</v>
      </c>
      <c r="D48" s="112">
        <v>1.39</v>
      </c>
      <c r="E48" s="112">
        <v>0.4</v>
      </c>
      <c r="F48" s="112">
        <v>1.68</v>
      </c>
      <c r="G48" s="112">
        <v>1.95</v>
      </c>
      <c r="H48" s="113">
        <v>1.88</v>
      </c>
      <c r="I48" s="112">
        <v>1.833</v>
      </c>
      <c r="J48" s="112">
        <v>1.9890000000000001</v>
      </c>
    </row>
    <row r="49" spans="1:10" x14ac:dyDescent="0.25">
      <c r="A49" s="96" t="s">
        <v>165</v>
      </c>
      <c r="B49" s="96" t="s">
        <v>166</v>
      </c>
      <c r="C49" s="112">
        <v>1.2867</v>
      </c>
      <c r="D49" s="112">
        <v>1.39</v>
      </c>
      <c r="E49" s="112">
        <v>0.4</v>
      </c>
      <c r="F49" s="112">
        <v>1.68</v>
      </c>
      <c r="G49" s="112">
        <v>1.95</v>
      </c>
      <c r="H49" s="113">
        <v>1.88</v>
      </c>
      <c r="I49" s="112">
        <v>1.833</v>
      </c>
      <c r="J49" s="112">
        <v>1.9890000000000001</v>
      </c>
    </row>
    <row r="50" spans="1:10" x14ac:dyDescent="0.25">
      <c r="A50" s="96" t="s">
        <v>167</v>
      </c>
      <c r="B50" s="96" t="s">
        <v>168</v>
      </c>
      <c r="C50" s="112">
        <v>1.2447999999999999</v>
      </c>
      <c r="D50" s="112">
        <v>1.3387</v>
      </c>
      <c r="E50" s="112">
        <v>0.3967</v>
      </c>
      <c r="F50" s="112">
        <v>1.5015000000000001</v>
      </c>
      <c r="G50" s="112">
        <v>1.8295999999999999</v>
      </c>
      <c r="H50" s="113">
        <v>1.8393040000000001</v>
      </c>
      <c r="I50" s="112">
        <v>1.833</v>
      </c>
      <c r="J50" s="112">
        <v>1.984</v>
      </c>
    </row>
    <row r="51" spans="1:10" x14ac:dyDescent="0.25">
      <c r="A51" s="96"/>
      <c r="B51" s="97"/>
      <c r="C51" s="97"/>
      <c r="D51" s="97"/>
      <c r="E51" s="97"/>
      <c r="F51" s="97"/>
      <c r="G51" s="97"/>
      <c r="H51" s="106"/>
      <c r="I51" s="97"/>
      <c r="J51" s="97"/>
    </row>
    <row r="52" spans="1:10" x14ac:dyDescent="0.25">
      <c r="A52" s="98" t="s">
        <v>169</v>
      </c>
      <c r="B52" s="98" t="s">
        <v>170</v>
      </c>
      <c r="C52" s="99">
        <v>2583</v>
      </c>
      <c r="D52" s="99">
        <v>2395</v>
      </c>
      <c r="E52" s="99">
        <v>6915</v>
      </c>
      <c r="F52" s="99">
        <v>2255</v>
      </c>
      <c r="G52" s="99">
        <v>2141</v>
      </c>
      <c r="H52" s="107">
        <v>1999</v>
      </c>
      <c r="I52" s="99"/>
      <c r="J52" s="99"/>
    </row>
    <row r="53" spans="1:10" x14ac:dyDescent="0.25">
      <c r="A53" s="96" t="s">
        <v>171</v>
      </c>
      <c r="B53" s="96" t="s">
        <v>172</v>
      </c>
      <c r="C53" s="112">
        <v>1.28</v>
      </c>
      <c r="D53" s="112">
        <v>1.39</v>
      </c>
      <c r="E53" s="112">
        <v>0.4</v>
      </c>
      <c r="F53" s="112">
        <v>1.68</v>
      </c>
      <c r="G53" s="112">
        <v>1.95</v>
      </c>
      <c r="H53" s="113">
        <v>1.88</v>
      </c>
      <c r="I53" s="112">
        <v>1.833</v>
      </c>
      <c r="J53" s="112">
        <v>1.9890000000000001</v>
      </c>
    </row>
    <row r="54" spans="1:10" x14ac:dyDescent="0.25">
      <c r="A54" s="96" t="s">
        <v>173</v>
      </c>
      <c r="B54" s="96" t="s">
        <v>174</v>
      </c>
      <c r="C54" s="112">
        <v>1.28</v>
      </c>
      <c r="D54" s="112">
        <v>1.39</v>
      </c>
      <c r="E54" s="112">
        <v>0.4</v>
      </c>
      <c r="F54" s="112">
        <v>1.68</v>
      </c>
      <c r="G54" s="112">
        <v>1.95</v>
      </c>
      <c r="H54" s="113">
        <v>1.88</v>
      </c>
      <c r="I54" s="112">
        <v>1.833</v>
      </c>
      <c r="J54" s="112">
        <v>1.9890000000000001</v>
      </c>
    </row>
    <row r="55" spans="1:10" x14ac:dyDescent="0.25">
      <c r="A55" s="96" t="s">
        <v>175</v>
      </c>
      <c r="B55" s="96" t="s">
        <v>176</v>
      </c>
      <c r="C55" s="112">
        <v>1.2383</v>
      </c>
      <c r="D55" s="112">
        <v>1.3345</v>
      </c>
      <c r="E55" s="112">
        <v>0.39600000000000002</v>
      </c>
      <c r="F55" s="112">
        <v>1.5014000000000001</v>
      </c>
      <c r="G55" s="112">
        <v>1.8294999999999999</v>
      </c>
      <c r="H55" s="113">
        <v>1.8314600000000001</v>
      </c>
      <c r="I55" s="112">
        <v>1.833</v>
      </c>
      <c r="J55" s="112">
        <v>1.984</v>
      </c>
    </row>
    <row r="56" spans="1:10" x14ac:dyDescent="0.25">
      <c r="A56" s="96"/>
      <c r="B56" s="97"/>
      <c r="C56" s="97"/>
      <c r="D56" s="97"/>
      <c r="E56" s="97"/>
      <c r="F56" s="97"/>
      <c r="G56" s="97"/>
      <c r="H56" s="106"/>
      <c r="I56" s="97"/>
      <c r="J56" s="97"/>
    </row>
    <row r="57" spans="1:10" x14ac:dyDescent="0.25">
      <c r="A57" s="96" t="s">
        <v>177</v>
      </c>
      <c r="B57" s="97"/>
      <c r="C57" s="97"/>
      <c r="D57" s="97"/>
      <c r="E57" s="97"/>
      <c r="F57" s="97"/>
      <c r="G57" s="97"/>
      <c r="H57" s="106"/>
      <c r="I57" s="97"/>
      <c r="J57" s="97"/>
    </row>
    <row r="58" spans="1:10" x14ac:dyDescent="0.25">
      <c r="A58" s="98" t="s">
        <v>178</v>
      </c>
      <c r="B58" s="98" t="s">
        <v>179</v>
      </c>
      <c r="C58" s="103" t="s">
        <v>180</v>
      </c>
      <c r="D58" s="103" t="s">
        <v>180</v>
      </c>
      <c r="E58" s="103" t="s">
        <v>180</v>
      </c>
      <c r="F58" s="103" t="s">
        <v>180</v>
      </c>
      <c r="G58" s="103" t="s">
        <v>180</v>
      </c>
      <c r="H58" s="189"/>
      <c r="I58" s="103"/>
      <c r="J58" s="103"/>
    </row>
    <row r="59" spans="1:10" x14ac:dyDescent="0.25">
      <c r="A59" s="98" t="s">
        <v>16</v>
      </c>
      <c r="B59" s="98" t="s">
        <v>16</v>
      </c>
      <c r="C59" s="99">
        <v>6046</v>
      </c>
      <c r="D59" s="99">
        <v>6269</v>
      </c>
      <c r="E59" s="99">
        <v>5792</v>
      </c>
      <c r="F59" s="99">
        <v>6649</v>
      </c>
      <c r="G59" s="99">
        <v>7394</v>
      </c>
      <c r="H59" s="107">
        <v>7206</v>
      </c>
      <c r="I59" s="99">
        <v>7149.1819999999998</v>
      </c>
      <c r="J59" s="99">
        <v>7417.5</v>
      </c>
    </row>
    <row r="60" spans="1:10" x14ac:dyDescent="0.25">
      <c r="A60" s="98" t="s">
        <v>181</v>
      </c>
      <c r="B60" s="98" t="s">
        <v>182</v>
      </c>
      <c r="C60" s="104">
        <v>49.3551</v>
      </c>
      <c r="D60" s="104">
        <v>52.517400000000002</v>
      </c>
      <c r="E60" s="104">
        <v>54.729300000000002</v>
      </c>
      <c r="F60" s="104">
        <v>53.098500000000001</v>
      </c>
      <c r="G60" s="104">
        <v>49.781199999999998</v>
      </c>
      <c r="H60" s="110">
        <v>48.997076222207099</v>
      </c>
      <c r="I60" s="104">
        <v>48.919574817673301</v>
      </c>
      <c r="J60" s="104">
        <v>49.463698146806799</v>
      </c>
    </row>
    <row r="61" spans="1:10" x14ac:dyDescent="0.25">
      <c r="A61" s="98" t="s">
        <v>183</v>
      </c>
      <c r="B61" s="98" t="s">
        <v>183</v>
      </c>
      <c r="C61" s="99">
        <v>4715</v>
      </c>
      <c r="D61" s="99">
        <v>4920</v>
      </c>
      <c r="E61" s="99">
        <v>4409</v>
      </c>
      <c r="F61" s="99">
        <v>5229</v>
      </c>
      <c r="G61" s="99">
        <v>5894</v>
      </c>
      <c r="H61" s="107"/>
      <c r="I61" s="99"/>
      <c r="J61" s="99"/>
    </row>
    <row r="62" spans="1:10" x14ac:dyDescent="0.25">
      <c r="A62" s="98" t="s">
        <v>4</v>
      </c>
      <c r="B62" s="98" t="s">
        <v>4</v>
      </c>
      <c r="C62" s="99">
        <v>4715</v>
      </c>
      <c r="D62" s="99">
        <v>4836</v>
      </c>
      <c r="E62" s="99">
        <v>4327</v>
      </c>
      <c r="F62" s="99">
        <v>5140</v>
      </c>
      <c r="G62" s="99">
        <v>5785</v>
      </c>
      <c r="H62" s="107">
        <v>5619</v>
      </c>
      <c r="I62" s="99">
        <v>5555.68</v>
      </c>
      <c r="J62" s="99">
        <v>5758.5</v>
      </c>
    </row>
    <row r="63" spans="1:10" x14ac:dyDescent="0.25">
      <c r="A63" s="98" t="s">
        <v>184</v>
      </c>
      <c r="B63" s="98" t="s">
        <v>185</v>
      </c>
      <c r="C63" s="104" t="s">
        <v>201</v>
      </c>
      <c r="D63" s="104" t="s">
        <v>201</v>
      </c>
      <c r="E63" s="104" t="s">
        <v>201</v>
      </c>
      <c r="F63" s="104" t="s">
        <v>201</v>
      </c>
      <c r="G63" s="104" t="s">
        <v>201</v>
      </c>
      <c r="H63" s="110"/>
      <c r="I63" s="104">
        <v>38.026000000000003</v>
      </c>
      <c r="J63" s="104">
        <v>38.594999999999999</v>
      </c>
    </row>
    <row r="64" spans="1:10" x14ac:dyDescent="0.25">
      <c r="A64" s="98" t="s">
        <v>186</v>
      </c>
      <c r="B64" s="98" t="s">
        <v>187</v>
      </c>
      <c r="C64" s="104">
        <v>38.489800000000002</v>
      </c>
      <c r="D64" s="104">
        <v>40.512700000000002</v>
      </c>
      <c r="E64" s="104">
        <v>40.886299999999999</v>
      </c>
      <c r="F64" s="104">
        <v>41.047800000000002</v>
      </c>
      <c r="G64" s="104">
        <v>38.948399999999999</v>
      </c>
      <c r="H64" s="110">
        <v>38.206296321479599</v>
      </c>
      <c r="I64" s="104">
        <v>38.015748294427397</v>
      </c>
      <c r="J64" s="104">
        <v>38.400634415690902</v>
      </c>
    </row>
    <row r="65" spans="1:10" x14ac:dyDescent="0.25">
      <c r="A65" s="98" t="s">
        <v>26</v>
      </c>
      <c r="B65" s="98" t="s">
        <v>188</v>
      </c>
      <c r="C65" s="104">
        <v>26.133400000000002</v>
      </c>
      <c r="D65" s="104">
        <v>26.791399999999999</v>
      </c>
      <c r="E65" s="104">
        <v>25.865500000000001</v>
      </c>
      <c r="F65" s="104">
        <v>26.979199999999999</v>
      </c>
      <c r="G65" s="104">
        <v>26.311</v>
      </c>
      <c r="H65" s="110">
        <v>25.498130142109201</v>
      </c>
      <c r="I65" s="104">
        <v>25.285021630400198</v>
      </c>
      <c r="J65" s="104">
        <v>25.590933649225299</v>
      </c>
    </row>
    <row r="66" spans="1:10" x14ac:dyDescent="0.25">
      <c r="A66" s="98" t="s">
        <v>189</v>
      </c>
      <c r="B66" s="98" t="s">
        <v>190</v>
      </c>
      <c r="C66" s="104">
        <v>544444.44440000004</v>
      </c>
      <c r="D66" s="104">
        <v>568428.57140000002</v>
      </c>
      <c r="E66" s="104">
        <v>548853.85329999996</v>
      </c>
      <c r="F66" s="104">
        <v>598594.57909999997</v>
      </c>
      <c r="G66" s="104">
        <v>658903.38040000002</v>
      </c>
      <c r="H66" s="110">
        <v>646997.52428353298</v>
      </c>
      <c r="I66" s="104"/>
      <c r="J66" s="104"/>
    </row>
    <row r="67" spans="1:10" x14ac:dyDescent="0.25">
      <c r="A67" s="98" t="s">
        <v>191</v>
      </c>
      <c r="B67" s="98" t="s">
        <v>192</v>
      </c>
      <c r="C67" s="104">
        <v>0.29330000000000001</v>
      </c>
      <c r="D67" s="104">
        <v>0.96</v>
      </c>
      <c r="E67" s="104">
        <v>0.11600000000000001</v>
      </c>
      <c r="F67" s="104">
        <v>0.372</v>
      </c>
      <c r="G67" s="104">
        <v>0.4</v>
      </c>
      <c r="H67" s="110">
        <v>0.43</v>
      </c>
      <c r="I67" s="104">
        <v>0.442</v>
      </c>
      <c r="J67" s="104">
        <v>0.46800000000000003</v>
      </c>
    </row>
    <row r="68" spans="1:10" x14ac:dyDescent="0.25">
      <c r="A68" s="98" t="s">
        <v>193</v>
      </c>
      <c r="B68" s="98" t="s">
        <v>194</v>
      </c>
      <c r="C68" s="99">
        <v>751</v>
      </c>
      <c r="D68" s="99">
        <v>2293.44</v>
      </c>
      <c r="E68" s="99">
        <v>800.4</v>
      </c>
      <c r="F68" s="99">
        <v>837</v>
      </c>
      <c r="G68" s="99">
        <v>854.4</v>
      </c>
      <c r="H68" s="107">
        <v>875.98</v>
      </c>
      <c r="I68" s="99"/>
      <c r="J68" s="99"/>
    </row>
    <row r="69" spans="1:10" x14ac:dyDescent="0.25">
      <c r="A69" s="98" t="s">
        <v>492</v>
      </c>
      <c r="B69" s="98" t="s">
        <v>493</v>
      </c>
      <c r="C69" s="99">
        <v>2738</v>
      </c>
      <c r="D69" s="99">
        <v>2616</v>
      </c>
      <c r="E69" s="99">
        <v>2275</v>
      </c>
      <c r="F69" s="99">
        <v>2550</v>
      </c>
      <c r="G69" s="99">
        <v>2861</v>
      </c>
      <c r="H69" s="107">
        <v>2942</v>
      </c>
      <c r="I69" s="99"/>
      <c r="J69" s="99"/>
    </row>
    <row r="70" spans="1:10" x14ac:dyDescent="0.25">
      <c r="A70" s="98" t="s">
        <v>195</v>
      </c>
      <c r="B70" s="98" t="s">
        <v>196</v>
      </c>
      <c r="C70" s="99">
        <v>1331</v>
      </c>
      <c r="D70" s="99">
        <v>1349</v>
      </c>
      <c r="E70" s="99">
        <v>1383</v>
      </c>
      <c r="F70" s="99">
        <v>1420</v>
      </c>
      <c r="G70" s="99">
        <v>1500</v>
      </c>
      <c r="H70" s="107"/>
      <c r="I70" s="99"/>
      <c r="J70" s="99"/>
    </row>
    <row r="71" spans="1:10" x14ac:dyDescent="0.25">
      <c r="A71" s="98" t="s">
        <v>197</v>
      </c>
      <c r="B71" s="98" t="s">
        <v>198</v>
      </c>
      <c r="C71" s="99">
        <v>66</v>
      </c>
      <c r="D71" s="99">
        <v>84</v>
      </c>
      <c r="E71" s="99">
        <v>82</v>
      </c>
      <c r="F71" s="99">
        <v>89</v>
      </c>
      <c r="G71" s="99">
        <v>109</v>
      </c>
      <c r="H71" s="107"/>
      <c r="I71" s="99"/>
      <c r="J71" s="99"/>
    </row>
    <row r="72" spans="1:10" x14ac:dyDescent="0.25">
      <c r="A72" s="105" t="s">
        <v>199</v>
      </c>
      <c r="B72" s="105"/>
      <c r="C72" s="105" t="s">
        <v>200</v>
      </c>
      <c r="D72" s="105"/>
      <c r="E72" s="105"/>
      <c r="F72" s="105"/>
      <c r="G72" s="105"/>
      <c r="H72" s="105"/>
      <c r="I72" s="105"/>
      <c r="J72" s="10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99A-34A1-44BD-87D9-D96F1728A1D3}">
  <dimension ref="A1:G89"/>
  <sheetViews>
    <sheetView zoomScale="80" zoomScaleNormal="80" workbookViewId="0">
      <selection activeCell="B35" sqref="B35"/>
    </sheetView>
  </sheetViews>
  <sheetFormatPr defaultColWidth="8.85546875" defaultRowHeight="15" x14ac:dyDescent="0.25"/>
  <sheetData>
    <row r="1" spans="1:7" ht="20.25" x14ac:dyDescent="0.25">
      <c r="A1" s="183" t="s">
        <v>502</v>
      </c>
      <c r="B1" s="183"/>
      <c r="C1" s="183"/>
      <c r="D1" s="183"/>
      <c r="E1" s="183"/>
      <c r="F1" s="183"/>
      <c r="G1" s="183"/>
    </row>
    <row r="2" spans="1:7" x14ac:dyDescent="0.25">
      <c r="A2" s="184"/>
      <c r="B2" s="184"/>
      <c r="C2" s="184"/>
      <c r="D2" s="184"/>
      <c r="E2" s="184"/>
      <c r="F2" s="184"/>
      <c r="G2" s="184"/>
    </row>
    <row r="3" spans="1:7" x14ac:dyDescent="0.25">
      <c r="A3" s="185" t="s">
        <v>75</v>
      </c>
      <c r="B3" s="185"/>
      <c r="C3" s="186" t="s">
        <v>76</v>
      </c>
      <c r="D3" s="186" t="s">
        <v>77</v>
      </c>
      <c r="E3" s="186" t="s">
        <v>78</v>
      </c>
      <c r="F3" s="186" t="s">
        <v>79</v>
      </c>
      <c r="G3" s="186" t="s">
        <v>80</v>
      </c>
    </row>
    <row r="4" spans="1:7" x14ac:dyDescent="0.25">
      <c r="A4" s="187" t="s">
        <v>84</v>
      </c>
      <c r="B4" s="187"/>
      <c r="C4" s="188" t="s">
        <v>85</v>
      </c>
      <c r="D4" s="188" t="s">
        <v>86</v>
      </c>
      <c r="E4" s="188" t="s">
        <v>87</v>
      </c>
      <c r="F4" s="188" t="s">
        <v>88</v>
      </c>
      <c r="G4" s="188" t="s">
        <v>89</v>
      </c>
    </row>
    <row r="5" spans="1:7" x14ac:dyDescent="0.25">
      <c r="A5" s="96" t="s">
        <v>47</v>
      </c>
      <c r="B5" s="97"/>
      <c r="C5" s="97"/>
      <c r="D5" s="97"/>
      <c r="E5" s="97"/>
      <c r="F5" s="97"/>
      <c r="G5" s="97"/>
    </row>
    <row r="6" spans="1:7" x14ac:dyDescent="0.25">
      <c r="A6" s="98" t="s">
        <v>202</v>
      </c>
      <c r="B6" s="98" t="s">
        <v>203</v>
      </c>
      <c r="C6" s="99">
        <v>1111</v>
      </c>
      <c r="D6" s="99">
        <v>1954</v>
      </c>
      <c r="E6" s="99">
        <v>3131</v>
      </c>
      <c r="F6" s="99">
        <v>2316</v>
      </c>
      <c r="G6" s="99">
        <v>2087</v>
      </c>
    </row>
    <row r="7" spans="1:7" x14ac:dyDescent="0.25">
      <c r="A7" s="98" t="s">
        <v>204</v>
      </c>
      <c r="B7" s="98" t="s">
        <v>205</v>
      </c>
      <c r="C7" s="99">
        <v>858</v>
      </c>
      <c r="D7" s="99">
        <v>958</v>
      </c>
      <c r="E7" s="99">
        <v>3129</v>
      </c>
      <c r="F7" s="99">
        <v>2239</v>
      </c>
      <c r="G7" s="99">
        <v>1958</v>
      </c>
    </row>
    <row r="8" spans="1:7" x14ac:dyDescent="0.25">
      <c r="A8" s="98" t="s">
        <v>206</v>
      </c>
      <c r="B8" s="98" t="s">
        <v>207</v>
      </c>
      <c r="C8" s="99">
        <v>253</v>
      </c>
      <c r="D8" s="99">
        <v>996</v>
      </c>
      <c r="E8" s="99">
        <v>2</v>
      </c>
      <c r="F8" s="99">
        <v>77</v>
      </c>
      <c r="G8" s="99">
        <v>129</v>
      </c>
    </row>
    <row r="9" spans="1:7" x14ac:dyDescent="0.25">
      <c r="A9" s="98" t="s">
        <v>208</v>
      </c>
      <c r="B9" s="98" t="s">
        <v>209</v>
      </c>
      <c r="C9" s="99">
        <v>1010</v>
      </c>
      <c r="D9" s="99">
        <v>986</v>
      </c>
      <c r="E9" s="99">
        <v>912</v>
      </c>
      <c r="F9" s="99">
        <v>1148</v>
      </c>
      <c r="G9" s="99">
        <v>1313</v>
      </c>
    </row>
    <row r="10" spans="1:7" x14ac:dyDescent="0.25">
      <c r="A10" s="98" t="s">
        <v>210</v>
      </c>
      <c r="B10" s="98" t="s">
        <v>211</v>
      </c>
      <c r="C10" s="99">
        <v>1010</v>
      </c>
      <c r="D10" s="99">
        <v>986</v>
      </c>
      <c r="E10" s="99">
        <v>912</v>
      </c>
      <c r="F10" s="99">
        <v>1148</v>
      </c>
      <c r="G10" s="99">
        <v>1313</v>
      </c>
    </row>
    <row r="11" spans="1:7" x14ac:dyDescent="0.25">
      <c r="A11" s="98" t="s">
        <v>212</v>
      </c>
      <c r="B11" s="98" t="s">
        <v>213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</row>
    <row r="12" spans="1:7" x14ac:dyDescent="0.25">
      <c r="A12" s="98" t="s">
        <v>214</v>
      </c>
      <c r="B12" s="98" t="s">
        <v>215</v>
      </c>
      <c r="C12" s="99">
        <v>263</v>
      </c>
      <c r="D12" s="99">
        <v>261</v>
      </c>
      <c r="E12" s="99">
        <v>302</v>
      </c>
      <c r="F12" s="99">
        <v>339</v>
      </c>
      <c r="G12" s="99">
        <v>341</v>
      </c>
    </row>
    <row r="13" spans="1:7" x14ac:dyDescent="0.25">
      <c r="A13" s="98" t="s">
        <v>216</v>
      </c>
      <c r="B13" s="98" t="s">
        <v>217</v>
      </c>
      <c r="C13" s="99">
        <v>181</v>
      </c>
      <c r="D13" s="99">
        <v>77</v>
      </c>
      <c r="E13" s="99">
        <v>96</v>
      </c>
      <c r="F13" s="99">
        <v>70</v>
      </c>
      <c r="G13" s="99">
        <v>108</v>
      </c>
    </row>
    <row r="14" spans="1:7" x14ac:dyDescent="0.25">
      <c r="A14" s="98" t="s">
        <v>218</v>
      </c>
      <c r="B14" s="98" t="s">
        <v>219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</row>
    <row r="15" spans="1:7" x14ac:dyDescent="0.25">
      <c r="A15" s="98" t="s">
        <v>220</v>
      </c>
      <c r="B15" s="98" t="s">
        <v>221</v>
      </c>
      <c r="C15" s="99">
        <v>181</v>
      </c>
      <c r="D15" s="99">
        <v>77</v>
      </c>
      <c r="E15" s="99">
        <v>96</v>
      </c>
      <c r="F15" s="99">
        <v>70</v>
      </c>
      <c r="G15" s="99">
        <v>108</v>
      </c>
    </row>
    <row r="16" spans="1:7" x14ac:dyDescent="0.25">
      <c r="A16" s="96" t="s">
        <v>46</v>
      </c>
      <c r="B16" s="96" t="s">
        <v>222</v>
      </c>
      <c r="C16" s="100">
        <v>2565</v>
      </c>
      <c r="D16" s="100">
        <v>3278</v>
      </c>
      <c r="E16" s="100">
        <v>4441</v>
      </c>
      <c r="F16" s="100">
        <v>3873</v>
      </c>
      <c r="G16" s="100">
        <v>3849</v>
      </c>
    </row>
    <row r="17" spans="1:7" x14ac:dyDescent="0.25">
      <c r="A17" s="98" t="s">
        <v>223</v>
      </c>
      <c r="B17" s="98" t="s">
        <v>224</v>
      </c>
      <c r="C17" s="99">
        <v>31998</v>
      </c>
      <c r="D17" s="99">
        <v>32700</v>
      </c>
      <c r="E17" s="99">
        <v>32916</v>
      </c>
      <c r="F17" s="99">
        <v>33516</v>
      </c>
      <c r="G17" s="99">
        <v>34747</v>
      </c>
    </row>
    <row r="18" spans="1:7" x14ac:dyDescent="0.25">
      <c r="A18" s="98" t="s">
        <v>225</v>
      </c>
      <c r="B18" s="98" t="s">
        <v>226</v>
      </c>
      <c r="C18" s="99">
        <v>44805</v>
      </c>
      <c r="D18" s="99">
        <v>45632</v>
      </c>
      <c r="E18" s="99">
        <v>46002</v>
      </c>
      <c r="F18" s="99">
        <v>47006</v>
      </c>
      <c r="G18" s="99">
        <v>48610</v>
      </c>
    </row>
    <row r="19" spans="1:7" x14ac:dyDescent="0.25">
      <c r="A19" s="98" t="s">
        <v>227</v>
      </c>
      <c r="B19" s="98" t="s">
        <v>228</v>
      </c>
      <c r="C19" s="99">
        <v>12807</v>
      </c>
      <c r="D19" s="99">
        <v>12932</v>
      </c>
      <c r="E19" s="99">
        <v>13086</v>
      </c>
      <c r="F19" s="99">
        <v>13490</v>
      </c>
      <c r="G19" s="99">
        <v>13863</v>
      </c>
    </row>
    <row r="20" spans="1:7" x14ac:dyDescent="0.25">
      <c r="A20" s="98" t="s">
        <v>229</v>
      </c>
      <c r="B20" s="98" t="s">
        <v>230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</row>
    <row r="21" spans="1:7" x14ac:dyDescent="0.25">
      <c r="A21" s="98" t="s">
        <v>231</v>
      </c>
      <c r="B21" s="98" t="s">
        <v>232</v>
      </c>
      <c r="C21" s="99">
        <v>2166</v>
      </c>
      <c r="D21" s="99">
        <v>2279</v>
      </c>
      <c r="E21" s="99">
        <v>2436</v>
      </c>
      <c r="F21" s="99">
        <v>3142</v>
      </c>
      <c r="G21" s="99">
        <v>3316</v>
      </c>
    </row>
    <row r="22" spans="1:7" x14ac:dyDescent="0.25">
      <c r="A22" s="98" t="s">
        <v>233</v>
      </c>
      <c r="B22" s="98" t="s">
        <v>234</v>
      </c>
      <c r="C22" s="99">
        <v>0</v>
      </c>
      <c r="D22" s="99">
        <v>0</v>
      </c>
      <c r="E22" s="99">
        <v>63</v>
      </c>
      <c r="F22" s="99">
        <v>451</v>
      </c>
      <c r="G22" s="99">
        <v>502</v>
      </c>
    </row>
    <row r="23" spans="1:7" x14ac:dyDescent="0.25">
      <c r="A23" s="101" t="s">
        <v>235</v>
      </c>
      <c r="B23" s="101" t="s">
        <v>236</v>
      </c>
      <c r="C23" s="102">
        <v>0</v>
      </c>
      <c r="D23" s="102">
        <v>0</v>
      </c>
      <c r="E23" s="102">
        <v>63</v>
      </c>
      <c r="F23" s="102">
        <v>276</v>
      </c>
      <c r="G23" s="102">
        <v>319</v>
      </c>
    </row>
    <row r="24" spans="1:7" x14ac:dyDescent="0.25">
      <c r="A24" s="101" t="s">
        <v>237</v>
      </c>
      <c r="B24" s="101" t="s">
        <v>238</v>
      </c>
      <c r="C24" s="102">
        <v>0</v>
      </c>
      <c r="D24" s="102">
        <v>0</v>
      </c>
      <c r="E24" s="102">
        <v>0</v>
      </c>
      <c r="F24" s="102">
        <v>175</v>
      </c>
      <c r="G24" s="102">
        <v>183</v>
      </c>
    </row>
    <row r="25" spans="1:7" x14ac:dyDescent="0.25">
      <c r="A25" s="98" t="s">
        <v>218</v>
      </c>
      <c r="B25" s="98" t="s">
        <v>239</v>
      </c>
      <c r="C25" s="99">
        <v>0</v>
      </c>
      <c r="D25" s="99">
        <v>0</v>
      </c>
      <c r="E25" s="99">
        <v>0</v>
      </c>
      <c r="F25" s="99">
        <v>0</v>
      </c>
      <c r="G25" s="99">
        <v>0</v>
      </c>
    </row>
    <row r="26" spans="1:7" x14ac:dyDescent="0.25">
      <c r="A26" s="98" t="s">
        <v>494</v>
      </c>
      <c r="B26" s="98" t="s">
        <v>495</v>
      </c>
      <c r="C26" s="99">
        <v>13</v>
      </c>
      <c r="D26" s="99">
        <v>25</v>
      </c>
      <c r="E26" s="99">
        <v>29</v>
      </c>
      <c r="F26" s="99">
        <v>255</v>
      </c>
      <c r="G26" s="99">
        <v>164</v>
      </c>
    </row>
    <row r="27" spans="1:7" x14ac:dyDescent="0.25">
      <c r="A27" s="98" t="s">
        <v>503</v>
      </c>
      <c r="B27" s="98" t="s">
        <v>504</v>
      </c>
      <c r="C27" s="99">
        <v>1779</v>
      </c>
      <c r="D27" s="99">
        <v>1879</v>
      </c>
      <c r="E27" s="99">
        <v>1985</v>
      </c>
      <c r="F27" s="99">
        <v>2099</v>
      </c>
      <c r="G27" s="99">
        <v>2292</v>
      </c>
    </row>
    <row r="28" spans="1:7" x14ac:dyDescent="0.25">
      <c r="A28" s="98" t="s">
        <v>240</v>
      </c>
      <c r="B28" s="98" t="s">
        <v>241</v>
      </c>
      <c r="C28" s="99">
        <v>374</v>
      </c>
      <c r="D28" s="99">
        <v>375</v>
      </c>
      <c r="E28" s="99">
        <v>359</v>
      </c>
      <c r="F28" s="99">
        <v>337</v>
      </c>
      <c r="G28" s="99">
        <v>358</v>
      </c>
    </row>
    <row r="29" spans="1:7" x14ac:dyDescent="0.25">
      <c r="A29" s="96" t="s">
        <v>242</v>
      </c>
      <c r="B29" s="96" t="s">
        <v>243</v>
      </c>
      <c r="C29" s="100">
        <v>34164</v>
      </c>
      <c r="D29" s="100">
        <v>34979</v>
      </c>
      <c r="E29" s="100">
        <v>35352</v>
      </c>
      <c r="F29" s="100">
        <v>36658</v>
      </c>
      <c r="G29" s="100">
        <v>38063</v>
      </c>
    </row>
    <row r="30" spans="1:7" x14ac:dyDescent="0.25">
      <c r="A30" s="96" t="s">
        <v>47</v>
      </c>
      <c r="B30" s="96" t="s">
        <v>244</v>
      </c>
      <c r="C30" s="100">
        <v>36729</v>
      </c>
      <c r="D30" s="100">
        <v>38257</v>
      </c>
      <c r="E30" s="100">
        <v>39793</v>
      </c>
      <c r="F30" s="100">
        <v>40531</v>
      </c>
      <c r="G30" s="100">
        <v>41912</v>
      </c>
    </row>
    <row r="31" spans="1:7" x14ac:dyDescent="0.25">
      <c r="A31" s="96"/>
      <c r="B31" s="97"/>
      <c r="C31" s="97"/>
      <c r="D31" s="97"/>
      <c r="E31" s="97"/>
      <c r="F31" s="97"/>
      <c r="G31" s="97"/>
    </row>
    <row r="32" spans="1:7" x14ac:dyDescent="0.25">
      <c r="A32" s="96" t="s">
        <v>52</v>
      </c>
      <c r="B32" s="97"/>
      <c r="C32" s="97"/>
      <c r="D32" s="97"/>
      <c r="E32" s="97"/>
      <c r="F32" s="97"/>
      <c r="G32" s="97"/>
    </row>
    <row r="33" spans="1:7" x14ac:dyDescent="0.25">
      <c r="A33" s="98" t="s">
        <v>245</v>
      </c>
      <c r="B33" s="98" t="s">
        <v>246</v>
      </c>
      <c r="C33" s="99">
        <v>1718</v>
      </c>
      <c r="D33" s="99">
        <v>1701</v>
      </c>
      <c r="E33" s="99">
        <v>1454</v>
      </c>
      <c r="F33" s="99">
        <v>1845</v>
      </c>
      <c r="G33" s="99">
        <v>2092</v>
      </c>
    </row>
    <row r="34" spans="1:7" x14ac:dyDescent="0.25">
      <c r="A34" s="98" t="s">
        <v>247</v>
      </c>
      <c r="B34" s="98" t="s">
        <v>248</v>
      </c>
      <c r="C34" s="99">
        <v>949</v>
      </c>
      <c r="D34" s="99">
        <v>1043</v>
      </c>
      <c r="E34" s="99">
        <v>809</v>
      </c>
      <c r="F34" s="99">
        <v>963</v>
      </c>
      <c r="G34" s="99">
        <v>1130</v>
      </c>
    </row>
    <row r="35" spans="1:7" x14ac:dyDescent="0.25">
      <c r="A35" s="98" t="s">
        <v>249</v>
      </c>
      <c r="B35" s="98" t="s">
        <v>250</v>
      </c>
      <c r="C35" s="99">
        <v>106</v>
      </c>
      <c r="D35" s="99">
        <v>69</v>
      </c>
      <c r="E35" s="99">
        <v>73</v>
      </c>
      <c r="F35" s="99">
        <v>134</v>
      </c>
      <c r="G35" s="99">
        <v>111</v>
      </c>
    </row>
    <row r="36" spans="1:7" x14ac:dyDescent="0.25">
      <c r="A36" s="98" t="s">
        <v>251</v>
      </c>
      <c r="B36" s="98" t="s">
        <v>252</v>
      </c>
      <c r="C36" s="99">
        <v>0</v>
      </c>
      <c r="D36" s="99">
        <v>0</v>
      </c>
      <c r="E36" s="99">
        <v>0</v>
      </c>
      <c r="F36" s="99">
        <v>0</v>
      </c>
      <c r="G36" s="99">
        <v>0</v>
      </c>
    </row>
    <row r="37" spans="1:7" x14ac:dyDescent="0.25">
      <c r="A37" s="98" t="s">
        <v>253</v>
      </c>
      <c r="B37" s="98" t="s">
        <v>254</v>
      </c>
      <c r="C37" s="99">
        <v>663</v>
      </c>
      <c r="D37" s="99">
        <v>589</v>
      </c>
      <c r="E37" s="99">
        <v>572</v>
      </c>
      <c r="F37" s="99">
        <v>748</v>
      </c>
      <c r="G37" s="99">
        <v>851</v>
      </c>
    </row>
    <row r="38" spans="1:7" x14ac:dyDescent="0.25">
      <c r="A38" s="98" t="s">
        <v>255</v>
      </c>
      <c r="B38" s="98" t="s">
        <v>256</v>
      </c>
      <c r="C38" s="99">
        <v>18</v>
      </c>
      <c r="D38" s="99">
        <v>302</v>
      </c>
      <c r="E38" s="99">
        <v>446</v>
      </c>
      <c r="F38" s="99">
        <v>245</v>
      </c>
      <c r="G38" s="99">
        <v>220</v>
      </c>
    </row>
    <row r="39" spans="1:7" x14ac:dyDescent="0.25">
      <c r="A39" s="98" t="s">
        <v>257</v>
      </c>
      <c r="B39" s="98" t="s">
        <v>258</v>
      </c>
      <c r="C39" s="99">
        <v>0</v>
      </c>
      <c r="D39" s="99">
        <v>0</v>
      </c>
      <c r="E39" s="99">
        <v>0</v>
      </c>
      <c r="F39" s="99">
        <v>0</v>
      </c>
      <c r="G39" s="99">
        <v>0</v>
      </c>
    </row>
    <row r="40" spans="1:7" x14ac:dyDescent="0.25">
      <c r="A40" s="98" t="s">
        <v>259</v>
      </c>
      <c r="B40" s="98" t="s">
        <v>260</v>
      </c>
      <c r="C40" s="99">
        <v>0</v>
      </c>
      <c r="D40" s="99">
        <v>57</v>
      </c>
      <c r="E40" s="99">
        <v>45</v>
      </c>
      <c r="F40" s="99">
        <v>64</v>
      </c>
      <c r="G40" s="99">
        <v>69</v>
      </c>
    </row>
    <row r="41" spans="1:7" x14ac:dyDescent="0.25">
      <c r="A41" s="101" t="s">
        <v>261</v>
      </c>
      <c r="B41" s="101" t="s">
        <v>262</v>
      </c>
      <c r="C41" s="102">
        <v>0</v>
      </c>
      <c r="D41" s="102">
        <v>0</v>
      </c>
      <c r="E41" s="102" t="s">
        <v>201</v>
      </c>
      <c r="F41" s="102" t="s">
        <v>201</v>
      </c>
      <c r="G41" s="102" t="s">
        <v>201</v>
      </c>
    </row>
    <row r="42" spans="1:7" x14ac:dyDescent="0.25">
      <c r="A42" s="101" t="s">
        <v>263</v>
      </c>
      <c r="B42" s="101" t="s">
        <v>264</v>
      </c>
      <c r="C42" s="102" t="s">
        <v>201</v>
      </c>
      <c r="D42" s="102">
        <v>57</v>
      </c>
      <c r="E42" s="102">
        <v>45</v>
      </c>
      <c r="F42" s="102">
        <v>64</v>
      </c>
      <c r="G42" s="102">
        <v>69</v>
      </c>
    </row>
    <row r="43" spans="1:7" x14ac:dyDescent="0.25">
      <c r="A43" s="98" t="s">
        <v>265</v>
      </c>
      <c r="B43" s="98" t="s">
        <v>266</v>
      </c>
      <c r="C43" s="99">
        <v>18</v>
      </c>
      <c r="D43" s="99">
        <v>245</v>
      </c>
      <c r="E43" s="99">
        <v>401</v>
      </c>
      <c r="F43" s="99">
        <v>181</v>
      </c>
      <c r="G43" s="99">
        <v>151</v>
      </c>
    </row>
    <row r="44" spans="1:7" x14ac:dyDescent="0.25">
      <c r="A44" s="98" t="s">
        <v>267</v>
      </c>
      <c r="B44" s="98" t="s">
        <v>268</v>
      </c>
      <c r="C44" s="99">
        <v>179</v>
      </c>
      <c r="D44" s="99">
        <v>148</v>
      </c>
      <c r="E44" s="99">
        <v>119</v>
      </c>
      <c r="F44" s="99">
        <v>143</v>
      </c>
      <c r="G44" s="99">
        <v>159</v>
      </c>
    </row>
    <row r="45" spans="1:7" x14ac:dyDescent="0.25">
      <c r="A45" s="98" t="s">
        <v>269</v>
      </c>
      <c r="B45" s="98" t="s">
        <v>270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</row>
    <row r="46" spans="1:7" x14ac:dyDescent="0.25">
      <c r="A46" s="98" t="s">
        <v>271</v>
      </c>
      <c r="B46" s="98" t="s">
        <v>272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</row>
    <row r="47" spans="1:7" x14ac:dyDescent="0.25">
      <c r="A47" s="98" t="s">
        <v>273</v>
      </c>
      <c r="B47" s="98" t="s">
        <v>274</v>
      </c>
      <c r="C47" s="99">
        <v>179</v>
      </c>
      <c r="D47" s="99">
        <v>148</v>
      </c>
      <c r="E47" s="99">
        <v>119</v>
      </c>
      <c r="F47" s="99">
        <v>143</v>
      </c>
      <c r="G47" s="99">
        <v>159</v>
      </c>
    </row>
    <row r="48" spans="1:7" x14ac:dyDescent="0.25">
      <c r="A48" s="96" t="s">
        <v>48</v>
      </c>
      <c r="B48" s="96" t="s">
        <v>275</v>
      </c>
      <c r="C48" s="100">
        <v>1915</v>
      </c>
      <c r="D48" s="100">
        <v>2151</v>
      </c>
      <c r="E48" s="100">
        <v>2019</v>
      </c>
      <c r="F48" s="100">
        <v>2233</v>
      </c>
      <c r="G48" s="100">
        <v>2471</v>
      </c>
    </row>
    <row r="49" spans="1:7" x14ac:dyDescent="0.25">
      <c r="A49" s="98" t="s">
        <v>276</v>
      </c>
      <c r="B49" s="98" t="s">
        <v>277</v>
      </c>
      <c r="C49" s="99">
        <v>14739</v>
      </c>
      <c r="D49" s="99">
        <v>16486</v>
      </c>
      <c r="E49" s="99">
        <v>16759</v>
      </c>
      <c r="F49" s="99">
        <v>16663</v>
      </c>
      <c r="G49" s="99">
        <v>18384</v>
      </c>
    </row>
    <row r="50" spans="1:7" x14ac:dyDescent="0.25">
      <c r="A50" s="98" t="s">
        <v>278</v>
      </c>
      <c r="B50" s="98" t="s">
        <v>279</v>
      </c>
      <c r="C50" s="99">
        <v>14735</v>
      </c>
      <c r="D50" s="99">
        <v>15989</v>
      </c>
      <c r="E50" s="99">
        <v>16301</v>
      </c>
      <c r="F50" s="99">
        <v>16138</v>
      </c>
      <c r="G50" s="99">
        <v>17867</v>
      </c>
    </row>
    <row r="51" spans="1:7" x14ac:dyDescent="0.25">
      <c r="A51" s="98" t="s">
        <v>280</v>
      </c>
      <c r="B51" s="98" t="s">
        <v>281</v>
      </c>
      <c r="C51" s="99">
        <v>4</v>
      </c>
      <c r="D51" s="99">
        <v>497</v>
      </c>
      <c r="E51" s="99">
        <v>458</v>
      </c>
      <c r="F51" s="99">
        <v>525</v>
      </c>
      <c r="G51" s="99">
        <v>517</v>
      </c>
    </row>
    <row r="52" spans="1:7" x14ac:dyDescent="0.25">
      <c r="A52" s="101" t="s">
        <v>282</v>
      </c>
      <c r="B52" s="101" t="s">
        <v>283</v>
      </c>
      <c r="C52" s="102">
        <v>4</v>
      </c>
      <c r="D52" s="102">
        <v>4</v>
      </c>
      <c r="E52" s="102">
        <v>3</v>
      </c>
      <c r="F52" s="102">
        <v>47</v>
      </c>
      <c r="G52" s="102">
        <v>29</v>
      </c>
    </row>
    <row r="53" spans="1:7" x14ac:dyDescent="0.25">
      <c r="A53" s="101" t="s">
        <v>284</v>
      </c>
      <c r="B53" s="101" t="s">
        <v>285</v>
      </c>
      <c r="C53" s="102" t="s">
        <v>201</v>
      </c>
      <c r="D53" s="102">
        <v>493</v>
      </c>
      <c r="E53" s="102">
        <v>455</v>
      </c>
      <c r="F53" s="102">
        <v>478</v>
      </c>
      <c r="G53" s="102">
        <v>488</v>
      </c>
    </row>
    <row r="54" spans="1:7" x14ac:dyDescent="0.25">
      <c r="A54" s="98" t="s">
        <v>286</v>
      </c>
      <c r="B54" s="98" t="s">
        <v>287</v>
      </c>
      <c r="C54" s="99">
        <v>7495</v>
      </c>
      <c r="D54" s="99">
        <v>7757</v>
      </c>
      <c r="E54" s="99">
        <v>7905</v>
      </c>
      <c r="F54" s="99">
        <v>8135</v>
      </c>
      <c r="G54" s="99">
        <v>8432</v>
      </c>
    </row>
    <row r="55" spans="1:7" x14ac:dyDescent="0.25">
      <c r="A55" s="98" t="s">
        <v>288</v>
      </c>
      <c r="B55" s="98" t="s">
        <v>289</v>
      </c>
      <c r="C55" s="99">
        <v>211</v>
      </c>
      <c r="D55" s="99">
        <v>205</v>
      </c>
      <c r="E55" s="99">
        <v>224</v>
      </c>
      <c r="F55" s="99">
        <v>250</v>
      </c>
      <c r="G55" s="99">
        <v>292</v>
      </c>
    </row>
    <row r="56" spans="1:7" x14ac:dyDescent="0.25">
      <c r="A56" s="98" t="s">
        <v>290</v>
      </c>
      <c r="B56" s="98" t="s">
        <v>291</v>
      </c>
      <c r="C56" s="99">
        <v>408</v>
      </c>
      <c r="D56" s="99">
        <v>402</v>
      </c>
      <c r="E56" s="99">
        <v>349</v>
      </c>
      <c r="F56" s="99">
        <v>244</v>
      </c>
      <c r="G56" s="99">
        <v>188</v>
      </c>
    </row>
    <row r="57" spans="1:7" x14ac:dyDescent="0.25">
      <c r="A57" s="98" t="s">
        <v>269</v>
      </c>
      <c r="B57" s="98" t="s">
        <v>292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</row>
    <row r="58" spans="1:7" x14ac:dyDescent="0.25">
      <c r="A58" s="98" t="s">
        <v>293</v>
      </c>
      <c r="B58" s="98" t="s">
        <v>294</v>
      </c>
      <c r="C58" s="99">
        <v>6690</v>
      </c>
      <c r="D58" s="99">
        <v>6961</v>
      </c>
      <c r="E58" s="99">
        <v>7168</v>
      </c>
      <c r="F58" s="99">
        <v>7383</v>
      </c>
      <c r="G58" s="99">
        <v>7569</v>
      </c>
    </row>
    <row r="59" spans="1:7" x14ac:dyDescent="0.25">
      <c r="A59" s="98" t="s">
        <v>271</v>
      </c>
      <c r="B59" s="98" t="s">
        <v>295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</row>
    <row r="60" spans="1:7" x14ac:dyDescent="0.25">
      <c r="A60" s="98" t="s">
        <v>296</v>
      </c>
      <c r="B60" s="98" t="s">
        <v>297</v>
      </c>
      <c r="C60" s="99">
        <v>186</v>
      </c>
      <c r="D60" s="99">
        <v>189</v>
      </c>
      <c r="E60" s="99">
        <v>164</v>
      </c>
      <c r="F60" s="99">
        <v>258</v>
      </c>
      <c r="G60" s="99">
        <v>383</v>
      </c>
    </row>
    <row r="61" spans="1:7" x14ac:dyDescent="0.25">
      <c r="A61" s="96" t="s">
        <v>298</v>
      </c>
      <c r="B61" s="96" t="s">
        <v>299</v>
      </c>
      <c r="C61" s="100">
        <v>22234</v>
      </c>
      <c r="D61" s="100">
        <v>24243</v>
      </c>
      <c r="E61" s="100">
        <v>24664</v>
      </c>
      <c r="F61" s="100">
        <v>24798</v>
      </c>
      <c r="G61" s="100">
        <v>26816</v>
      </c>
    </row>
    <row r="62" spans="1:7" x14ac:dyDescent="0.25">
      <c r="A62" s="96" t="s">
        <v>50</v>
      </c>
      <c r="B62" s="96" t="s">
        <v>300</v>
      </c>
      <c r="C62" s="100">
        <v>24149</v>
      </c>
      <c r="D62" s="100">
        <v>26394</v>
      </c>
      <c r="E62" s="100">
        <v>26683</v>
      </c>
      <c r="F62" s="100">
        <v>27031</v>
      </c>
      <c r="G62" s="100">
        <v>29287</v>
      </c>
    </row>
    <row r="63" spans="1:7" x14ac:dyDescent="0.25">
      <c r="A63" s="98" t="s">
        <v>301</v>
      </c>
      <c r="B63" s="98" t="s">
        <v>302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</row>
    <row r="64" spans="1:7" x14ac:dyDescent="0.25">
      <c r="A64" s="98" t="s">
        <v>303</v>
      </c>
      <c r="B64" s="98" t="s">
        <v>304</v>
      </c>
      <c r="C64" s="99">
        <v>1067</v>
      </c>
      <c r="D64" s="99">
        <v>1119</v>
      </c>
      <c r="E64" s="99">
        <v>2440</v>
      </c>
      <c r="F64" s="99">
        <v>2268</v>
      </c>
      <c r="G64" s="99">
        <v>2640</v>
      </c>
    </row>
    <row r="65" spans="1:7" x14ac:dyDescent="0.25">
      <c r="A65" s="98" t="s">
        <v>305</v>
      </c>
      <c r="B65" s="98" t="s">
        <v>306</v>
      </c>
      <c r="C65" s="99">
        <v>818.18</v>
      </c>
      <c r="D65" s="99">
        <v>773.471</v>
      </c>
      <c r="E65" s="99">
        <v>2288</v>
      </c>
      <c r="F65" s="99">
        <v>2202</v>
      </c>
      <c r="G65" s="99">
        <v>2066</v>
      </c>
    </row>
    <row r="66" spans="1:7" x14ac:dyDescent="0.25">
      <c r="A66" s="98" t="s">
        <v>307</v>
      </c>
      <c r="B66" s="98" t="s">
        <v>308</v>
      </c>
      <c r="C66" s="99">
        <v>248.82</v>
      </c>
      <c r="D66" s="99">
        <v>345.529</v>
      </c>
      <c r="E66" s="99">
        <v>152</v>
      </c>
      <c r="F66" s="99">
        <v>66</v>
      </c>
      <c r="G66" s="99">
        <v>574</v>
      </c>
    </row>
    <row r="67" spans="1:7" x14ac:dyDescent="0.25">
      <c r="A67" s="98" t="s">
        <v>309</v>
      </c>
      <c r="B67" s="98" t="s">
        <v>310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</row>
    <row r="68" spans="1:7" x14ac:dyDescent="0.25">
      <c r="A68" s="98" t="s">
        <v>311</v>
      </c>
      <c r="B68" s="98" t="s">
        <v>312</v>
      </c>
      <c r="C68" s="99">
        <v>12157</v>
      </c>
      <c r="D68" s="99">
        <v>11404</v>
      </c>
      <c r="E68" s="99">
        <v>11259</v>
      </c>
      <c r="F68" s="99">
        <v>11630</v>
      </c>
      <c r="G68" s="99">
        <v>10363</v>
      </c>
    </row>
    <row r="69" spans="1:7" x14ac:dyDescent="0.25">
      <c r="A69" s="98" t="s">
        <v>313</v>
      </c>
      <c r="B69" s="98" t="s">
        <v>314</v>
      </c>
      <c r="C69" s="99">
        <v>-661</v>
      </c>
      <c r="D69" s="99">
        <v>-675</v>
      </c>
      <c r="E69" s="99">
        <v>-598</v>
      </c>
      <c r="F69" s="99">
        <v>-408</v>
      </c>
      <c r="G69" s="99">
        <v>-388</v>
      </c>
    </row>
    <row r="70" spans="1:7" x14ac:dyDescent="0.25">
      <c r="A70" s="96" t="s">
        <v>315</v>
      </c>
      <c r="B70" s="96" t="s">
        <v>316</v>
      </c>
      <c r="C70" s="100">
        <v>12563</v>
      </c>
      <c r="D70" s="100">
        <v>11848</v>
      </c>
      <c r="E70" s="100">
        <v>13101</v>
      </c>
      <c r="F70" s="100">
        <v>13490</v>
      </c>
      <c r="G70" s="100">
        <v>12615</v>
      </c>
    </row>
    <row r="71" spans="1:7" x14ac:dyDescent="0.25">
      <c r="A71" s="98" t="s">
        <v>317</v>
      </c>
      <c r="B71" s="98" t="s">
        <v>318</v>
      </c>
      <c r="C71" s="99">
        <v>17</v>
      </c>
      <c r="D71" s="99">
        <v>15</v>
      </c>
      <c r="E71" s="99">
        <v>9</v>
      </c>
      <c r="F71" s="99">
        <v>10</v>
      </c>
      <c r="G71" s="99">
        <v>10</v>
      </c>
    </row>
    <row r="72" spans="1:7" x14ac:dyDescent="0.25">
      <c r="A72" s="96" t="s">
        <v>51</v>
      </c>
      <c r="B72" s="96" t="s">
        <v>319</v>
      </c>
      <c r="C72" s="100">
        <v>12580</v>
      </c>
      <c r="D72" s="100">
        <v>11863</v>
      </c>
      <c r="E72" s="100">
        <v>13110</v>
      </c>
      <c r="F72" s="100">
        <v>13500</v>
      </c>
      <c r="G72" s="100">
        <v>12625</v>
      </c>
    </row>
    <row r="73" spans="1:7" x14ac:dyDescent="0.25">
      <c r="A73" s="96" t="s">
        <v>320</v>
      </c>
      <c r="B73" s="96" t="s">
        <v>321</v>
      </c>
      <c r="C73" s="100">
        <v>36729</v>
      </c>
      <c r="D73" s="100">
        <v>38257</v>
      </c>
      <c r="E73" s="100">
        <v>39793</v>
      </c>
      <c r="F73" s="100">
        <v>40531</v>
      </c>
      <c r="G73" s="100">
        <v>41912</v>
      </c>
    </row>
    <row r="74" spans="1:7" x14ac:dyDescent="0.25">
      <c r="A74" s="96"/>
      <c r="B74" s="97"/>
      <c r="C74" s="97"/>
      <c r="D74" s="97"/>
      <c r="E74" s="97"/>
      <c r="F74" s="97"/>
      <c r="G74" s="97"/>
    </row>
    <row r="75" spans="1:7" x14ac:dyDescent="0.25">
      <c r="A75" s="96" t="s">
        <v>177</v>
      </c>
      <c r="B75" s="97"/>
      <c r="C75" s="97"/>
      <c r="D75" s="97"/>
      <c r="E75" s="97"/>
      <c r="F75" s="97"/>
      <c r="G75" s="97"/>
    </row>
    <row r="76" spans="1:7" x14ac:dyDescent="0.25">
      <c r="A76" s="98" t="s">
        <v>178</v>
      </c>
      <c r="B76" s="98" t="s">
        <v>179</v>
      </c>
      <c r="C76" s="103" t="s">
        <v>180</v>
      </c>
      <c r="D76" s="103" t="s">
        <v>180</v>
      </c>
      <c r="E76" s="103" t="s">
        <v>180</v>
      </c>
      <c r="F76" s="103" t="s">
        <v>180</v>
      </c>
      <c r="G76" s="103" t="s">
        <v>180</v>
      </c>
    </row>
    <row r="77" spans="1:7" x14ac:dyDescent="0.25">
      <c r="A77" s="98" t="s">
        <v>322</v>
      </c>
      <c r="B77" s="98" t="s">
        <v>323</v>
      </c>
      <c r="C77" s="99">
        <v>2454.54</v>
      </c>
      <c r="D77" s="99">
        <v>2320.413</v>
      </c>
      <c r="E77" s="99">
        <v>6862.7610000000004</v>
      </c>
      <c r="F77" s="99">
        <v>2201.7869999999998</v>
      </c>
      <c r="G77" s="99">
        <v>2066.3670000000002</v>
      </c>
    </row>
    <row r="78" spans="1:7" x14ac:dyDescent="0.25">
      <c r="A78" s="98" t="s">
        <v>324</v>
      </c>
      <c r="B78" s="98" t="s">
        <v>325</v>
      </c>
      <c r="C78" s="99">
        <v>0</v>
      </c>
      <c r="D78" s="99">
        <v>0</v>
      </c>
      <c r="E78" s="99">
        <v>0</v>
      </c>
      <c r="F78" s="99">
        <v>0</v>
      </c>
      <c r="G78" s="99">
        <v>0</v>
      </c>
    </row>
    <row r="79" spans="1:7" x14ac:dyDescent="0.25">
      <c r="A79" s="98" t="s">
        <v>326</v>
      </c>
      <c r="B79" s="98" t="s">
        <v>327</v>
      </c>
      <c r="C79" s="99">
        <v>408</v>
      </c>
      <c r="D79" s="99">
        <v>402</v>
      </c>
      <c r="E79" s="99">
        <v>349</v>
      </c>
      <c r="F79" s="99">
        <v>244</v>
      </c>
      <c r="G79" s="99">
        <v>188</v>
      </c>
    </row>
    <row r="80" spans="1:7" x14ac:dyDescent="0.25">
      <c r="A80" s="98" t="s">
        <v>328</v>
      </c>
      <c r="B80" s="98" t="s">
        <v>329</v>
      </c>
      <c r="C80" s="99">
        <v>1556</v>
      </c>
      <c r="D80" s="99">
        <v>1444</v>
      </c>
      <c r="E80" s="99">
        <v>1369</v>
      </c>
      <c r="F80" s="99">
        <v>1390</v>
      </c>
      <c r="G80" s="99">
        <v>1386</v>
      </c>
    </row>
    <row r="81" spans="1:7" x14ac:dyDescent="0.25">
      <c r="A81" s="98" t="s">
        <v>330</v>
      </c>
      <c r="B81" s="98" t="s">
        <v>331</v>
      </c>
      <c r="C81" s="99">
        <v>4</v>
      </c>
      <c r="D81" s="99">
        <v>4</v>
      </c>
      <c r="E81" s="99">
        <v>3</v>
      </c>
      <c r="F81" s="99">
        <v>47</v>
      </c>
      <c r="G81" s="99">
        <v>29</v>
      </c>
    </row>
    <row r="82" spans="1:7" x14ac:dyDescent="0.25">
      <c r="A82" s="98" t="s">
        <v>332</v>
      </c>
      <c r="B82" s="98" t="s">
        <v>333</v>
      </c>
      <c r="C82" s="99">
        <v>3.0270000000000001</v>
      </c>
      <c r="D82" s="99">
        <v>3.5609999999999999</v>
      </c>
      <c r="E82" s="99">
        <v>4.0170000000000003</v>
      </c>
      <c r="F82" s="99">
        <v>2.0049999999999999</v>
      </c>
      <c r="G82" s="99">
        <v>1.726</v>
      </c>
    </row>
    <row r="83" spans="1:7" x14ac:dyDescent="0.25">
      <c r="A83" s="98" t="s">
        <v>334</v>
      </c>
      <c r="B83" s="98" t="s">
        <v>335</v>
      </c>
      <c r="C83" s="99">
        <v>14.019</v>
      </c>
      <c r="D83" s="99">
        <v>11.385</v>
      </c>
      <c r="E83" s="99">
        <v>12.651</v>
      </c>
      <c r="F83" s="99">
        <v>12.512</v>
      </c>
      <c r="G83" s="99">
        <v>13.4</v>
      </c>
    </row>
    <row r="84" spans="1:7" x14ac:dyDescent="0.25">
      <c r="A84" s="98" t="s">
        <v>336</v>
      </c>
      <c r="B84" s="98" t="s">
        <v>337</v>
      </c>
      <c r="C84" s="99">
        <v>13646</v>
      </c>
      <c r="D84" s="99">
        <v>14834</v>
      </c>
      <c r="E84" s="99">
        <v>14074</v>
      </c>
      <c r="F84" s="99">
        <v>14592</v>
      </c>
      <c r="G84" s="99">
        <v>16517</v>
      </c>
    </row>
    <row r="85" spans="1:7" x14ac:dyDescent="0.25">
      <c r="A85" s="98" t="s">
        <v>338</v>
      </c>
      <c r="B85" s="98" t="s">
        <v>339</v>
      </c>
      <c r="C85" s="104">
        <v>108.4738</v>
      </c>
      <c r="D85" s="104">
        <v>125.04430000000001</v>
      </c>
      <c r="E85" s="104">
        <v>107.3532</v>
      </c>
      <c r="F85" s="104">
        <v>108.0889</v>
      </c>
      <c r="G85" s="104">
        <v>130.82769999999999</v>
      </c>
    </row>
    <row r="86" spans="1:7" x14ac:dyDescent="0.25">
      <c r="A86" s="98" t="s">
        <v>340</v>
      </c>
      <c r="B86" s="98" t="s">
        <v>341</v>
      </c>
      <c r="C86" s="104">
        <v>34.204599999999999</v>
      </c>
      <c r="D86" s="104">
        <v>30.9695</v>
      </c>
      <c r="E86" s="104">
        <v>32.816499999999998</v>
      </c>
      <c r="F86" s="104">
        <v>32.532400000000003</v>
      </c>
      <c r="G86" s="104">
        <v>29.2514</v>
      </c>
    </row>
    <row r="87" spans="1:7" x14ac:dyDescent="0.25">
      <c r="A87" s="98" t="s">
        <v>49</v>
      </c>
      <c r="B87" s="98" t="s">
        <v>342</v>
      </c>
      <c r="C87" s="104">
        <v>1.3393999999999999</v>
      </c>
      <c r="D87" s="104">
        <v>1.5239</v>
      </c>
      <c r="E87" s="104">
        <v>2.1996000000000002</v>
      </c>
      <c r="F87" s="104">
        <v>1.7343999999999999</v>
      </c>
      <c r="G87" s="104">
        <v>1.5577000000000001</v>
      </c>
    </row>
    <row r="88" spans="1:7" x14ac:dyDescent="0.25">
      <c r="A88" s="98" t="s">
        <v>343</v>
      </c>
      <c r="B88" s="98" t="s">
        <v>344</v>
      </c>
      <c r="C88" s="104">
        <v>22500</v>
      </c>
      <c r="D88" s="104">
        <v>21000</v>
      </c>
      <c r="E88" s="104">
        <v>19282</v>
      </c>
      <c r="F88" s="104">
        <v>20919</v>
      </c>
      <c r="G88" s="104">
        <v>22542</v>
      </c>
    </row>
    <row r="89" spans="1:7" x14ac:dyDescent="0.25">
      <c r="A89" s="105" t="s">
        <v>199</v>
      </c>
      <c r="B89" s="105"/>
      <c r="C89" s="105" t="s">
        <v>200</v>
      </c>
      <c r="D89" s="105"/>
      <c r="E89" s="105"/>
      <c r="F89" s="105"/>
      <c r="G89" s="10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DD0C-883F-4B98-9ED7-E41AC5A24F17}">
  <dimension ref="A1:H68"/>
  <sheetViews>
    <sheetView topLeftCell="A33" zoomScale="80" zoomScaleNormal="80" workbookViewId="0">
      <selection activeCell="C53" sqref="C53"/>
    </sheetView>
  </sheetViews>
  <sheetFormatPr defaultColWidth="8.85546875" defaultRowHeight="15" x14ac:dyDescent="0.25"/>
  <cols>
    <col min="1" max="1" width="52.7109375" bestFit="1" customWidth="1"/>
  </cols>
  <sheetData>
    <row r="1" spans="1:8" ht="20.25" x14ac:dyDescent="0.25">
      <c r="A1" s="183" t="s">
        <v>502</v>
      </c>
      <c r="B1" s="183"/>
      <c r="C1" s="183"/>
      <c r="D1" s="183"/>
      <c r="E1" s="183"/>
      <c r="F1" s="183"/>
      <c r="G1" s="183"/>
      <c r="H1" s="183"/>
    </row>
    <row r="2" spans="1:8" x14ac:dyDescent="0.25">
      <c r="A2" s="184"/>
      <c r="B2" s="184"/>
      <c r="C2" s="184"/>
      <c r="D2" s="184"/>
      <c r="E2" s="184"/>
      <c r="F2" s="184"/>
      <c r="G2" s="184"/>
      <c r="H2" s="184"/>
    </row>
    <row r="3" spans="1:8" x14ac:dyDescent="0.25">
      <c r="A3" s="185" t="s">
        <v>75</v>
      </c>
      <c r="B3" s="185"/>
      <c r="C3" s="186" t="s">
        <v>76</v>
      </c>
      <c r="D3" s="186" t="s">
        <v>77</v>
      </c>
      <c r="E3" s="186" t="s">
        <v>78</v>
      </c>
      <c r="F3" s="186" t="s">
        <v>79</v>
      </c>
      <c r="G3" s="186" t="s">
        <v>80</v>
      </c>
      <c r="H3" s="186" t="s">
        <v>81</v>
      </c>
    </row>
    <row r="4" spans="1:8" x14ac:dyDescent="0.25">
      <c r="A4" s="187" t="s">
        <v>84</v>
      </c>
      <c r="B4" s="187"/>
      <c r="C4" s="188" t="s">
        <v>85</v>
      </c>
      <c r="D4" s="188" t="s">
        <v>86</v>
      </c>
      <c r="E4" s="188" t="s">
        <v>87</v>
      </c>
      <c r="F4" s="188" t="s">
        <v>88</v>
      </c>
      <c r="G4" s="188" t="s">
        <v>89</v>
      </c>
      <c r="H4" s="188" t="s">
        <v>90</v>
      </c>
    </row>
    <row r="5" spans="1:8" x14ac:dyDescent="0.25">
      <c r="A5" s="96" t="s">
        <v>345</v>
      </c>
      <c r="B5" s="97"/>
      <c r="C5" s="97"/>
      <c r="D5" s="97"/>
      <c r="E5" s="97"/>
      <c r="F5" s="97"/>
      <c r="G5" s="97"/>
      <c r="H5" s="106"/>
    </row>
    <row r="6" spans="1:8" x14ac:dyDescent="0.25">
      <c r="A6" s="98" t="s">
        <v>346</v>
      </c>
      <c r="B6" s="98" t="s">
        <v>347</v>
      </c>
      <c r="C6" s="99">
        <v>3309</v>
      </c>
      <c r="D6" s="99">
        <v>3331</v>
      </c>
      <c r="E6" s="99">
        <v>2765</v>
      </c>
      <c r="F6" s="99">
        <v>3781</v>
      </c>
      <c r="G6" s="99">
        <v>4166</v>
      </c>
      <c r="H6" s="107">
        <v>3847</v>
      </c>
    </row>
    <row r="7" spans="1:8" x14ac:dyDescent="0.25">
      <c r="A7" s="98" t="s">
        <v>348</v>
      </c>
      <c r="B7" s="98" t="s">
        <v>349</v>
      </c>
      <c r="C7" s="99">
        <v>1331</v>
      </c>
      <c r="D7" s="99">
        <v>1349</v>
      </c>
      <c r="E7" s="99">
        <v>1383</v>
      </c>
      <c r="F7" s="99">
        <v>1420</v>
      </c>
      <c r="G7" s="99">
        <v>1500</v>
      </c>
      <c r="H7" s="107">
        <v>1587</v>
      </c>
    </row>
    <row r="8" spans="1:8" x14ac:dyDescent="0.25">
      <c r="A8" s="98" t="s">
        <v>350</v>
      </c>
      <c r="B8" s="98" t="s">
        <v>351</v>
      </c>
      <c r="C8" s="99">
        <v>-7</v>
      </c>
      <c r="D8" s="99">
        <v>53</v>
      </c>
      <c r="E8" s="99">
        <v>113</v>
      </c>
      <c r="F8" s="99">
        <v>-275</v>
      </c>
      <c r="G8" s="99">
        <v>-138</v>
      </c>
      <c r="H8" s="107">
        <v>126</v>
      </c>
    </row>
    <row r="9" spans="1:8" x14ac:dyDescent="0.25">
      <c r="A9" s="98" t="s">
        <v>352</v>
      </c>
      <c r="B9" s="98" t="s">
        <v>353</v>
      </c>
      <c r="C9" s="99">
        <v>279</v>
      </c>
      <c r="D9" s="99">
        <v>273</v>
      </c>
      <c r="E9" s="99">
        <v>180</v>
      </c>
      <c r="F9" s="99">
        <v>167</v>
      </c>
      <c r="G9" s="99">
        <v>117</v>
      </c>
      <c r="H9" s="107">
        <v>103</v>
      </c>
    </row>
    <row r="10" spans="1:8" x14ac:dyDescent="0.25">
      <c r="A10" s="98" t="s">
        <v>354</v>
      </c>
      <c r="B10" s="98" t="s">
        <v>355</v>
      </c>
      <c r="C10" s="99">
        <v>-286</v>
      </c>
      <c r="D10" s="99">
        <v>-220</v>
      </c>
      <c r="E10" s="99">
        <v>-67</v>
      </c>
      <c r="F10" s="99">
        <v>-442</v>
      </c>
      <c r="G10" s="99">
        <v>-255</v>
      </c>
      <c r="H10" s="107">
        <v>23</v>
      </c>
    </row>
    <row r="11" spans="1:8" x14ac:dyDescent="0.25">
      <c r="A11" s="98" t="s">
        <v>356</v>
      </c>
      <c r="B11" s="98" t="s">
        <v>357</v>
      </c>
      <c r="C11" s="99">
        <v>8</v>
      </c>
      <c r="D11" s="99">
        <v>117</v>
      </c>
      <c r="E11" s="99">
        <v>2</v>
      </c>
      <c r="F11" s="99">
        <v>173</v>
      </c>
      <c r="G11" s="99">
        <v>91</v>
      </c>
      <c r="H11" s="107">
        <v>-147</v>
      </c>
    </row>
    <row r="12" spans="1:8" x14ac:dyDescent="0.25">
      <c r="A12" s="98" t="s">
        <v>358</v>
      </c>
      <c r="B12" s="98" t="s">
        <v>359</v>
      </c>
      <c r="C12" s="99">
        <v>-46</v>
      </c>
      <c r="D12" s="99">
        <v>45</v>
      </c>
      <c r="E12" s="99">
        <v>83</v>
      </c>
      <c r="F12" s="99">
        <v>-141</v>
      </c>
      <c r="G12" s="99">
        <v>-101</v>
      </c>
      <c r="H12" s="107">
        <v>-23</v>
      </c>
    </row>
    <row r="13" spans="1:8" x14ac:dyDescent="0.25">
      <c r="A13" s="98" t="s">
        <v>360</v>
      </c>
      <c r="B13" s="98" t="s">
        <v>361</v>
      </c>
      <c r="C13" s="99">
        <v>0</v>
      </c>
      <c r="D13" s="99">
        <v>0</v>
      </c>
      <c r="E13" s="99">
        <v>0</v>
      </c>
      <c r="F13" s="99">
        <v>0</v>
      </c>
      <c r="G13" s="99">
        <v>0</v>
      </c>
      <c r="H13" s="107">
        <v>0</v>
      </c>
    </row>
    <row r="14" spans="1:8" x14ac:dyDescent="0.25">
      <c r="A14" s="98" t="s">
        <v>505</v>
      </c>
      <c r="B14" s="98" t="s">
        <v>506</v>
      </c>
      <c r="C14" s="99">
        <v>104</v>
      </c>
      <c r="D14" s="99">
        <v>98</v>
      </c>
      <c r="E14" s="99">
        <v>-20</v>
      </c>
      <c r="F14" s="99">
        <v>128</v>
      </c>
      <c r="G14" s="99">
        <v>140</v>
      </c>
      <c r="H14" s="107">
        <v>26</v>
      </c>
    </row>
    <row r="15" spans="1:8" x14ac:dyDescent="0.25">
      <c r="A15" s="98" t="s">
        <v>362</v>
      </c>
      <c r="B15" s="98" t="s">
        <v>363</v>
      </c>
      <c r="C15" s="99">
        <v>-50</v>
      </c>
      <c r="D15" s="99">
        <v>-26</v>
      </c>
      <c r="E15" s="99">
        <v>-61</v>
      </c>
      <c r="F15" s="99">
        <v>186</v>
      </c>
      <c r="G15" s="99">
        <v>52</v>
      </c>
      <c r="H15" s="107">
        <v>-150</v>
      </c>
    </row>
    <row r="16" spans="1:8" x14ac:dyDescent="0.25">
      <c r="A16" s="98" t="s">
        <v>364</v>
      </c>
      <c r="B16" s="98" t="s">
        <v>365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107">
        <v>0</v>
      </c>
    </row>
    <row r="17" spans="1:8" x14ac:dyDescent="0.25">
      <c r="A17" s="96" t="s">
        <v>345</v>
      </c>
      <c r="B17" s="96" t="s">
        <v>366</v>
      </c>
      <c r="C17" s="100">
        <v>4641</v>
      </c>
      <c r="D17" s="100">
        <v>4850</v>
      </c>
      <c r="E17" s="100">
        <v>4263</v>
      </c>
      <c r="F17" s="100">
        <v>5099</v>
      </c>
      <c r="G17" s="100">
        <v>5619</v>
      </c>
      <c r="H17" s="108">
        <v>5413</v>
      </c>
    </row>
    <row r="18" spans="1:8" x14ac:dyDescent="0.25">
      <c r="A18" s="96"/>
      <c r="B18" s="97"/>
      <c r="C18" s="97"/>
      <c r="D18" s="97"/>
      <c r="E18" s="97"/>
      <c r="F18" s="97"/>
      <c r="G18" s="97"/>
      <c r="H18" s="106"/>
    </row>
    <row r="19" spans="1:8" x14ac:dyDescent="0.25">
      <c r="A19" s="96" t="s">
        <v>367</v>
      </c>
      <c r="B19" s="97"/>
      <c r="C19" s="97"/>
      <c r="D19" s="97"/>
      <c r="E19" s="97"/>
      <c r="F19" s="97"/>
      <c r="G19" s="97"/>
      <c r="H19" s="106"/>
    </row>
    <row r="20" spans="1:8" x14ac:dyDescent="0.25">
      <c r="A20" s="98" t="s">
        <v>368</v>
      </c>
      <c r="B20" s="98" t="s">
        <v>369</v>
      </c>
      <c r="C20" s="99">
        <v>-1426</v>
      </c>
      <c r="D20" s="99">
        <v>-1403</v>
      </c>
      <c r="E20" s="99">
        <v>-1570</v>
      </c>
      <c r="F20" s="99">
        <v>-1262</v>
      </c>
      <c r="G20" s="99">
        <v>-1887</v>
      </c>
      <c r="H20" s="107">
        <v>-2056</v>
      </c>
    </row>
    <row r="21" spans="1:8" x14ac:dyDescent="0.25">
      <c r="A21" s="98" t="s">
        <v>370</v>
      </c>
      <c r="B21" s="98" t="s">
        <v>371</v>
      </c>
      <c r="C21" s="99">
        <v>319</v>
      </c>
      <c r="D21" s="99">
        <v>254</v>
      </c>
      <c r="E21" s="99">
        <v>56</v>
      </c>
      <c r="F21" s="99">
        <v>529</v>
      </c>
      <c r="G21" s="99">
        <v>246</v>
      </c>
      <c r="H21" s="107">
        <v>230</v>
      </c>
    </row>
    <row r="22" spans="1:8" x14ac:dyDescent="0.25">
      <c r="A22" s="101" t="s">
        <v>372</v>
      </c>
      <c r="B22" s="101" t="s">
        <v>373</v>
      </c>
      <c r="C22" s="102">
        <v>319</v>
      </c>
      <c r="D22" s="102">
        <v>254</v>
      </c>
      <c r="E22" s="102">
        <v>56</v>
      </c>
      <c r="F22" s="102">
        <v>529</v>
      </c>
      <c r="G22" s="102">
        <v>246</v>
      </c>
      <c r="H22" s="109">
        <v>230</v>
      </c>
    </row>
    <row r="23" spans="1:8" x14ac:dyDescent="0.25">
      <c r="A23" s="101" t="s">
        <v>374</v>
      </c>
      <c r="B23" s="101" t="s">
        <v>375</v>
      </c>
      <c r="C23" s="102">
        <v>0</v>
      </c>
      <c r="D23" s="102">
        <v>0</v>
      </c>
      <c r="E23" s="102">
        <v>0</v>
      </c>
      <c r="F23" s="102">
        <v>0</v>
      </c>
      <c r="G23" s="102">
        <v>0</v>
      </c>
      <c r="H23" s="109">
        <v>0</v>
      </c>
    </row>
    <row r="24" spans="1:8" x14ac:dyDescent="0.25">
      <c r="A24" s="98" t="s">
        <v>376</v>
      </c>
      <c r="B24" s="98" t="s">
        <v>377</v>
      </c>
      <c r="C24" s="99">
        <v>-1745</v>
      </c>
      <c r="D24" s="99">
        <v>-1657</v>
      </c>
      <c r="E24" s="99">
        <v>-1626</v>
      </c>
      <c r="F24" s="99">
        <v>-1791</v>
      </c>
      <c r="G24" s="99">
        <v>-2133</v>
      </c>
      <c r="H24" s="107">
        <v>-2286</v>
      </c>
    </row>
    <row r="25" spans="1:8" x14ac:dyDescent="0.25">
      <c r="A25" s="101" t="s">
        <v>378</v>
      </c>
      <c r="B25" s="101" t="s">
        <v>379</v>
      </c>
      <c r="C25" s="102">
        <v>-1745</v>
      </c>
      <c r="D25" s="102">
        <v>-1657</v>
      </c>
      <c r="E25" s="102">
        <v>-1626</v>
      </c>
      <c r="F25" s="102">
        <v>-1791</v>
      </c>
      <c r="G25" s="102">
        <v>-2133</v>
      </c>
      <c r="H25" s="109">
        <v>-2286</v>
      </c>
    </row>
    <row r="26" spans="1:8" x14ac:dyDescent="0.25">
      <c r="A26" s="101" t="s">
        <v>380</v>
      </c>
      <c r="B26" s="101" t="s">
        <v>381</v>
      </c>
      <c r="C26" s="102">
        <v>0</v>
      </c>
      <c r="D26" s="102">
        <v>0</v>
      </c>
      <c r="E26" s="102">
        <v>0</v>
      </c>
      <c r="F26" s="102">
        <v>0</v>
      </c>
      <c r="G26" s="102">
        <v>0</v>
      </c>
      <c r="H26" s="109">
        <v>0</v>
      </c>
    </row>
    <row r="27" spans="1:8" x14ac:dyDescent="0.25">
      <c r="A27" s="98" t="s">
        <v>382</v>
      </c>
      <c r="B27" s="98" t="s">
        <v>383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107">
        <v>0</v>
      </c>
    </row>
    <row r="28" spans="1:8" x14ac:dyDescent="0.25">
      <c r="A28" s="98" t="s">
        <v>384</v>
      </c>
      <c r="B28" s="98" t="s">
        <v>385</v>
      </c>
      <c r="C28" s="99">
        <v>0</v>
      </c>
      <c r="D28" s="99">
        <v>0</v>
      </c>
      <c r="E28" s="99">
        <v>0</v>
      </c>
      <c r="F28" s="99">
        <v>0</v>
      </c>
      <c r="G28" s="99">
        <v>0</v>
      </c>
      <c r="H28" s="107">
        <v>0</v>
      </c>
    </row>
    <row r="29" spans="1:8" x14ac:dyDescent="0.25">
      <c r="A29" s="98" t="s">
        <v>386</v>
      </c>
      <c r="B29" s="98" t="s">
        <v>387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107">
        <v>0</v>
      </c>
    </row>
    <row r="30" spans="1:8" x14ac:dyDescent="0.25">
      <c r="A30" s="98" t="s">
        <v>388</v>
      </c>
      <c r="B30" s="98" t="s">
        <v>389</v>
      </c>
      <c r="C30" s="99">
        <v>0</v>
      </c>
      <c r="D30" s="99">
        <v>0</v>
      </c>
      <c r="E30" s="99">
        <v>0</v>
      </c>
      <c r="F30" s="99">
        <v>-541</v>
      </c>
      <c r="G30" s="99">
        <v>-227</v>
      </c>
      <c r="H30" s="107">
        <v>-35</v>
      </c>
    </row>
    <row r="31" spans="1:8" x14ac:dyDescent="0.25">
      <c r="A31" s="98" t="s">
        <v>390</v>
      </c>
      <c r="B31" s="98" t="s">
        <v>391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107">
        <v>0</v>
      </c>
    </row>
    <row r="32" spans="1:8" x14ac:dyDescent="0.25">
      <c r="A32" s="98" t="s">
        <v>392</v>
      </c>
      <c r="B32" s="98" t="s">
        <v>393</v>
      </c>
      <c r="C32" s="99">
        <v>0</v>
      </c>
      <c r="D32" s="99">
        <v>0</v>
      </c>
      <c r="E32" s="99">
        <v>0</v>
      </c>
      <c r="F32" s="99">
        <v>-541</v>
      </c>
      <c r="G32" s="99">
        <v>-227</v>
      </c>
      <c r="H32" s="107">
        <v>-35</v>
      </c>
    </row>
    <row r="33" spans="1:8" x14ac:dyDescent="0.25">
      <c r="A33" s="98" t="s">
        <v>394</v>
      </c>
      <c r="B33" s="98" t="s">
        <v>395</v>
      </c>
      <c r="C33" s="99">
        <v>0</v>
      </c>
      <c r="D33" s="99">
        <v>0</v>
      </c>
      <c r="E33" s="99">
        <v>0</v>
      </c>
      <c r="F33" s="99">
        <v>0</v>
      </c>
      <c r="G33" s="99">
        <v>0</v>
      </c>
      <c r="H33" s="107">
        <v>0</v>
      </c>
    </row>
    <row r="34" spans="1:8" x14ac:dyDescent="0.25">
      <c r="A34" s="98" t="s">
        <v>396</v>
      </c>
      <c r="B34" s="98" t="s">
        <v>397</v>
      </c>
      <c r="C34" s="99">
        <v>-258</v>
      </c>
      <c r="D34" s="99">
        <v>-699</v>
      </c>
      <c r="E34" s="99">
        <v>921</v>
      </c>
      <c r="F34" s="99">
        <v>-74</v>
      </c>
      <c r="G34" s="99">
        <v>-17</v>
      </c>
      <c r="H34" s="107">
        <v>49</v>
      </c>
    </row>
    <row r="35" spans="1:8" x14ac:dyDescent="0.25">
      <c r="A35" s="98" t="s">
        <v>364</v>
      </c>
      <c r="B35" s="98" t="s">
        <v>398</v>
      </c>
      <c r="C35" s="99">
        <v>0</v>
      </c>
      <c r="D35" s="99">
        <v>0</v>
      </c>
      <c r="E35" s="99">
        <v>0</v>
      </c>
      <c r="F35" s="99">
        <v>0</v>
      </c>
      <c r="G35" s="99">
        <v>0</v>
      </c>
      <c r="H35" s="107">
        <v>0</v>
      </c>
    </row>
    <row r="36" spans="1:8" x14ac:dyDescent="0.25">
      <c r="A36" s="96" t="s">
        <v>367</v>
      </c>
      <c r="B36" s="96" t="s">
        <v>399</v>
      </c>
      <c r="C36" s="100">
        <v>-1684</v>
      </c>
      <c r="D36" s="100">
        <v>-2102</v>
      </c>
      <c r="E36" s="100">
        <v>-649</v>
      </c>
      <c r="F36" s="100">
        <v>-1877</v>
      </c>
      <c r="G36" s="100">
        <v>-2131</v>
      </c>
      <c r="H36" s="108">
        <v>-2042</v>
      </c>
    </row>
    <row r="37" spans="1:8" x14ac:dyDescent="0.25">
      <c r="A37" s="96"/>
      <c r="B37" s="97"/>
      <c r="C37" s="97"/>
      <c r="D37" s="97"/>
      <c r="E37" s="97"/>
      <c r="F37" s="97"/>
      <c r="G37" s="97"/>
      <c r="H37" s="106"/>
    </row>
    <row r="38" spans="1:8" x14ac:dyDescent="0.25">
      <c r="A38" s="96" t="s">
        <v>400</v>
      </c>
      <c r="B38" s="97"/>
      <c r="C38" s="97"/>
      <c r="D38" s="97"/>
      <c r="E38" s="97"/>
      <c r="F38" s="97"/>
      <c r="G38" s="97"/>
      <c r="H38" s="106"/>
    </row>
    <row r="39" spans="1:8" x14ac:dyDescent="0.25">
      <c r="A39" s="98" t="s">
        <v>401</v>
      </c>
      <c r="B39" s="98" t="s">
        <v>402</v>
      </c>
      <c r="C39" s="99">
        <v>-751</v>
      </c>
      <c r="D39" s="99">
        <v>-763</v>
      </c>
      <c r="E39" s="99">
        <v>-797</v>
      </c>
      <c r="F39" s="99">
        <v>-839</v>
      </c>
      <c r="G39" s="99">
        <v>-852</v>
      </c>
      <c r="H39" s="107">
        <v>-873</v>
      </c>
    </row>
    <row r="40" spans="1:8" x14ac:dyDescent="0.25">
      <c r="A40" s="98" t="s">
        <v>403</v>
      </c>
      <c r="B40" s="98" t="s">
        <v>404</v>
      </c>
      <c r="C40" s="99">
        <v>2981</v>
      </c>
      <c r="D40" s="99">
        <v>1482</v>
      </c>
      <c r="E40" s="99">
        <v>255</v>
      </c>
      <c r="F40" s="99">
        <v>-426</v>
      </c>
      <c r="G40" s="99">
        <v>1814</v>
      </c>
      <c r="H40" s="107">
        <v>442</v>
      </c>
    </row>
    <row r="41" spans="1:8" x14ac:dyDescent="0.25">
      <c r="A41" s="98" t="s">
        <v>507</v>
      </c>
      <c r="B41" s="98" t="s">
        <v>508</v>
      </c>
      <c r="C41" s="99">
        <v>0</v>
      </c>
      <c r="D41" s="99">
        <v>0</v>
      </c>
      <c r="E41" s="99">
        <v>0</v>
      </c>
      <c r="F41" s="99">
        <v>0</v>
      </c>
      <c r="G41" s="99">
        <v>0</v>
      </c>
      <c r="H41" s="107">
        <v>0</v>
      </c>
    </row>
    <row r="42" spans="1:8" x14ac:dyDescent="0.25">
      <c r="A42" s="98" t="s">
        <v>509</v>
      </c>
      <c r="B42" s="98" t="s">
        <v>510</v>
      </c>
      <c r="C42" s="99">
        <v>3000</v>
      </c>
      <c r="D42" s="99">
        <v>2000</v>
      </c>
      <c r="E42" s="99">
        <v>1000</v>
      </c>
      <c r="F42" s="99">
        <v>0</v>
      </c>
      <c r="G42" s="99">
        <v>2000</v>
      </c>
      <c r="H42" s="107">
        <v>600</v>
      </c>
    </row>
    <row r="43" spans="1:8" x14ac:dyDescent="0.25">
      <c r="A43" s="98" t="s">
        <v>511</v>
      </c>
      <c r="B43" s="98" t="s">
        <v>512</v>
      </c>
      <c r="C43" s="99">
        <v>-19</v>
      </c>
      <c r="D43" s="99">
        <v>-518</v>
      </c>
      <c r="E43" s="99">
        <v>-745</v>
      </c>
      <c r="F43" s="99">
        <v>-426</v>
      </c>
      <c r="G43" s="99">
        <v>-186</v>
      </c>
      <c r="H43" s="107">
        <v>-158</v>
      </c>
    </row>
    <row r="44" spans="1:8" x14ac:dyDescent="0.25">
      <c r="A44" s="98" t="s">
        <v>405</v>
      </c>
      <c r="B44" s="98" t="s">
        <v>406</v>
      </c>
      <c r="C44" s="99">
        <v>-4671</v>
      </c>
      <c r="D44" s="99">
        <v>-3373</v>
      </c>
      <c r="E44" s="99">
        <v>-867</v>
      </c>
      <c r="F44" s="99">
        <v>-2886</v>
      </c>
      <c r="G44" s="99">
        <v>-4731</v>
      </c>
      <c r="H44" s="107">
        <v>-3922</v>
      </c>
    </row>
    <row r="45" spans="1:8" x14ac:dyDescent="0.25">
      <c r="A45" s="98" t="s">
        <v>407</v>
      </c>
      <c r="B45" s="98" t="s">
        <v>408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107">
        <v>0</v>
      </c>
    </row>
    <row r="46" spans="1:8" x14ac:dyDescent="0.25">
      <c r="A46" s="98" t="s">
        <v>409</v>
      </c>
      <c r="B46" s="98" t="s">
        <v>410</v>
      </c>
      <c r="C46" s="99">
        <v>-4671</v>
      </c>
      <c r="D46" s="99">
        <v>-3373</v>
      </c>
      <c r="E46" s="99">
        <v>-867</v>
      </c>
      <c r="F46" s="99">
        <v>-2886</v>
      </c>
      <c r="G46" s="99">
        <v>-4731</v>
      </c>
      <c r="H46" s="107">
        <v>-3922</v>
      </c>
    </row>
    <row r="47" spans="1:8" x14ac:dyDescent="0.25">
      <c r="A47" s="98" t="s">
        <v>411</v>
      </c>
      <c r="B47" s="98" t="s">
        <v>412</v>
      </c>
      <c r="C47" s="99">
        <v>-59</v>
      </c>
      <c r="D47" s="99">
        <v>6</v>
      </c>
      <c r="E47" s="99">
        <v>-34</v>
      </c>
      <c r="F47" s="99">
        <v>39</v>
      </c>
      <c r="G47" s="99">
        <v>0</v>
      </c>
      <c r="H47" s="107">
        <v>31</v>
      </c>
    </row>
    <row r="48" spans="1:8" x14ac:dyDescent="0.25">
      <c r="A48" s="98" t="s">
        <v>364</v>
      </c>
      <c r="B48" s="98" t="s">
        <v>413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107">
        <v>0</v>
      </c>
    </row>
    <row r="49" spans="1:8" x14ac:dyDescent="0.25">
      <c r="A49" s="96" t="s">
        <v>400</v>
      </c>
      <c r="B49" s="96" t="s">
        <v>414</v>
      </c>
      <c r="C49" s="100">
        <v>-2500</v>
      </c>
      <c r="D49" s="100">
        <v>-2648</v>
      </c>
      <c r="E49" s="100">
        <v>-1443</v>
      </c>
      <c r="F49" s="100">
        <v>-4112</v>
      </c>
      <c r="G49" s="100">
        <v>-3769</v>
      </c>
      <c r="H49" s="108">
        <v>-4322</v>
      </c>
    </row>
    <row r="50" spans="1:8" x14ac:dyDescent="0.25">
      <c r="A50" s="96"/>
      <c r="B50" s="97"/>
      <c r="C50" s="97"/>
      <c r="D50" s="97"/>
      <c r="E50" s="97"/>
      <c r="F50" s="97"/>
      <c r="G50" s="97"/>
      <c r="H50" s="106"/>
    </row>
    <row r="51" spans="1:8" x14ac:dyDescent="0.25">
      <c r="A51" s="98" t="s">
        <v>415</v>
      </c>
      <c r="B51" s="98" t="s">
        <v>416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107">
        <v>0</v>
      </c>
    </row>
    <row r="52" spans="1:8" x14ac:dyDescent="0.25">
      <c r="A52" s="96"/>
      <c r="B52" s="97"/>
      <c r="C52" s="97"/>
      <c r="D52" s="97"/>
      <c r="E52" s="97"/>
      <c r="F52" s="97"/>
      <c r="G52" s="97"/>
      <c r="H52" s="106"/>
    </row>
    <row r="53" spans="1:8" x14ac:dyDescent="0.25">
      <c r="A53" s="96" t="s">
        <v>417</v>
      </c>
      <c r="B53" s="96" t="s">
        <v>418</v>
      </c>
      <c r="C53" s="100">
        <v>457</v>
      </c>
      <c r="D53" s="100">
        <v>100</v>
      </c>
      <c r="E53" s="100">
        <v>2171</v>
      </c>
      <c r="F53" s="100">
        <v>-890</v>
      </c>
      <c r="G53" s="100">
        <v>-281</v>
      </c>
      <c r="H53" s="108">
        <v>-951</v>
      </c>
    </row>
    <row r="54" spans="1:8" x14ac:dyDescent="0.25">
      <c r="A54" s="96"/>
      <c r="B54" s="97"/>
      <c r="C54" s="97"/>
      <c r="D54" s="97"/>
      <c r="E54" s="97"/>
      <c r="F54" s="97"/>
      <c r="G54" s="97"/>
      <c r="H54" s="106"/>
    </row>
    <row r="55" spans="1:8" x14ac:dyDescent="0.25">
      <c r="A55" s="96" t="s">
        <v>419</v>
      </c>
      <c r="B55" s="96" t="s">
        <v>420</v>
      </c>
      <c r="C55" s="100">
        <v>814</v>
      </c>
      <c r="D55" s="100">
        <v>691</v>
      </c>
      <c r="E55" s="100">
        <v>664</v>
      </c>
      <c r="F55" s="100">
        <v>931</v>
      </c>
      <c r="G55" s="100">
        <v>1167</v>
      </c>
      <c r="H55" s="108"/>
    </row>
    <row r="56" spans="1:8" x14ac:dyDescent="0.25">
      <c r="A56" s="96" t="s">
        <v>421</v>
      </c>
      <c r="B56" s="96" t="s">
        <v>422</v>
      </c>
      <c r="C56" s="100">
        <v>614</v>
      </c>
      <c r="D56" s="100">
        <v>717</v>
      </c>
      <c r="E56" s="100">
        <v>750</v>
      </c>
      <c r="F56" s="100">
        <v>718</v>
      </c>
      <c r="G56" s="100">
        <v>729</v>
      </c>
      <c r="H56" s="108"/>
    </row>
    <row r="57" spans="1:8" x14ac:dyDescent="0.25">
      <c r="A57" s="96"/>
      <c r="B57" s="97"/>
      <c r="C57" s="97"/>
      <c r="D57" s="97"/>
      <c r="E57" s="97"/>
      <c r="F57" s="97"/>
      <c r="G57" s="97"/>
      <c r="H57" s="106"/>
    </row>
    <row r="58" spans="1:8" x14ac:dyDescent="0.25">
      <c r="A58" s="96" t="s">
        <v>177</v>
      </c>
      <c r="B58" s="97"/>
      <c r="C58" s="97"/>
      <c r="D58" s="97"/>
      <c r="E58" s="97"/>
      <c r="F58" s="97"/>
      <c r="G58" s="97"/>
      <c r="H58" s="106"/>
    </row>
    <row r="59" spans="1:8" x14ac:dyDescent="0.25">
      <c r="A59" s="98" t="s">
        <v>16</v>
      </c>
      <c r="B59" s="98" t="s">
        <v>16</v>
      </c>
      <c r="C59" s="99">
        <v>6200</v>
      </c>
      <c r="D59" s="99">
        <v>6398</v>
      </c>
      <c r="E59" s="99">
        <v>5827</v>
      </c>
      <c r="F59" s="99">
        <v>7103</v>
      </c>
      <c r="G59" s="99">
        <v>7632</v>
      </c>
      <c r="H59" s="107">
        <v>7287</v>
      </c>
    </row>
    <row r="60" spans="1:8" x14ac:dyDescent="0.25">
      <c r="A60" s="98" t="s">
        <v>423</v>
      </c>
      <c r="B60" s="98" t="s">
        <v>182</v>
      </c>
      <c r="C60" s="104">
        <v>50.612200000000001</v>
      </c>
      <c r="D60" s="104">
        <v>53.598100000000002</v>
      </c>
      <c r="E60" s="104">
        <v>55.06</v>
      </c>
      <c r="F60" s="104">
        <v>56.724200000000003</v>
      </c>
      <c r="G60" s="104">
        <v>51.383600000000001</v>
      </c>
      <c r="H60" s="110">
        <v>49.547834364588297</v>
      </c>
    </row>
    <row r="61" spans="1:8" x14ac:dyDescent="0.25">
      <c r="A61" s="98" t="s">
        <v>513</v>
      </c>
      <c r="B61" s="98" t="s">
        <v>514</v>
      </c>
      <c r="C61" s="99" t="s">
        <v>201</v>
      </c>
      <c r="D61" s="99">
        <v>0</v>
      </c>
      <c r="E61" s="99">
        <v>0</v>
      </c>
      <c r="F61" s="99">
        <v>541</v>
      </c>
      <c r="G61" s="99">
        <v>227</v>
      </c>
      <c r="H61" s="107">
        <v>35</v>
      </c>
    </row>
    <row r="62" spans="1:8" x14ac:dyDescent="0.25">
      <c r="A62" s="98" t="s">
        <v>45</v>
      </c>
      <c r="B62" s="98" t="s">
        <v>424</v>
      </c>
      <c r="C62" s="99">
        <v>2896</v>
      </c>
      <c r="D62" s="99">
        <v>3193</v>
      </c>
      <c r="E62" s="99">
        <v>2637</v>
      </c>
      <c r="F62" s="99">
        <v>3308</v>
      </c>
      <c r="G62" s="99">
        <v>3486</v>
      </c>
      <c r="H62" s="107">
        <v>3127</v>
      </c>
    </row>
    <row r="63" spans="1:8" x14ac:dyDescent="0.25">
      <c r="A63" s="98" t="s">
        <v>425</v>
      </c>
      <c r="B63" s="98" t="s">
        <v>426</v>
      </c>
      <c r="C63" s="99">
        <v>3387.2757999999999</v>
      </c>
      <c r="D63" s="99">
        <v>3761.8013999999998</v>
      </c>
      <c r="E63" s="99">
        <v>3211.8029000000001</v>
      </c>
      <c r="F63" s="99">
        <v>3859.3798999999999</v>
      </c>
      <c r="G63" s="99">
        <v>4056.9589999999998</v>
      </c>
      <c r="H63" s="107">
        <v>3739.6004053390702</v>
      </c>
    </row>
    <row r="64" spans="1:8" x14ac:dyDescent="0.25">
      <c r="A64" s="98" t="s">
        <v>427</v>
      </c>
      <c r="B64" s="98" t="s">
        <v>428</v>
      </c>
      <c r="C64" s="99">
        <v>6196</v>
      </c>
      <c r="D64" s="99">
        <v>4929</v>
      </c>
      <c r="E64" s="99">
        <v>2948</v>
      </c>
      <c r="F64" s="99">
        <v>3411</v>
      </c>
      <c r="G64" s="99">
        <v>5546</v>
      </c>
      <c r="H64" s="107">
        <v>3799</v>
      </c>
    </row>
    <row r="65" spans="1:8" x14ac:dyDescent="0.25">
      <c r="A65" s="98" t="s">
        <v>429</v>
      </c>
      <c r="B65" s="98" t="s">
        <v>430</v>
      </c>
      <c r="C65" s="104">
        <v>1.1264000000000001</v>
      </c>
      <c r="D65" s="104">
        <v>1.3365</v>
      </c>
      <c r="E65" s="104">
        <v>0.38219999999999998</v>
      </c>
      <c r="F65" s="104">
        <v>1.4702</v>
      </c>
      <c r="G65" s="104">
        <v>1.6319999999999999</v>
      </c>
      <c r="H65" s="110">
        <v>1.5374861123572601</v>
      </c>
    </row>
    <row r="66" spans="1:8" x14ac:dyDescent="0.25">
      <c r="A66" s="98" t="s">
        <v>431</v>
      </c>
      <c r="B66" s="98" t="s">
        <v>432</v>
      </c>
      <c r="C66" s="104">
        <v>18.3858</v>
      </c>
      <c r="D66" s="104">
        <v>18.046600000000002</v>
      </c>
      <c r="E66" s="104">
        <v>79.1524</v>
      </c>
      <c r="F66" s="104">
        <v>25.574400000000001</v>
      </c>
      <c r="G66" s="104">
        <v>18.982600000000001</v>
      </c>
      <c r="H66" s="110">
        <v>21.021327890416899</v>
      </c>
    </row>
    <row r="67" spans="1:8" x14ac:dyDescent="0.25">
      <c r="A67" s="98" t="s">
        <v>433</v>
      </c>
      <c r="B67" s="98" t="s">
        <v>434</v>
      </c>
      <c r="C67" s="104">
        <v>1.4025000000000001</v>
      </c>
      <c r="D67" s="104">
        <v>1.456</v>
      </c>
      <c r="E67" s="104">
        <v>1.5418000000000001</v>
      </c>
      <c r="F67" s="104">
        <v>1.3486</v>
      </c>
      <c r="G67" s="104">
        <v>1.3488</v>
      </c>
      <c r="H67" s="110">
        <v>1.8510638297872299</v>
      </c>
    </row>
    <row r="68" spans="1:8" x14ac:dyDescent="0.25">
      <c r="A68" s="105" t="s">
        <v>199</v>
      </c>
      <c r="B68" s="105"/>
      <c r="C68" s="105" t="s">
        <v>200</v>
      </c>
      <c r="D68" s="105"/>
      <c r="E68" s="105"/>
      <c r="F68" s="105"/>
      <c r="G68" s="105"/>
      <c r="H68" s="10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49A7-912C-9841-B848-BBC0F03808C3}">
  <dimension ref="A2:S52"/>
  <sheetViews>
    <sheetView topLeftCell="D17" zoomScale="130" zoomScaleNormal="130" workbookViewId="0">
      <selection activeCell="J24" sqref="J24"/>
    </sheetView>
  </sheetViews>
  <sheetFormatPr defaultColWidth="11.42578125" defaultRowHeight="15" x14ac:dyDescent="0.25"/>
  <cols>
    <col min="2" max="2" width="10.85546875" customWidth="1"/>
    <col min="3" max="3" width="7" customWidth="1"/>
  </cols>
  <sheetData>
    <row r="2" spans="1:12" x14ac:dyDescent="0.25">
      <c r="A2" s="3"/>
      <c r="B2" s="3"/>
      <c r="C2" s="3"/>
      <c r="D2" s="3"/>
      <c r="E2" s="3"/>
      <c r="F2" s="3"/>
      <c r="G2" s="3"/>
      <c r="H2" s="3"/>
      <c r="I2" s="3"/>
    </row>
    <row r="3" spans="1:12" ht="15.75" thickBot="1" x14ac:dyDescent="0.3">
      <c r="B3" s="3"/>
      <c r="C3" s="3"/>
      <c r="D3" s="233" t="s">
        <v>62</v>
      </c>
      <c r="E3" s="233"/>
      <c r="F3" s="233"/>
      <c r="G3" s="233"/>
      <c r="H3" s="233"/>
      <c r="I3" s="3"/>
    </row>
    <row r="4" spans="1:12" ht="16.5" thickTop="1" thickBot="1" x14ac:dyDescent="0.3">
      <c r="B4" s="3"/>
      <c r="C4" s="217"/>
      <c r="D4" s="221" cm="1">
        <f t="array" ref="D4:H4">DCF!P24:T24</f>
        <v>9.9999999999999985E-3</v>
      </c>
      <c r="E4" s="221">
        <v>1.4999999999999999E-2</v>
      </c>
      <c r="F4" s="222">
        <v>0.02</v>
      </c>
      <c r="G4" s="221">
        <v>2.5000000000000001E-2</v>
      </c>
      <c r="H4" s="221">
        <v>3.0000000000000002E-2</v>
      </c>
      <c r="I4" s="3"/>
    </row>
    <row r="5" spans="1:12" ht="15.75" thickBot="1" x14ac:dyDescent="0.3">
      <c r="B5" s="234" t="s">
        <v>61</v>
      </c>
      <c r="C5" s="226" cm="1">
        <f t="array" ref="C5:C9">DCF!O25:O29</f>
        <v>5.3452553899625901E-2</v>
      </c>
      <c r="D5" s="223" t="str" cm="1">
        <f t="array" ref="D5:H9">DCF!P25:T29</f>
        <v>9.7% / $246.09</v>
      </c>
      <c r="E5" s="218" t="str">
        <v>25.9% / $282.28</v>
      </c>
      <c r="F5" s="219" t="str">
        <v>46.8% / $329.27</v>
      </c>
      <c r="G5" s="219" t="str">
        <v>75.1% / $392.79</v>
      </c>
      <c r="H5" s="220" t="str">
        <v>115.5% / $483.38</v>
      </c>
      <c r="I5" s="3"/>
    </row>
    <row r="6" spans="1:12" ht="15.75" thickBot="1" x14ac:dyDescent="0.3">
      <c r="B6" s="234"/>
      <c r="C6" s="226">
        <v>4.8452553899625904E-2</v>
      </c>
      <c r="D6" s="224" t="str">
        <v>25.2% / $280.78</v>
      </c>
      <c r="E6" s="115" t="str">
        <v>46.0% / $327.56</v>
      </c>
      <c r="F6" s="115" t="str">
        <v>74.2% / $390.77</v>
      </c>
      <c r="G6" s="115" t="str">
        <v>114.4% / $480.94</v>
      </c>
      <c r="H6" s="116" t="str">
        <v>176.4% / $619.97</v>
      </c>
      <c r="I6" s="3"/>
    </row>
    <row r="7" spans="1:12" ht="15.75" thickBot="1" x14ac:dyDescent="0.3">
      <c r="B7" s="234"/>
      <c r="C7" s="227">
        <v>4.3452553899625906E-2</v>
      </c>
      <c r="D7" s="224" t="str">
        <v>45.3% / $325.84</v>
      </c>
      <c r="E7" s="115" t="str">
        <v>73.3% / $388.75</v>
      </c>
      <c r="F7" s="117" t="str">
        <v>113.3% / $478.49</v>
      </c>
      <c r="G7" s="115" t="str">
        <v>175.0% / $616.86</v>
      </c>
      <c r="H7" s="116" t="str">
        <v>282.6% / $858.08</v>
      </c>
      <c r="I7" s="3"/>
    </row>
    <row r="8" spans="1:12" ht="15.75" thickBot="1" x14ac:dyDescent="0.3">
      <c r="B8" s="234"/>
      <c r="C8" s="226">
        <v>3.8452553899625909E-2</v>
      </c>
      <c r="D8" s="224" t="str">
        <v>72.4% / $386.74</v>
      </c>
      <c r="E8" s="115" t="str">
        <v>112.3% / $476.04</v>
      </c>
      <c r="F8" s="115" t="str">
        <v>173.7% / $613.75</v>
      </c>
      <c r="G8" s="115" t="str">
        <v>280.7% / $853.82</v>
      </c>
      <c r="H8" s="116" t="str">
        <v>514.4% / $1377.90</v>
      </c>
      <c r="I8" s="3"/>
    </row>
    <row r="9" spans="1:12" x14ac:dyDescent="0.25">
      <c r="B9" s="234"/>
      <c r="C9" s="226">
        <v>3.3452553899625911E-2</v>
      </c>
      <c r="D9" s="225" t="str">
        <v>111.2% / $473.60</v>
      </c>
      <c r="E9" s="118" t="str">
        <v>172.3% / $610.64</v>
      </c>
      <c r="F9" s="118" t="str">
        <v>278.8% / $849.55</v>
      </c>
      <c r="G9" s="118" t="str">
        <v>511.3% / $1371.11</v>
      </c>
      <c r="H9" s="119" t="str">
        <v>1417.5% / $3403.34</v>
      </c>
      <c r="I9" s="3"/>
    </row>
    <row r="10" spans="1:12" x14ac:dyDescent="0.25">
      <c r="A10" s="3"/>
      <c r="B10" s="3"/>
      <c r="C10" s="3"/>
      <c r="D10" s="3"/>
      <c r="E10" s="3"/>
      <c r="F10" s="3"/>
      <c r="G10" s="3"/>
      <c r="H10" s="3"/>
      <c r="I10" s="3"/>
    </row>
    <row r="12" spans="1:12" x14ac:dyDescent="0.25">
      <c r="H12" t="s">
        <v>438</v>
      </c>
      <c r="I12" t="s">
        <v>71</v>
      </c>
    </row>
    <row r="13" spans="1:12" x14ac:dyDescent="0.25">
      <c r="G13" s="95"/>
      <c r="H13" s="93" t="s">
        <v>70</v>
      </c>
      <c r="I13" s="91" t="s">
        <v>74</v>
      </c>
    </row>
    <row r="14" spans="1:12" x14ac:dyDescent="0.25">
      <c r="E14" cm="1">
        <f t="array" ref="E14:E22">I14:I22/100</f>
        <v>3.3E-4</v>
      </c>
      <c r="G14" s="94" t="s">
        <v>474</v>
      </c>
      <c r="H14" s="91">
        <v>0.98599999999999999</v>
      </c>
      <c r="I14" s="91">
        <v>3.3000000000000002E-2</v>
      </c>
      <c r="J14" s="230">
        <f>DCF!$F$25+H14*$I$21</f>
        <v>0.192</v>
      </c>
      <c r="L14" s="230">
        <f>I14-J14</f>
        <v>-0.159</v>
      </c>
    </row>
    <row r="15" spans="1:12" x14ac:dyDescent="0.25">
      <c r="E15">
        <v>7.6999999999999996E-4</v>
      </c>
      <c r="G15" s="92" t="s">
        <v>482</v>
      </c>
      <c r="H15" s="91">
        <v>0.98299999999999998</v>
      </c>
      <c r="I15" s="91">
        <v>7.6999999999999999E-2</v>
      </c>
      <c r="J15" s="230">
        <f>DCF!$F$25+H15*$I$21</f>
        <v>0.19155</v>
      </c>
      <c r="L15" s="230">
        <f t="shared" ref="L15:L18" si="0">I15-J15</f>
        <v>-0.11455</v>
      </c>
    </row>
    <row r="16" spans="1:12" x14ac:dyDescent="0.25">
      <c r="E16">
        <v>-5.1999999999999995E-4</v>
      </c>
      <c r="G16" s="92" t="s">
        <v>770</v>
      </c>
      <c r="H16" s="91">
        <v>0.84</v>
      </c>
      <c r="I16" s="91">
        <v>-5.1999999999999998E-2</v>
      </c>
      <c r="J16" s="230">
        <f>DCF!$F$25+H16*$I$21</f>
        <v>0.1701</v>
      </c>
      <c r="L16" s="230">
        <f t="shared" si="0"/>
        <v>-0.22209999999999999</v>
      </c>
    </row>
    <row r="17" spans="2:19" x14ac:dyDescent="0.25">
      <c r="E17">
        <v>-9.1E-4</v>
      </c>
      <c r="G17" s="92" t="s">
        <v>771</v>
      </c>
      <c r="H17" s="91">
        <v>0.90100000000000002</v>
      </c>
      <c r="I17" s="91">
        <v>-9.0999999999999998E-2</v>
      </c>
      <c r="J17" s="230">
        <f>DCF!$F$25+H17*$I$21</f>
        <v>0.17924999999999999</v>
      </c>
      <c r="L17" s="230">
        <f t="shared" si="0"/>
        <v>-0.27024999999999999</v>
      </c>
    </row>
    <row r="18" spans="2:19" x14ac:dyDescent="0.25">
      <c r="E18">
        <v>-1.23E-3</v>
      </c>
      <c r="G18" s="92" t="s">
        <v>772</v>
      </c>
      <c r="H18" s="91">
        <v>1.012</v>
      </c>
      <c r="I18" s="91">
        <v>-0.123</v>
      </c>
      <c r="J18" s="230">
        <f>DCF!$F$25+H18*$I$21</f>
        <v>0.19589999999999999</v>
      </c>
      <c r="L18" s="230">
        <f t="shared" si="0"/>
        <v>-0.31889999999999996</v>
      </c>
    </row>
    <row r="19" spans="2:19" x14ac:dyDescent="0.25">
      <c r="E19">
        <v>0</v>
      </c>
      <c r="G19" s="91"/>
      <c r="H19" s="91"/>
      <c r="I19" s="91"/>
    </row>
    <row r="20" spans="2:19" x14ac:dyDescent="0.25">
      <c r="E20">
        <v>0</v>
      </c>
      <c r="G20" s="92"/>
      <c r="H20" s="91"/>
      <c r="I20" s="91"/>
    </row>
    <row r="21" spans="2:19" x14ac:dyDescent="0.25">
      <c r="E21">
        <v>1.5E-3</v>
      </c>
      <c r="G21" s="92" t="s">
        <v>72</v>
      </c>
      <c r="H21" s="91">
        <v>1</v>
      </c>
      <c r="I21" s="91">
        <v>0.15</v>
      </c>
    </row>
    <row r="22" spans="2:19" x14ac:dyDescent="0.25">
      <c r="E22">
        <v>1.9320000000000001E-4</v>
      </c>
      <c r="G22" s="92" t="s">
        <v>73</v>
      </c>
      <c r="H22" s="91">
        <v>0</v>
      </c>
      <c r="I22" s="91">
        <v>1.932E-2</v>
      </c>
    </row>
    <row r="23" spans="2:19" x14ac:dyDescent="0.25">
      <c r="G23" t="s">
        <v>436</v>
      </c>
    </row>
    <row r="24" spans="2:19" x14ac:dyDescent="0.25">
      <c r="G24" t="s">
        <v>437</v>
      </c>
    </row>
    <row r="27" spans="2:19" x14ac:dyDescent="0.25">
      <c r="B27" t="s">
        <v>774</v>
      </c>
      <c r="C27">
        <v>55.5</v>
      </c>
    </row>
    <row r="28" spans="2:19" x14ac:dyDescent="0.25">
      <c r="B28" t="s">
        <v>776</v>
      </c>
      <c r="C28">
        <v>15.5</v>
      </c>
    </row>
    <row r="29" spans="2:19" x14ac:dyDescent="0.25">
      <c r="B29" t="s">
        <v>777</v>
      </c>
      <c r="C29">
        <v>6.5</v>
      </c>
    </row>
    <row r="30" spans="2:19" x14ac:dyDescent="0.25">
      <c r="B30" t="s">
        <v>778</v>
      </c>
      <c r="C30">
        <v>6.1</v>
      </c>
      <c r="P30">
        <v>1</v>
      </c>
      <c r="Q30">
        <v>5</v>
      </c>
      <c r="R30">
        <v>42</v>
      </c>
      <c r="S30">
        <f>R30-Q30</f>
        <v>37</v>
      </c>
    </row>
    <row r="31" spans="2:19" x14ac:dyDescent="0.25">
      <c r="B31" t="s">
        <v>775</v>
      </c>
      <c r="C31">
        <v>16.399999999999999</v>
      </c>
      <c r="P31">
        <v>2</v>
      </c>
      <c r="Q31">
        <v>16</v>
      </c>
      <c r="R31">
        <v>37</v>
      </c>
      <c r="S31">
        <f t="shared" ref="S31:S36" si="1">R31-Q31</f>
        <v>21</v>
      </c>
    </row>
    <row r="32" spans="2:19" x14ac:dyDescent="0.25">
      <c r="P32">
        <v>3</v>
      </c>
      <c r="Q32">
        <v>18.54</v>
      </c>
      <c r="R32">
        <v>25</v>
      </c>
      <c r="S32">
        <f t="shared" si="1"/>
        <v>6.4600000000000009</v>
      </c>
    </row>
    <row r="33" spans="5:19" x14ac:dyDescent="0.25">
      <c r="P33">
        <v>4</v>
      </c>
      <c r="Q33">
        <v>4</v>
      </c>
      <c r="R33">
        <v>42</v>
      </c>
      <c r="S33">
        <f t="shared" si="1"/>
        <v>38</v>
      </c>
    </row>
    <row r="34" spans="5:19" x14ac:dyDescent="0.25">
      <c r="P34">
        <v>5</v>
      </c>
      <c r="Q34">
        <v>4</v>
      </c>
      <c r="R34">
        <v>30</v>
      </c>
      <c r="S34">
        <f t="shared" si="1"/>
        <v>26</v>
      </c>
    </row>
    <row r="35" spans="5:19" x14ac:dyDescent="0.25">
      <c r="P35">
        <v>6</v>
      </c>
      <c r="Q35">
        <v>6</v>
      </c>
      <c r="R35">
        <v>45</v>
      </c>
      <c r="S35">
        <f t="shared" si="1"/>
        <v>39</v>
      </c>
    </row>
    <row r="36" spans="5:19" x14ac:dyDescent="0.25">
      <c r="P36">
        <v>7</v>
      </c>
      <c r="Q36">
        <v>3</v>
      </c>
      <c r="R36">
        <v>38</v>
      </c>
      <c r="S36">
        <f t="shared" si="1"/>
        <v>35</v>
      </c>
    </row>
    <row r="37" spans="5:19" x14ac:dyDescent="0.25">
      <c r="Q37" cm="1">
        <f t="array" ref="Q37:Q43">Q30:Q36/100</f>
        <v>0.05</v>
      </c>
      <c r="S37" cm="1">
        <f t="array" ref="S37:S43">S30:S36/100</f>
        <v>0.37</v>
      </c>
    </row>
    <row r="38" spans="5:19" x14ac:dyDescent="0.25">
      <c r="Q38">
        <v>0.16</v>
      </c>
      <c r="S38">
        <v>0.21</v>
      </c>
    </row>
    <row r="39" spans="5:19" x14ac:dyDescent="0.25">
      <c r="Q39">
        <v>0.18539999999999998</v>
      </c>
      <c r="S39">
        <v>6.4600000000000005E-2</v>
      </c>
    </row>
    <row r="40" spans="5:19" x14ac:dyDescent="0.25">
      <c r="Q40">
        <v>0.04</v>
      </c>
      <c r="S40">
        <v>0.38</v>
      </c>
    </row>
    <row r="41" spans="5:19" x14ac:dyDescent="0.25">
      <c r="Q41">
        <v>0.04</v>
      </c>
      <c r="S41">
        <v>0.26</v>
      </c>
    </row>
    <row r="42" spans="5:19" x14ac:dyDescent="0.25">
      <c r="Q42">
        <v>0.06</v>
      </c>
      <c r="S42">
        <v>0.39</v>
      </c>
    </row>
    <row r="43" spans="5:19" x14ac:dyDescent="0.25">
      <c r="Q43">
        <v>0.03</v>
      </c>
      <c r="S43">
        <v>0.35</v>
      </c>
    </row>
    <row r="47" spans="5:19" x14ac:dyDescent="0.25">
      <c r="E47" t="s">
        <v>467</v>
      </c>
      <c r="F47">
        <v>12.5</v>
      </c>
      <c r="G47">
        <v>24</v>
      </c>
      <c r="H47">
        <v>32.5</v>
      </c>
    </row>
    <row r="48" spans="5:19" x14ac:dyDescent="0.25">
      <c r="E48" t="s">
        <v>468</v>
      </c>
      <c r="F48">
        <v>15</v>
      </c>
      <c r="G48">
        <v>17</v>
      </c>
      <c r="H48">
        <v>23</v>
      </c>
    </row>
    <row r="49" spans="5:8" x14ac:dyDescent="0.25">
      <c r="E49" t="s">
        <v>469</v>
      </c>
      <c r="F49">
        <v>4</v>
      </c>
      <c r="G49">
        <v>9</v>
      </c>
      <c r="H49">
        <v>13.5</v>
      </c>
    </row>
    <row r="50" spans="5:8" x14ac:dyDescent="0.25">
      <c r="E50" t="s">
        <v>470</v>
      </c>
      <c r="F50">
        <v>7</v>
      </c>
      <c r="G50">
        <v>9</v>
      </c>
      <c r="H50">
        <v>12</v>
      </c>
    </row>
    <row r="51" spans="5:8" x14ac:dyDescent="0.25">
      <c r="E51" t="s">
        <v>471</v>
      </c>
      <c r="F51">
        <v>5.5</v>
      </c>
      <c r="G51">
        <v>7.5</v>
      </c>
      <c r="H51">
        <v>8</v>
      </c>
    </row>
    <row r="52" spans="5:8" x14ac:dyDescent="0.25">
      <c r="E52" t="s">
        <v>472</v>
      </c>
      <c r="F52">
        <v>3</v>
      </c>
      <c r="G52">
        <v>2.5</v>
      </c>
      <c r="H52">
        <v>3.5</v>
      </c>
    </row>
  </sheetData>
  <mergeCells count="2">
    <mergeCell ref="B5:B9"/>
    <mergeCell ref="D3:H3"/>
  </mergeCells>
  <conditionalFormatting sqref="D5:H9">
    <cfRule type="colorScale" priority="1">
      <colorScale>
        <cfvo type="formula" val="&quot;G37&lt;0&quot;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4BE4-AFFD-485E-BE2C-FFAE51E2982F}">
  <dimension ref="A1:V149"/>
  <sheetViews>
    <sheetView zoomScale="55" zoomScaleNormal="55" workbookViewId="0">
      <selection activeCell="W17" sqref="W17"/>
    </sheetView>
  </sheetViews>
  <sheetFormatPr defaultColWidth="8.85546875" defaultRowHeight="15" x14ac:dyDescent="0.25"/>
  <sheetData>
    <row r="1" spans="1:22" ht="20.25" x14ac:dyDescent="0.25">
      <c r="A1" s="183" t="s">
        <v>678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</row>
    <row r="3" spans="1:22" x14ac:dyDescent="0.25">
      <c r="A3" s="185" t="s">
        <v>75</v>
      </c>
      <c r="B3" s="185"/>
      <c r="C3" s="190" t="s">
        <v>541</v>
      </c>
      <c r="D3" s="190"/>
      <c r="E3" s="190" t="s">
        <v>542</v>
      </c>
      <c r="F3" s="190"/>
      <c r="G3" s="190" t="s">
        <v>543</v>
      </c>
      <c r="H3" s="190"/>
      <c r="I3" s="190" t="s">
        <v>544</v>
      </c>
      <c r="J3" s="190"/>
      <c r="K3" s="190" t="s">
        <v>545</v>
      </c>
      <c r="L3" s="190"/>
      <c r="M3" s="190" t="s">
        <v>76</v>
      </c>
      <c r="N3" s="190"/>
      <c r="O3" s="190" t="s">
        <v>77</v>
      </c>
      <c r="P3" s="190"/>
      <c r="Q3" s="190" t="s">
        <v>78</v>
      </c>
      <c r="R3" s="190"/>
      <c r="S3" s="190" t="s">
        <v>79</v>
      </c>
      <c r="T3" s="190"/>
      <c r="U3" s="190" t="s">
        <v>80</v>
      </c>
      <c r="V3" s="190"/>
    </row>
    <row r="4" spans="1:22" x14ac:dyDescent="0.25">
      <c r="A4" s="187" t="s">
        <v>84</v>
      </c>
      <c r="B4" s="187"/>
      <c r="C4" s="191" t="s">
        <v>571</v>
      </c>
      <c r="D4" s="191"/>
      <c r="E4" s="191" t="s">
        <v>572</v>
      </c>
      <c r="F4" s="191"/>
      <c r="G4" s="191" t="s">
        <v>573</v>
      </c>
      <c r="H4" s="191"/>
      <c r="I4" s="191" t="s">
        <v>574</v>
      </c>
      <c r="J4" s="191"/>
      <c r="K4" s="191" t="s">
        <v>575</v>
      </c>
      <c r="L4" s="191"/>
      <c r="M4" s="191" t="s">
        <v>85</v>
      </c>
      <c r="N4" s="191"/>
      <c r="O4" s="191" t="s">
        <v>86</v>
      </c>
      <c r="P4" s="191"/>
      <c r="Q4" s="191" t="s">
        <v>87</v>
      </c>
      <c r="R4" s="191"/>
      <c r="S4" s="191" t="s">
        <v>88</v>
      </c>
      <c r="T4" s="191"/>
      <c r="U4" s="191" t="s">
        <v>89</v>
      </c>
      <c r="V4" s="191"/>
    </row>
    <row r="5" spans="1:22" x14ac:dyDescent="0.25">
      <c r="A5" s="96" t="s">
        <v>3</v>
      </c>
      <c r="B5" s="96"/>
      <c r="C5" s="192">
        <v>12026</v>
      </c>
      <c r="D5" s="193">
        <v>1</v>
      </c>
      <c r="E5" s="192">
        <v>12669</v>
      </c>
      <c r="F5" s="193">
        <v>1</v>
      </c>
      <c r="G5" s="192">
        <v>11811</v>
      </c>
      <c r="H5" s="193">
        <v>1</v>
      </c>
      <c r="I5" s="192">
        <v>11069</v>
      </c>
      <c r="J5" s="193">
        <v>1</v>
      </c>
      <c r="K5" s="192">
        <v>11408</v>
      </c>
      <c r="L5" s="193">
        <v>1</v>
      </c>
      <c r="M5" s="192">
        <v>12250</v>
      </c>
      <c r="N5" s="193">
        <v>1</v>
      </c>
      <c r="O5" s="192">
        <v>11937</v>
      </c>
      <c r="P5" s="193">
        <v>1</v>
      </c>
      <c r="Q5" s="192">
        <v>10583</v>
      </c>
      <c r="R5" s="193">
        <v>1</v>
      </c>
      <c r="S5" s="192">
        <v>12522</v>
      </c>
      <c r="T5" s="193">
        <v>1</v>
      </c>
      <c r="U5" s="192">
        <v>14853</v>
      </c>
      <c r="V5" s="193">
        <v>1</v>
      </c>
    </row>
    <row r="6" spans="1:22" x14ac:dyDescent="0.25">
      <c r="A6" s="98" t="s">
        <v>679</v>
      </c>
      <c r="B6" s="98"/>
      <c r="C6" s="194">
        <v>7037</v>
      </c>
      <c r="D6" s="195">
        <v>0.58514884417096302</v>
      </c>
      <c r="E6" s="194">
        <v>7608</v>
      </c>
      <c r="F6" s="195">
        <v>0.60052095666587701</v>
      </c>
      <c r="G6" s="194">
        <v>7271</v>
      </c>
      <c r="H6" s="195">
        <v>0.61561256455846203</v>
      </c>
      <c r="I6" s="194">
        <v>7142</v>
      </c>
      <c r="J6" s="195">
        <v>0.64522540428222996</v>
      </c>
      <c r="K6" s="194">
        <v>7068</v>
      </c>
      <c r="L6" s="195">
        <v>0.61956521739130399</v>
      </c>
      <c r="M6" s="194">
        <v>7491</v>
      </c>
      <c r="N6" s="195">
        <v>0.61151020408163304</v>
      </c>
      <c r="O6" s="194">
        <v>7589</v>
      </c>
      <c r="P6" s="195">
        <v>0.63575437714668703</v>
      </c>
      <c r="Q6" s="194">
        <v>7076</v>
      </c>
      <c r="R6" s="195">
        <v>0.66861948407823901</v>
      </c>
      <c r="S6" s="194">
        <v>7539</v>
      </c>
      <c r="T6" s="195">
        <v>0.60206037374221399</v>
      </c>
      <c r="U6" s="194">
        <v>8239</v>
      </c>
      <c r="V6" s="195">
        <v>0.55470275365246102</v>
      </c>
    </row>
    <row r="7" spans="1:22" x14ac:dyDescent="0.25">
      <c r="A7" s="98" t="s">
        <v>680</v>
      </c>
      <c r="B7" s="98"/>
      <c r="C7" s="194">
        <v>1896</v>
      </c>
      <c r="D7" s="195">
        <v>0.15765840678529899</v>
      </c>
      <c r="E7" s="194">
        <v>2178</v>
      </c>
      <c r="F7" s="195">
        <v>0.171915699739522</v>
      </c>
      <c r="G7" s="194">
        <v>2284</v>
      </c>
      <c r="H7" s="195">
        <v>0.19337905342477399</v>
      </c>
      <c r="I7" s="194">
        <v>2191</v>
      </c>
      <c r="J7" s="195">
        <v>0.197940193332731</v>
      </c>
      <c r="K7" s="194">
        <v>2210</v>
      </c>
      <c r="L7" s="195">
        <v>0.19372370266479699</v>
      </c>
      <c r="M7" s="194">
        <v>2339</v>
      </c>
      <c r="N7" s="195">
        <v>0.190938775510204</v>
      </c>
      <c r="O7" s="194">
        <v>2349</v>
      </c>
      <c r="P7" s="195">
        <v>0.19678311133450599</v>
      </c>
      <c r="Q7" s="194">
        <v>2309</v>
      </c>
      <c r="R7" s="195">
        <v>0.21818010016063499</v>
      </c>
      <c r="S7" s="194">
        <v>2421</v>
      </c>
      <c r="T7" s="195">
        <v>0.19333972208912301</v>
      </c>
      <c r="U7" s="194">
        <v>2584</v>
      </c>
      <c r="V7" s="195">
        <v>0.17397158823133399</v>
      </c>
    </row>
    <row r="8" spans="1:22" x14ac:dyDescent="0.25">
      <c r="A8" s="98" t="s">
        <v>681</v>
      </c>
      <c r="B8" s="98"/>
      <c r="C8" s="194" t="s">
        <v>201</v>
      </c>
      <c r="D8" s="195"/>
      <c r="E8" s="194" t="s">
        <v>201</v>
      </c>
      <c r="F8" s="195"/>
      <c r="G8" s="194">
        <v>1345</v>
      </c>
      <c r="H8" s="195">
        <v>0.113876894420456</v>
      </c>
      <c r="I8" s="194">
        <v>1286</v>
      </c>
      <c r="J8" s="195">
        <v>0.11618032342578399</v>
      </c>
      <c r="K8" s="194">
        <v>1262</v>
      </c>
      <c r="L8" s="195">
        <v>0.11062412342216001</v>
      </c>
      <c r="M8" s="194">
        <v>1306</v>
      </c>
      <c r="N8" s="195">
        <v>0.10661224489795899</v>
      </c>
      <c r="O8" s="194">
        <v>1410</v>
      </c>
      <c r="P8" s="195">
        <v>0.118120130686102</v>
      </c>
      <c r="Q8" s="194">
        <v>1386</v>
      </c>
      <c r="R8" s="195">
        <v>0.13096475479542699</v>
      </c>
      <c r="S8" s="194">
        <v>1461</v>
      </c>
      <c r="T8" s="195">
        <v>0.116674652611404</v>
      </c>
      <c r="U8" s="194">
        <v>1664</v>
      </c>
      <c r="V8" s="195">
        <v>0.11203123948024001</v>
      </c>
    </row>
    <row r="9" spans="1:22" x14ac:dyDescent="0.25">
      <c r="A9" s="98" t="s">
        <v>682</v>
      </c>
      <c r="B9" s="98"/>
      <c r="C9" s="194">
        <v>1217</v>
      </c>
      <c r="D9" s="195">
        <v>0.10119740562115399</v>
      </c>
      <c r="E9" s="194">
        <v>1213</v>
      </c>
      <c r="F9" s="195">
        <v>9.5745520562001696E-2</v>
      </c>
      <c r="G9" s="194">
        <v>1175</v>
      </c>
      <c r="H9" s="195">
        <v>9.9483532300397901E-2</v>
      </c>
      <c r="I9" s="194">
        <v>1261</v>
      </c>
      <c r="J9" s="195">
        <v>0.113921763483603</v>
      </c>
      <c r="K9" s="194">
        <v>1195</v>
      </c>
      <c r="L9" s="195">
        <v>0.104751051893408</v>
      </c>
      <c r="M9" s="194">
        <v>1267</v>
      </c>
      <c r="N9" s="195">
        <v>0.103428571428571</v>
      </c>
      <c r="O9" s="194">
        <v>1236</v>
      </c>
      <c r="P9" s="195">
        <v>0.103543603920583</v>
      </c>
      <c r="Q9" s="194">
        <v>920</v>
      </c>
      <c r="R9" s="195">
        <v>8.6931871869980207E-2</v>
      </c>
      <c r="S9" s="194">
        <v>886</v>
      </c>
      <c r="T9" s="195">
        <v>7.0755470372144996E-2</v>
      </c>
      <c r="U9" s="194">
        <v>1054</v>
      </c>
      <c r="V9" s="195">
        <v>7.0962095199623001E-2</v>
      </c>
    </row>
    <row r="10" spans="1:22" x14ac:dyDescent="0.25">
      <c r="A10" s="98" t="s">
        <v>683</v>
      </c>
      <c r="B10" s="98"/>
      <c r="C10" s="194">
        <v>775</v>
      </c>
      <c r="D10" s="195">
        <v>6.44437053051721E-2</v>
      </c>
      <c r="E10" s="194">
        <v>819</v>
      </c>
      <c r="F10" s="195">
        <v>6.4645986265687905E-2</v>
      </c>
      <c r="G10" s="194">
        <v>796</v>
      </c>
      <c r="H10" s="195">
        <v>6.7394801456269596E-2</v>
      </c>
      <c r="I10" s="194">
        <v>773</v>
      </c>
      <c r="J10" s="195">
        <v>6.9834673412232401E-2</v>
      </c>
      <c r="K10" s="194">
        <v>755</v>
      </c>
      <c r="L10" s="195">
        <v>6.6181626928471293E-2</v>
      </c>
      <c r="M10" s="194">
        <v>850</v>
      </c>
      <c r="N10" s="195">
        <v>6.9387755102040802E-2</v>
      </c>
      <c r="O10" s="194">
        <v>870</v>
      </c>
      <c r="P10" s="195">
        <v>7.2882633827594898E-2</v>
      </c>
      <c r="Q10" s="194">
        <v>834</v>
      </c>
      <c r="R10" s="195">
        <v>7.88056316734385E-2</v>
      </c>
      <c r="S10" s="194">
        <v>918</v>
      </c>
      <c r="T10" s="195">
        <v>7.3310972688069007E-2</v>
      </c>
      <c r="U10" s="194">
        <v>996</v>
      </c>
      <c r="V10" s="195">
        <v>6.7057160169662705E-2</v>
      </c>
    </row>
    <row r="11" spans="1:22" x14ac:dyDescent="0.25">
      <c r="A11" s="98" t="s">
        <v>684</v>
      </c>
      <c r="B11" s="98"/>
      <c r="C11" s="194" t="s">
        <v>201</v>
      </c>
      <c r="D11" s="195"/>
      <c r="E11" s="194" t="s">
        <v>201</v>
      </c>
      <c r="F11" s="195"/>
      <c r="G11" s="194">
        <v>723</v>
      </c>
      <c r="H11" s="195">
        <v>6.1214122428244901E-2</v>
      </c>
      <c r="I11" s="194">
        <v>704</v>
      </c>
      <c r="J11" s="195">
        <v>6.3601047971813193E-2</v>
      </c>
      <c r="K11" s="194">
        <v>703</v>
      </c>
      <c r="L11" s="195">
        <v>6.1623422159887802E-2</v>
      </c>
      <c r="M11" s="194">
        <v>769</v>
      </c>
      <c r="N11" s="195">
        <v>6.2775510204081605E-2</v>
      </c>
      <c r="O11" s="194">
        <v>742</v>
      </c>
      <c r="P11" s="195">
        <v>6.2159671609282097E-2</v>
      </c>
      <c r="Q11" s="194">
        <v>675</v>
      </c>
      <c r="R11" s="195">
        <v>6.3781536426344099E-2</v>
      </c>
      <c r="S11" s="194">
        <v>796</v>
      </c>
      <c r="T11" s="195">
        <v>6.3568120108608794E-2</v>
      </c>
      <c r="U11" s="194">
        <v>828</v>
      </c>
      <c r="V11" s="195">
        <v>5.57463138759847E-2</v>
      </c>
    </row>
    <row r="12" spans="1:22" x14ac:dyDescent="0.25">
      <c r="A12" s="98" t="s">
        <v>685</v>
      </c>
      <c r="B12" s="98"/>
      <c r="C12" s="194">
        <v>432</v>
      </c>
      <c r="D12" s="195">
        <v>3.5922168634625003E-2</v>
      </c>
      <c r="E12" s="194">
        <v>459</v>
      </c>
      <c r="F12" s="195">
        <v>3.6230168126923999E-2</v>
      </c>
      <c r="G12" s="194">
        <v>459</v>
      </c>
      <c r="H12" s="195">
        <v>3.8862077724155397E-2</v>
      </c>
      <c r="I12" s="194">
        <v>464</v>
      </c>
      <c r="J12" s="195">
        <v>4.1918872526876899E-2</v>
      </c>
      <c r="K12" s="194">
        <v>477</v>
      </c>
      <c r="L12" s="195">
        <v>4.1812762973352E-2</v>
      </c>
      <c r="M12" s="194">
        <v>518</v>
      </c>
      <c r="N12" s="195">
        <v>4.2285714285714301E-2</v>
      </c>
      <c r="O12" s="194">
        <v>559</v>
      </c>
      <c r="P12" s="195">
        <v>4.6829186562787999E-2</v>
      </c>
      <c r="Q12" s="194">
        <v>538</v>
      </c>
      <c r="R12" s="195">
        <v>5.0836246810923198E-2</v>
      </c>
      <c r="S12" s="194">
        <v>587</v>
      </c>
      <c r="T12" s="195">
        <v>4.6877495607730399E-2</v>
      </c>
      <c r="U12" s="194">
        <v>658</v>
      </c>
      <c r="V12" s="195">
        <v>4.4300814650239002E-2</v>
      </c>
    </row>
    <row r="13" spans="1:22" x14ac:dyDescent="0.25">
      <c r="A13" s="98" t="s">
        <v>686</v>
      </c>
      <c r="B13" s="98"/>
      <c r="C13" s="194">
        <v>527</v>
      </c>
      <c r="D13" s="195">
        <v>4.3821719607516997E-2</v>
      </c>
      <c r="E13" s="194">
        <v>534</v>
      </c>
      <c r="F13" s="195">
        <v>4.21501302391665E-2</v>
      </c>
      <c r="G13" s="194">
        <v>489</v>
      </c>
      <c r="H13" s="195">
        <v>4.1402082804165602E-2</v>
      </c>
      <c r="I13" s="194">
        <v>463</v>
      </c>
      <c r="J13" s="195">
        <v>4.1828530129189599E-2</v>
      </c>
      <c r="K13" s="194">
        <v>466</v>
      </c>
      <c r="L13" s="195">
        <v>4.08485273492286E-2</v>
      </c>
      <c r="M13" s="194">
        <v>442</v>
      </c>
      <c r="N13" s="195">
        <v>3.6081632653061198E-2</v>
      </c>
      <c r="O13" s="194">
        <v>423</v>
      </c>
      <c r="P13" s="195">
        <v>3.5436039205830598E-2</v>
      </c>
      <c r="Q13" s="194">
        <v>414</v>
      </c>
      <c r="R13" s="195">
        <v>3.9119342341491101E-2</v>
      </c>
      <c r="S13" s="194">
        <v>470</v>
      </c>
      <c r="T13" s="195">
        <v>3.7533940265133403E-2</v>
      </c>
      <c r="U13" s="194">
        <v>455</v>
      </c>
      <c r="V13" s="195">
        <v>3.0633542045378E-2</v>
      </c>
    </row>
    <row r="14" spans="1:22" x14ac:dyDescent="0.25">
      <c r="A14" s="98" t="s">
        <v>687</v>
      </c>
      <c r="B14" s="98"/>
      <c r="C14" s="194">
        <v>1471</v>
      </c>
      <c r="D14" s="195">
        <v>0.122318310327623</v>
      </c>
      <c r="E14" s="194">
        <v>1587</v>
      </c>
      <c r="F14" s="195">
        <v>0.12526639829505101</v>
      </c>
      <c r="G14" s="194">
        <v>1255</v>
      </c>
      <c r="H14" s="195">
        <v>0.10625687918042501</v>
      </c>
      <c r="I14" s="194" t="s">
        <v>201</v>
      </c>
      <c r="J14" s="195"/>
      <c r="K14" s="194" t="s">
        <v>201</v>
      </c>
      <c r="L14" s="195"/>
      <c r="M14" s="194" t="s">
        <v>201</v>
      </c>
      <c r="N14" s="195"/>
      <c r="O14" s="194" t="s">
        <v>201</v>
      </c>
      <c r="P14" s="195"/>
      <c r="Q14" s="194" t="s">
        <v>201</v>
      </c>
      <c r="R14" s="195"/>
      <c r="S14" s="194" t="s">
        <v>201</v>
      </c>
      <c r="T14" s="195"/>
      <c r="U14" s="194" t="s">
        <v>201</v>
      </c>
      <c r="V14" s="195"/>
    </row>
    <row r="15" spans="1:22" x14ac:dyDescent="0.25">
      <c r="A15" s="98" t="s">
        <v>688</v>
      </c>
      <c r="B15" s="98"/>
      <c r="C15" s="194">
        <v>264</v>
      </c>
      <c r="D15" s="195">
        <v>2.1952436387826402E-2</v>
      </c>
      <c r="E15" s="194">
        <v>309</v>
      </c>
      <c r="F15" s="195">
        <v>2.4390243902439001E-2</v>
      </c>
      <c r="G15" s="194" t="s">
        <v>201</v>
      </c>
      <c r="H15" s="195"/>
      <c r="I15" s="194" t="s">
        <v>201</v>
      </c>
      <c r="J15" s="195"/>
      <c r="K15" s="194" t="s">
        <v>201</v>
      </c>
      <c r="L15" s="195"/>
      <c r="M15" s="194" t="s">
        <v>201</v>
      </c>
      <c r="N15" s="195"/>
      <c r="O15" s="194" t="s">
        <v>201</v>
      </c>
      <c r="P15" s="195"/>
      <c r="Q15" s="194" t="s">
        <v>201</v>
      </c>
      <c r="R15" s="195"/>
      <c r="S15" s="194" t="s">
        <v>201</v>
      </c>
      <c r="T15" s="195"/>
      <c r="U15" s="194" t="s">
        <v>201</v>
      </c>
      <c r="V15" s="195"/>
    </row>
    <row r="16" spans="1:22" x14ac:dyDescent="0.25">
      <c r="A16" s="98" t="s">
        <v>689</v>
      </c>
      <c r="B16" s="98"/>
      <c r="C16" s="194">
        <v>1809</v>
      </c>
      <c r="D16" s="195">
        <v>0.15042408115749201</v>
      </c>
      <c r="E16" s="194">
        <v>1929</v>
      </c>
      <c r="F16" s="195">
        <v>0.15226142552687699</v>
      </c>
      <c r="G16" s="194">
        <v>1834</v>
      </c>
      <c r="H16" s="195">
        <v>0.155278977224621</v>
      </c>
      <c r="I16" s="194" t="s">
        <v>201</v>
      </c>
      <c r="J16" s="195"/>
      <c r="K16" s="194" t="s">
        <v>201</v>
      </c>
      <c r="L16" s="195"/>
      <c r="M16" s="194" t="s">
        <v>201</v>
      </c>
      <c r="N16" s="195"/>
      <c r="O16" s="194" t="s">
        <v>201</v>
      </c>
      <c r="P16" s="195"/>
      <c r="Q16" s="194" t="s">
        <v>201</v>
      </c>
      <c r="R16" s="195"/>
      <c r="S16" s="194" t="s">
        <v>201</v>
      </c>
      <c r="T16" s="195"/>
      <c r="U16" s="194" t="s">
        <v>201</v>
      </c>
      <c r="V16" s="195"/>
    </row>
    <row r="17" spans="1:22" x14ac:dyDescent="0.25">
      <c r="A17" s="98" t="s">
        <v>690</v>
      </c>
      <c r="B17" s="98"/>
      <c r="C17" s="194">
        <v>269</v>
      </c>
      <c r="D17" s="195">
        <v>2.2368202228504899E-2</v>
      </c>
      <c r="E17" s="194">
        <v>265</v>
      </c>
      <c r="F17" s="195">
        <v>2.0917199463256798E-2</v>
      </c>
      <c r="G17" s="194" t="s">
        <v>201</v>
      </c>
      <c r="H17" s="195"/>
      <c r="I17" s="194" t="s">
        <v>201</v>
      </c>
      <c r="J17" s="195"/>
      <c r="K17" s="194" t="s">
        <v>201</v>
      </c>
      <c r="L17" s="195"/>
      <c r="M17" s="194" t="s">
        <v>201</v>
      </c>
      <c r="N17" s="195"/>
      <c r="O17" s="194" t="s">
        <v>201</v>
      </c>
      <c r="P17" s="195"/>
      <c r="Q17" s="194" t="s">
        <v>201</v>
      </c>
      <c r="R17" s="195"/>
      <c r="S17" s="194" t="s">
        <v>201</v>
      </c>
      <c r="T17" s="195"/>
      <c r="U17" s="194" t="s">
        <v>201</v>
      </c>
      <c r="V17" s="195"/>
    </row>
    <row r="18" spans="1:22" x14ac:dyDescent="0.25">
      <c r="A18" s="98" t="s">
        <v>691</v>
      </c>
      <c r="B18" s="98"/>
      <c r="C18" s="194">
        <v>1013</v>
      </c>
      <c r="D18" s="195">
        <v>8.4234159321470103E-2</v>
      </c>
      <c r="E18" s="194">
        <v>1130</v>
      </c>
      <c r="F18" s="195">
        <v>8.9194095824453395E-2</v>
      </c>
      <c r="G18" s="194" t="s">
        <v>201</v>
      </c>
      <c r="H18" s="195"/>
      <c r="I18" s="194" t="s">
        <v>201</v>
      </c>
      <c r="J18" s="195"/>
      <c r="K18" s="194" t="s">
        <v>201</v>
      </c>
      <c r="L18" s="195"/>
      <c r="M18" s="194" t="s">
        <v>201</v>
      </c>
      <c r="N18" s="195"/>
      <c r="O18" s="194" t="s">
        <v>201</v>
      </c>
      <c r="P18" s="195"/>
      <c r="Q18" s="194" t="s">
        <v>201</v>
      </c>
      <c r="R18" s="195"/>
      <c r="S18" s="194" t="s">
        <v>201</v>
      </c>
      <c r="T18" s="195"/>
      <c r="U18" s="194" t="s">
        <v>201</v>
      </c>
      <c r="V18" s="195"/>
    </row>
    <row r="19" spans="1:22" x14ac:dyDescent="0.25">
      <c r="A19" s="98" t="s">
        <v>692</v>
      </c>
      <c r="B19" s="98"/>
      <c r="C19" s="194">
        <v>3757</v>
      </c>
      <c r="D19" s="195">
        <v>0.31240645268584699</v>
      </c>
      <c r="E19" s="194">
        <v>4092</v>
      </c>
      <c r="F19" s="195">
        <v>0.32299313284394998</v>
      </c>
      <c r="G19" s="194">
        <v>4182</v>
      </c>
      <c r="H19" s="195">
        <v>0.35407670815341602</v>
      </c>
      <c r="I19" s="194" t="s">
        <v>201</v>
      </c>
      <c r="J19" s="195"/>
      <c r="K19" s="194" t="s">
        <v>201</v>
      </c>
      <c r="L19" s="195"/>
      <c r="M19" s="194" t="s">
        <v>201</v>
      </c>
      <c r="N19" s="195"/>
      <c r="O19" s="194" t="s">
        <v>201</v>
      </c>
      <c r="P19" s="195"/>
      <c r="Q19" s="194" t="s">
        <v>201</v>
      </c>
      <c r="R19" s="195"/>
      <c r="S19" s="194" t="s">
        <v>201</v>
      </c>
      <c r="T19" s="195"/>
      <c r="U19" s="194" t="s">
        <v>201</v>
      </c>
      <c r="V19" s="195"/>
    </row>
    <row r="20" spans="1:22" x14ac:dyDescent="0.25">
      <c r="A20" s="98" t="s">
        <v>693</v>
      </c>
      <c r="B20" s="98"/>
      <c r="C20" s="194">
        <v>644</v>
      </c>
      <c r="D20" s="195">
        <v>5.3550640279394601E-2</v>
      </c>
      <c r="E20" s="194">
        <v>701</v>
      </c>
      <c r="F20" s="195">
        <v>5.5331912542426399E-2</v>
      </c>
      <c r="G20" s="194" t="s">
        <v>201</v>
      </c>
      <c r="H20" s="195"/>
      <c r="I20" s="194" t="s">
        <v>201</v>
      </c>
      <c r="J20" s="195"/>
      <c r="K20" s="194" t="s">
        <v>201</v>
      </c>
      <c r="L20" s="195"/>
      <c r="M20" s="194" t="s">
        <v>201</v>
      </c>
      <c r="N20" s="195"/>
      <c r="O20" s="194" t="s">
        <v>201</v>
      </c>
      <c r="P20" s="195"/>
      <c r="Q20" s="194" t="s">
        <v>201</v>
      </c>
      <c r="R20" s="195"/>
      <c r="S20" s="194" t="s">
        <v>201</v>
      </c>
      <c r="T20" s="195"/>
      <c r="U20" s="194" t="s">
        <v>201</v>
      </c>
      <c r="V20" s="195"/>
    </row>
    <row r="21" spans="1:22" x14ac:dyDescent="0.25">
      <c r="A21" s="98" t="s">
        <v>694</v>
      </c>
      <c r="B21" s="98"/>
      <c r="C21" s="194">
        <v>2895</v>
      </c>
      <c r="D21" s="195">
        <v>0.24072842175286899</v>
      </c>
      <c r="E21" s="194">
        <v>2849</v>
      </c>
      <c r="F21" s="195">
        <v>0.22487962743705101</v>
      </c>
      <c r="G21" s="194">
        <v>2300</v>
      </c>
      <c r="H21" s="195">
        <v>0.194733722800779</v>
      </c>
      <c r="I21" s="194">
        <v>1833</v>
      </c>
      <c r="J21" s="195">
        <v>0.165597614960701</v>
      </c>
      <c r="K21" s="194">
        <v>2107</v>
      </c>
      <c r="L21" s="195">
        <v>0.18469495091164101</v>
      </c>
      <c r="M21" s="194">
        <v>2246</v>
      </c>
      <c r="N21" s="195">
        <v>0.18334693877551</v>
      </c>
      <c r="O21" s="194">
        <v>2070</v>
      </c>
      <c r="P21" s="195">
        <v>0.17341040462427701</v>
      </c>
      <c r="Q21" s="194">
        <v>1397</v>
      </c>
      <c r="R21" s="195">
        <v>0.132004157611263</v>
      </c>
      <c r="S21" s="194">
        <v>1790</v>
      </c>
      <c r="T21" s="195">
        <v>0.14294841079699699</v>
      </c>
      <c r="U21" s="194">
        <v>2434</v>
      </c>
      <c r="V21" s="195">
        <v>0.16387261832626401</v>
      </c>
    </row>
    <row r="22" spans="1:22" x14ac:dyDescent="0.25">
      <c r="A22" s="98" t="s">
        <v>695</v>
      </c>
      <c r="B22" s="98"/>
      <c r="C22" s="194">
        <v>1697</v>
      </c>
      <c r="D22" s="195">
        <v>0.14111092632629299</v>
      </c>
      <c r="E22" s="194">
        <v>1790</v>
      </c>
      <c r="F22" s="195">
        <v>0.14128976241218699</v>
      </c>
      <c r="G22" s="194">
        <v>1762</v>
      </c>
      <c r="H22" s="195">
        <v>0.14918296503259701</v>
      </c>
      <c r="I22" s="194">
        <v>1726</v>
      </c>
      <c r="J22" s="195">
        <v>0.155930978408167</v>
      </c>
      <c r="K22" s="194">
        <v>1799</v>
      </c>
      <c r="L22" s="195">
        <v>0.15769635343618499</v>
      </c>
      <c r="M22" s="194">
        <v>1931</v>
      </c>
      <c r="N22" s="195">
        <v>0.15763265306122401</v>
      </c>
      <c r="O22" s="194">
        <v>1760</v>
      </c>
      <c r="P22" s="195">
        <v>0.14744073050180101</v>
      </c>
      <c r="Q22" s="194">
        <v>1702</v>
      </c>
      <c r="R22" s="195">
        <v>0.160823962959463</v>
      </c>
      <c r="S22" s="194">
        <v>2039</v>
      </c>
      <c r="T22" s="195">
        <v>0.162833413192781</v>
      </c>
      <c r="U22" s="194">
        <v>2306</v>
      </c>
      <c r="V22" s="195">
        <v>0.155254830673938</v>
      </c>
    </row>
    <row r="23" spans="1:22" x14ac:dyDescent="0.25">
      <c r="A23" s="98" t="s">
        <v>696</v>
      </c>
      <c r="B23" s="98"/>
      <c r="C23" s="194" t="s">
        <v>201</v>
      </c>
      <c r="D23" s="195"/>
      <c r="E23" s="194" t="s">
        <v>201</v>
      </c>
      <c r="F23" s="195"/>
      <c r="G23" s="194" t="s">
        <v>201</v>
      </c>
      <c r="H23" s="195"/>
      <c r="I23" s="194" t="s">
        <v>201</v>
      </c>
      <c r="J23" s="195"/>
      <c r="K23" s="194" t="s">
        <v>201</v>
      </c>
      <c r="L23" s="195"/>
      <c r="M23" s="194" t="s">
        <v>201</v>
      </c>
      <c r="N23" s="195"/>
      <c r="O23" s="194">
        <v>0</v>
      </c>
      <c r="P23" s="195"/>
      <c r="Q23" s="194">
        <v>0</v>
      </c>
      <c r="R23" s="195"/>
      <c r="S23" s="194">
        <v>410</v>
      </c>
      <c r="T23" s="195">
        <v>3.2742373422775903E-2</v>
      </c>
      <c r="U23" s="194">
        <v>966</v>
      </c>
      <c r="V23" s="195">
        <v>6.5037366188648804E-2</v>
      </c>
    </row>
    <row r="24" spans="1:22" x14ac:dyDescent="0.25">
      <c r="A24" s="98" t="s">
        <v>697</v>
      </c>
      <c r="B24" s="98"/>
      <c r="C24" s="194">
        <v>397</v>
      </c>
      <c r="D24" s="195">
        <v>3.3011807749875298E-2</v>
      </c>
      <c r="E24" s="194">
        <v>422</v>
      </c>
      <c r="F24" s="195">
        <v>3.3309653484884398E-2</v>
      </c>
      <c r="G24" s="194">
        <v>478</v>
      </c>
      <c r="H24" s="195">
        <v>4.0470747608161897E-2</v>
      </c>
      <c r="I24" s="194">
        <v>368</v>
      </c>
      <c r="J24" s="195">
        <v>3.32460023489023E-2</v>
      </c>
      <c r="K24" s="194">
        <v>434</v>
      </c>
      <c r="L24" s="195">
        <v>3.8043478260869602E-2</v>
      </c>
      <c r="M24" s="194">
        <v>582</v>
      </c>
      <c r="N24" s="195">
        <v>4.7510204081632701E-2</v>
      </c>
      <c r="O24" s="194">
        <v>518</v>
      </c>
      <c r="P24" s="195">
        <v>4.3394487727234601E-2</v>
      </c>
      <c r="Q24" s="194">
        <v>408</v>
      </c>
      <c r="R24" s="195">
        <v>3.8552395351034698E-2</v>
      </c>
      <c r="S24" s="194">
        <v>744</v>
      </c>
      <c r="T24" s="195">
        <v>5.9415428845232397E-2</v>
      </c>
      <c r="U24" s="194">
        <v>908</v>
      </c>
      <c r="V24" s="195">
        <v>6.1132431158688501E-2</v>
      </c>
    </row>
    <row r="25" spans="1:22" x14ac:dyDescent="0.25">
      <c r="A25" s="96" t="s">
        <v>698</v>
      </c>
      <c r="B25" s="96"/>
      <c r="C25" s="196" t="s">
        <v>201</v>
      </c>
      <c r="D25" s="197"/>
      <c r="E25" s="196" t="s">
        <v>201</v>
      </c>
      <c r="F25" s="197"/>
      <c r="G25" s="196" t="s">
        <v>201</v>
      </c>
      <c r="H25" s="197"/>
      <c r="I25" s="196" t="s">
        <v>201</v>
      </c>
      <c r="J25" s="197"/>
      <c r="K25" s="196" t="s">
        <v>201</v>
      </c>
      <c r="L25" s="197"/>
      <c r="M25" s="196" t="s">
        <v>201</v>
      </c>
      <c r="N25" s="197"/>
      <c r="O25" s="196" t="s">
        <v>201</v>
      </c>
      <c r="P25" s="197"/>
      <c r="Q25" s="196">
        <v>5892000</v>
      </c>
      <c r="R25" s="197">
        <v>1</v>
      </c>
      <c r="S25" s="196">
        <v>6253000</v>
      </c>
      <c r="T25" s="197">
        <v>1</v>
      </c>
      <c r="U25" s="196">
        <v>6218000</v>
      </c>
      <c r="V25" s="197">
        <v>1</v>
      </c>
    </row>
    <row r="26" spans="1:22" x14ac:dyDescent="0.25">
      <c r="A26" s="98" t="s">
        <v>695</v>
      </c>
      <c r="B26" s="98"/>
      <c r="C26" s="198" t="s">
        <v>201</v>
      </c>
      <c r="D26" s="199"/>
      <c r="E26" s="198" t="s">
        <v>201</v>
      </c>
      <c r="F26" s="199"/>
      <c r="G26" s="198" t="s">
        <v>201</v>
      </c>
      <c r="H26" s="199"/>
      <c r="I26" s="198" t="s">
        <v>201</v>
      </c>
      <c r="J26" s="199"/>
      <c r="K26" s="198" t="s">
        <v>201</v>
      </c>
      <c r="L26" s="199"/>
      <c r="M26" s="198" t="s">
        <v>201</v>
      </c>
      <c r="N26" s="199"/>
      <c r="O26" s="198" t="s">
        <v>201</v>
      </c>
      <c r="P26" s="199"/>
      <c r="Q26" s="198">
        <v>2720000</v>
      </c>
      <c r="R26" s="199">
        <v>0.46164290563475902</v>
      </c>
      <c r="S26" s="198">
        <v>2976000</v>
      </c>
      <c r="T26" s="199">
        <v>0.47593155285463001</v>
      </c>
      <c r="U26" s="198">
        <v>2963000</v>
      </c>
      <c r="V26" s="199">
        <v>0.47651978128015399</v>
      </c>
    </row>
    <row r="27" spans="1:22" x14ac:dyDescent="0.25">
      <c r="A27" s="98" t="s">
        <v>679</v>
      </c>
      <c r="B27" s="98"/>
      <c r="C27" s="198" t="s">
        <v>201</v>
      </c>
      <c r="D27" s="199"/>
      <c r="E27" s="198" t="s">
        <v>201</v>
      </c>
      <c r="F27" s="199"/>
      <c r="G27" s="198" t="s">
        <v>201</v>
      </c>
      <c r="H27" s="199"/>
      <c r="I27" s="198" t="s">
        <v>201</v>
      </c>
      <c r="J27" s="199"/>
      <c r="K27" s="198" t="s">
        <v>201</v>
      </c>
      <c r="L27" s="199"/>
      <c r="M27" s="198" t="s">
        <v>201</v>
      </c>
      <c r="N27" s="199"/>
      <c r="O27" s="198" t="s">
        <v>201</v>
      </c>
      <c r="P27" s="199"/>
      <c r="Q27" s="198">
        <v>2535000</v>
      </c>
      <c r="R27" s="199">
        <v>0.43024439918533602</v>
      </c>
      <c r="S27" s="198">
        <v>2571000</v>
      </c>
      <c r="T27" s="199">
        <v>0.41116264193187302</v>
      </c>
      <c r="U27" s="198">
        <v>2558000</v>
      </c>
      <c r="V27" s="199">
        <v>0.411386297844966</v>
      </c>
    </row>
    <row r="28" spans="1:22" x14ac:dyDescent="0.25">
      <c r="A28" s="98" t="s">
        <v>680</v>
      </c>
      <c r="B28" s="98"/>
      <c r="C28" s="198" t="s">
        <v>201</v>
      </c>
      <c r="D28" s="199"/>
      <c r="E28" s="198" t="s">
        <v>201</v>
      </c>
      <c r="F28" s="199"/>
      <c r="G28" s="198" t="s">
        <v>201</v>
      </c>
      <c r="H28" s="199"/>
      <c r="I28" s="198" t="s">
        <v>201</v>
      </c>
      <c r="J28" s="199"/>
      <c r="K28" s="198" t="s">
        <v>201</v>
      </c>
      <c r="L28" s="199"/>
      <c r="M28" s="198" t="s">
        <v>201</v>
      </c>
      <c r="N28" s="199"/>
      <c r="O28" s="198" t="s">
        <v>201</v>
      </c>
      <c r="P28" s="199"/>
      <c r="Q28" s="198">
        <v>664000</v>
      </c>
      <c r="R28" s="199">
        <v>0.11269517990495601</v>
      </c>
      <c r="S28" s="198">
        <v>659000</v>
      </c>
      <c r="T28" s="199">
        <v>0.10538941308172101</v>
      </c>
      <c r="U28" s="198">
        <v>641000</v>
      </c>
      <c r="V28" s="199">
        <v>0.103087809585076</v>
      </c>
    </row>
    <row r="29" spans="1:22" x14ac:dyDescent="0.25">
      <c r="A29" s="98" t="s">
        <v>681</v>
      </c>
      <c r="B29" s="98"/>
      <c r="C29" s="198" t="s">
        <v>201</v>
      </c>
      <c r="D29" s="199"/>
      <c r="E29" s="198" t="s">
        <v>201</v>
      </c>
      <c r="F29" s="199"/>
      <c r="G29" s="198" t="s">
        <v>201</v>
      </c>
      <c r="H29" s="199"/>
      <c r="I29" s="198" t="s">
        <v>201</v>
      </c>
      <c r="J29" s="199"/>
      <c r="K29" s="198" t="s">
        <v>201</v>
      </c>
      <c r="L29" s="199"/>
      <c r="M29" s="198" t="s">
        <v>201</v>
      </c>
      <c r="N29" s="199"/>
      <c r="O29" s="198" t="s">
        <v>201</v>
      </c>
      <c r="P29" s="199"/>
      <c r="Q29" s="198">
        <v>463000</v>
      </c>
      <c r="R29" s="199">
        <v>7.8581126951799002E-2</v>
      </c>
      <c r="S29" s="198">
        <v>467000</v>
      </c>
      <c r="T29" s="199">
        <v>7.4684151607228494E-2</v>
      </c>
      <c r="U29" s="198">
        <v>481000</v>
      </c>
      <c r="V29" s="199">
        <v>7.7356063042779005E-2</v>
      </c>
    </row>
    <row r="30" spans="1:22" x14ac:dyDescent="0.25">
      <c r="A30" s="98" t="s">
        <v>682</v>
      </c>
      <c r="B30" s="98"/>
      <c r="C30" s="198" t="s">
        <v>201</v>
      </c>
      <c r="D30" s="199"/>
      <c r="E30" s="198" t="s">
        <v>201</v>
      </c>
      <c r="F30" s="199"/>
      <c r="G30" s="198" t="s">
        <v>201</v>
      </c>
      <c r="H30" s="199"/>
      <c r="I30" s="198" t="s">
        <v>201</v>
      </c>
      <c r="J30" s="199"/>
      <c r="K30" s="198" t="s">
        <v>201</v>
      </c>
      <c r="L30" s="199"/>
      <c r="M30" s="198" t="s">
        <v>201</v>
      </c>
      <c r="N30" s="199"/>
      <c r="O30" s="198" t="s">
        <v>201</v>
      </c>
      <c r="P30" s="199"/>
      <c r="Q30" s="198">
        <v>344000</v>
      </c>
      <c r="R30" s="199">
        <v>5.8384249830278401E-2</v>
      </c>
      <c r="S30" s="198">
        <v>318000</v>
      </c>
      <c r="T30" s="199">
        <v>5.0855589317127803E-2</v>
      </c>
      <c r="U30" s="198">
        <v>338000</v>
      </c>
      <c r="V30" s="199">
        <v>5.4358314570601501E-2</v>
      </c>
    </row>
    <row r="31" spans="1:22" x14ac:dyDescent="0.25">
      <c r="A31" s="98" t="s">
        <v>685</v>
      </c>
      <c r="B31" s="98"/>
      <c r="C31" s="198" t="s">
        <v>201</v>
      </c>
      <c r="D31" s="199"/>
      <c r="E31" s="198" t="s">
        <v>201</v>
      </c>
      <c r="F31" s="199"/>
      <c r="G31" s="198" t="s">
        <v>201</v>
      </c>
      <c r="H31" s="199"/>
      <c r="I31" s="198" t="s">
        <v>201</v>
      </c>
      <c r="J31" s="199"/>
      <c r="K31" s="198" t="s">
        <v>201</v>
      </c>
      <c r="L31" s="199"/>
      <c r="M31" s="198" t="s">
        <v>201</v>
      </c>
      <c r="N31" s="199"/>
      <c r="O31" s="198" t="s">
        <v>201</v>
      </c>
      <c r="P31" s="199"/>
      <c r="Q31" s="198">
        <v>321000</v>
      </c>
      <c r="R31" s="199">
        <v>5.4480651731160901E-2</v>
      </c>
      <c r="S31" s="198">
        <v>325000</v>
      </c>
      <c r="T31" s="199">
        <v>5.1975051975051999E-2</v>
      </c>
      <c r="U31" s="198">
        <v>337000</v>
      </c>
      <c r="V31" s="199">
        <v>5.4197491154712098E-2</v>
      </c>
    </row>
    <row r="32" spans="1:22" x14ac:dyDescent="0.25">
      <c r="A32" s="98" t="s">
        <v>683</v>
      </c>
      <c r="B32" s="98"/>
      <c r="C32" s="198" t="s">
        <v>201</v>
      </c>
      <c r="D32" s="199"/>
      <c r="E32" s="198" t="s">
        <v>201</v>
      </c>
      <c r="F32" s="199"/>
      <c r="G32" s="198" t="s">
        <v>201</v>
      </c>
      <c r="H32" s="199"/>
      <c r="I32" s="198" t="s">
        <v>201</v>
      </c>
      <c r="J32" s="199"/>
      <c r="K32" s="198" t="s">
        <v>201</v>
      </c>
      <c r="L32" s="199"/>
      <c r="M32" s="198" t="s">
        <v>201</v>
      </c>
      <c r="N32" s="199"/>
      <c r="O32" s="198" t="s">
        <v>201</v>
      </c>
      <c r="P32" s="199"/>
      <c r="Q32" s="198">
        <v>278000</v>
      </c>
      <c r="R32" s="199">
        <v>4.7182620502376101E-2</v>
      </c>
      <c r="S32" s="198">
        <v>296000</v>
      </c>
      <c r="T32" s="199">
        <v>4.7337278106508902E-2</v>
      </c>
      <c r="U32" s="198">
        <v>291000</v>
      </c>
      <c r="V32" s="199">
        <v>4.6799614023801901E-2</v>
      </c>
    </row>
    <row r="33" spans="1:22" x14ac:dyDescent="0.25">
      <c r="A33" s="98" t="s">
        <v>684</v>
      </c>
      <c r="B33" s="98"/>
      <c r="C33" s="198" t="s">
        <v>201</v>
      </c>
      <c r="D33" s="199"/>
      <c r="E33" s="198" t="s">
        <v>201</v>
      </c>
      <c r="F33" s="199"/>
      <c r="G33" s="198" t="s">
        <v>201</v>
      </c>
      <c r="H33" s="199"/>
      <c r="I33" s="198" t="s">
        <v>201</v>
      </c>
      <c r="J33" s="199"/>
      <c r="K33" s="198" t="s">
        <v>201</v>
      </c>
      <c r="L33" s="199"/>
      <c r="M33" s="198" t="s">
        <v>201</v>
      </c>
      <c r="N33" s="199"/>
      <c r="O33" s="198" t="s">
        <v>201</v>
      </c>
      <c r="P33" s="199"/>
      <c r="Q33" s="198">
        <v>239000</v>
      </c>
      <c r="R33" s="199">
        <v>4.0563475899524797E-2</v>
      </c>
      <c r="S33" s="198">
        <v>277000</v>
      </c>
      <c r="T33" s="199">
        <v>4.4298736606428898E-2</v>
      </c>
      <c r="U33" s="198">
        <v>267000</v>
      </c>
      <c r="V33" s="199">
        <v>4.2939852042457399E-2</v>
      </c>
    </row>
    <row r="34" spans="1:22" x14ac:dyDescent="0.25">
      <c r="A34" s="98" t="s">
        <v>686</v>
      </c>
      <c r="B34" s="98"/>
      <c r="C34" s="198" t="s">
        <v>201</v>
      </c>
      <c r="D34" s="199"/>
      <c r="E34" s="198" t="s">
        <v>201</v>
      </c>
      <c r="F34" s="199"/>
      <c r="G34" s="198" t="s">
        <v>201</v>
      </c>
      <c r="H34" s="199"/>
      <c r="I34" s="198" t="s">
        <v>201</v>
      </c>
      <c r="J34" s="199"/>
      <c r="K34" s="198" t="s">
        <v>201</v>
      </c>
      <c r="L34" s="199"/>
      <c r="M34" s="198" t="s">
        <v>201</v>
      </c>
      <c r="N34" s="199"/>
      <c r="O34" s="198" t="s">
        <v>201</v>
      </c>
      <c r="P34" s="199"/>
      <c r="Q34" s="198">
        <v>226000</v>
      </c>
      <c r="R34" s="199">
        <v>3.8357094365240998E-2</v>
      </c>
      <c r="S34" s="198">
        <v>229000</v>
      </c>
      <c r="T34" s="199">
        <v>3.6622421237805902E-2</v>
      </c>
      <c r="U34" s="198">
        <v>203000</v>
      </c>
      <c r="V34" s="199">
        <v>3.2647153425538797E-2</v>
      </c>
    </row>
    <row r="35" spans="1:22" x14ac:dyDescent="0.25">
      <c r="A35" s="98" t="s">
        <v>694</v>
      </c>
      <c r="B35" s="98"/>
      <c r="C35" s="198" t="s">
        <v>201</v>
      </c>
      <c r="D35" s="199"/>
      <c r="E35" s="198" t="s">
        <v>201</v>
      </c>
      <c r="F35" s="199"/>
      <c r="G35" s="198" t="s">
        <v>201</v>
      </c>
      <c r="H35" s="199"/>
      <c r="I35" s="198" t="s">
        <v>201</v>
      </c>
      <c r="J35" s="199"/>
      <c r="K35" s="198" t="s">
        <v>201</v>
      </c>
      <c r="L35" s="199"/>
      <c r="M35" s="198" t="s">
        <v>201</v>
      </c>
      <c r="N35" s="199"/>
      <c r="O35" s="198" t="s">
        <v>201</v>
      </c>
      <c r="P35" s="199"/>
      <c r="Q35" s="198">
        <v>637000</v>
      </c>
      <c r="R35" s="199">
        <v>0.108112695179905</v>
      </c>
      <c r="S35" s="198">
        <v>706000</v>
      </c>
      <c r="T35" s="199">
        <v>0.112905805213498</v>
      </c>
      <c r="U35" s="198">
        <v>697000</v>
      </c>
      <c r="V35" s="199">
        <v>0.112093920874879</v>
      </c>
    </row>
    <row r="36" spans="1:22" x14ac:dyDescent="0.25">
      <c r="A36" s="98" t="s">
        <v>696</v>
      </c>
      <c r="B36" s="98"/>
      <c r="C36" s="198" t="s">
        <v>201</v>
      </c>
      <c r="D36" s="199"/>
      <c r="E36" s="198" t="s">
        <v>201</v>
      </c>
      <c r="F36" s="199"/>
      <c r="G36" s="198" t="s">
        <v>201</v>
      </c>
      <c r="H36" s="199"/>
      <c r="I36" s="198" t="s">
        <v>201</v>
      </c>
      <c r="J36" s="199"/>
      <c r="K36" s="198" t="s">
        <v>201</v>
      </c>
      <c r="L36" s="199"/>
      <c r="M36" s="198" t="s">
        <v>201</v>
      </c>
      <c r="N36" s="199"/>
      <c r="O36" s="198" t="s">
        <v>201</v>
      </c>
      <c r="P36" s="199"/>
      <c r="Q36" s="198">
        <v>0</v>
      </c>
      <c r="R36" s="199"/>
      <c r="S36" s="198">
        <v>0</v>
      </c>
      <c r="T36" s="199"/>
      <c r="U36" s="198">
        <v>0</v>
      </c>
      <c r="V36" s="199"/>
    </row>
    <row r="37" spans="1:22" x14ac:dyDescent="0.25">
      <c r="A37" s="98" t="s">
        <v>697</v>
      </c>
      <c r="B37" s="98"/>
      <c r="C37" s="198" t="s">
        <v>201</v>
      </c>
      <c r="D37" s="199"/>
      <c r="E37" s="198" t="s">
        <v>201</v>
      </c>
      <c r="F37" s="199"/>
      <c r="G37" s="198" t="s">
        <v>201</v>
      </c>
      <c r="H37" s="199"/>
      <c r="I37" s="198" t="s">
        <v>201</v>
      </c>
      <c r="J37" s="199"/>
      <c r="K37" s="198" t="s">
        <v>201</v>
      </c>
      <c r="L37" s="199"/>
      <c r="M37" s="198" t="s">
        <v>201</v>
      </c>
      <c r="N37" s="199"/>
      <c r="O37" s="198" t="s">
        <v>201</v>
      </c>
      <c r="P37" s="199"/>
      <c r="Q37" s="198">
        <v>0</v>
      </c>
      <c r="R37" s="199"/>
      <c r="S37" s="198">
        <v>0</v>
      </c>
      <c r="T37" s="199"/>
      <c r="U37" s="198">
        <v>0</v>
      </c>
      <c r="V37" s="199"/>
    </row>
    <row r="38" spans="1:22" x14ac:dyDescent="0.25">
      <c r="A38" s="96" t="s">
        <v>699</v>
      </c>
      <c r="B38" s="96"/>
      <c r="C38" s="196" t="s">
        <v>201</v>
      </c>
      <c r="D38" s="197"/>
      <c r="E38" s="196" t="s">
        <v>201</v>
      </c>
      <c r="F38" s="197"/>
      <c r="G38" s="196" t="s">
        <v>201</v>
      </c>
      <c r="H38" s="197"/>
      <c r="I38" s="196" t="s">
        <v>201</v>
      </c>
      <c r="J38" s="197"/>
      <c r="K38" s="196" t="s">
        <v>201</v>
      </c>
      <c r="L38" s="197"/>
      <c r="M38" s="196" t="s">
        <v>201</v>
      </c>
      <c r="N38" s="197"/>
      <c r="O38" s="196" t="s">
        <v>201</v>
      </c>
      <c r="P38" s="197"/>
      <c r="Q38" s="196" t="s">
        <v>201</v>
      </c>
      <c r="R38" s="197"/>
      <c r="S38" s="196" t="s">
        <v>201</v>
      </c>
      <c r="T38" s="197"/>
      <c r="U38" s="196" t="s">
        <v>201</v>
      </c>
      <c r="V38" s="197"/>
    </row>
    <row r="39" spans="1:22" x14ac:dyDescent="0.25">
      <c r="A39" s="98" t="s">
        <v>694</v>
      </c>
      <c r="B39" s="98"/>
      <c r="C39" s="198">
        <v>2423</v>
      </c>
      <c r="D39" s="199"/>
      <c r="E39" s="198">
        <v>2258</v>
      </c>
      <c r="F39" s="199"/>
      <c r="G39" s="198">
        <v>2164</v>
      </c>
      <c r="H39" s="199"/>
      <c r="I39" s="198">
        <v>2187</v>
      </c>
      <c r="J39" s="199"/>
      <c r="K39" s="198">
        <v>2464</v>
      </c>
      <c r="L39" s="199"/>
      <c r="M39" s="198">
        <v>2532</v>
      </c>
      <c r="N39" s="199"/>
      <c r="O39" s="198">
        <v>2456</v>
      </c>
      <c r="P39" s="199"/>
      <c r="Q39" s="198">
        <v>2193</v>
      </c>
      <c r="R39" s="199"/>
      <c r="S39" s="198">
        <v>2535</v>
      </c>
      <c r="T39" s="199"/>
      <c r="U39" s="198">
        <v>3492</v>
      </c>
      <c r="V39" s="199"/>
    </row>
    <row r="40" spans="1:22" x14ac:dyDescent="0.25">
      <c r="A40" s="98" t="s">
        <v>679</v>
      </c>
      <c r="B40" s="98"/>
      <c r="C40" s="198">
        <v>2548</v>
      </c>
      <c r="D40" s="199"/>
      <c r="E40" s="198">
        <v>2595</v>
      </c>
      <c r="F40" s="199"/>
      <c r="G40" s="198">
        <v>2542</v>
      </c>
      <c r="H40" s="199"/>
      <c r="I40" s="198">
        <v>2549</v>
      </c>
      <c r="J40" s="199"/>
      <c r="K40" s="198">
        <v>2616</v>
      </c>
      <c r="L40" s="199"/>
      <c r="M40" s="198">
        <v>2774</v>
      </c>
      <c r="N40" s="199"/>
      <c r="O40" s="198">
        <v>2803</v>
      </c>
      <c r="P40" s="199"/>
      <c r="Q40" s="198">
        <v>2791</v>
      </c>
      <c r="R40" s="199"/>
      <c r="S40" s="198">
        <v>2932</v>
      </c>
      <c r="T40" s="199"/>
      <c r="U40" s="198">
        <v>3221</v>
      </c>
      <c r="V40" s="199"/>
    </row>
    <row r="41" spans="1:22" x14ac:dyDescent="0.25">
      <c r="A41" s="98" t="s">
        <v>680</v>
      </c>
      <c r="B41" s="98"/>
      <c r="C41" s="198">
        <v>3564</v>
      </c>
      <c r="D41" s="199"/>
      <c r="E41" s="198">
        <v>3513</v>
      </c>
      <c r="F41" s="199"/>
      <c r="G41" s="198">
        <v>3146</v>
      </c>
      <c r="H41" s="199"/>
      <c r="I41" s="198">
        <v>3130</v>
      </c>
      <c r="J41" s="199"/>
      <c r="K41" s="198">
        <v>3289</v>
      </c>
      <c r="L41" s="199"/>
      <c r="M41" s="198">
        <v>3465</v>
      </c>
      <c r="N41" s="199"/>
      <c r="O41" s="198">
        <v>3507</v>
      </c>
      <c r="P41" s="199"/>
      <c r="Q41" s="198">
        <v>3477</v>
      </c>
      <c r="R41" s="199"/>
      <c r="S41" s="198">
        <v>3674</v>
      </c>
      <c r="T41" s="199"/>
      <c r="U41" s="198">
        <v>4031</v>
      </c>
      <c r="V41" s="199"/>
    </row>
    <row r="42" spans="1:22" x14ac:dyDescent="0.25">
      <c r="A42" s="98" t="s">
        <v>681</v>
      </c>
      <c r="B42" s="98"/>
      <c r="C42" s="198" t="s">
        <v>201</v>
      </c>
      <c r="D42" s="199"/>
      <c r="E42" s="198" t="s">
        <v>201</v>
      </c>
      <c r="F42" s="199"/>
      <c r="G42" s="198">
        <v>2674</v>
      </c>
      <c r="H42" s="199"/>
      <c r="I42" s="198">
        <v>2696</v>
      </c>
      <c r="J42" s="199"/>
      <c r="K42" s="198">
        <v>2780</v>
      </c>
      <c r="L42" s="199"/>
      <c r="M42" s="198">
        <v>2922</v>
      </c>
      <c r="N42" s="199"/>
      <c r="O42" s="198">
        <v>3006</v>
      </c>
      <c r="P42" s="199"/>
      <c r="Q42" s="198">
        <v>2994</v>
      </c>
      <c r="R42" s="199"/>
      <c r="S42" s="198">
        <v>3128</v>
      </c>
      <c r="T42" s="199"/>
      <c r="U42" s="198">
        <v>3459</v>
      </c>
      <c r="V42" s="199"/>
    </row>
    <row r="43" spans="1:22" x14ac:dyDescent="0.25">
      <c r="A43" s="98" t="s">
        <v>683</v>
      </c>
      <c r="B43" s="98"/>
      <c r="C43" s="198">
        <v>2601</v>
      </c>
      <c r="D43" s="199"/>
      <c r="E43" s="198">
        <v>2668</v>
      </c>
      <c r="F43" s="199"/>
      <c r="G43" s="198">
        <v>2745</v>
      </c>
      <c r="H43" s="199"/>
      <c r="I43" s="198">
        <v>2821</v>
      </c>
      <c r="J43" s="199"/>
      <c r="K43" s="198">
        <v>2860</v>
      </c>
      <c r="L43" s="199"/>
      <c r="M43" s="198">
        <v>2982</v>
      </c>
      <c r="N43" s="199"/>
      <c r="O43" s="198">
        <v>3049</v>
      </c>
      <c r="P43" s="199"/>
      <c r="Q43" s="198">
        <v>3000</v>
      </c>
      <c r="R43" s="199"/>
      <c r="S43" s="198">
        <v>3101</v>
      </c>
      <c r="T43" s="199"/>
      <c r="U43" s="198">
        <v>3423</v>
      </c>
      <c r="V43" s="199"/>
    </row>
    <row r="44" spans="1:22" x14ac:dyDescent="0.25">
      <c r="A44" s="98" t="s">
        <v>682</v>
      </c>
      <c r="B44" s="98"/>
      <c r="C44" s="198">
        <v>2817</v>
      </c>
      <c r="D44" s="199"/>
      <c r="E44" s="198">
        <v>2789</v>
      </c>
      <c r="F44" s="199"/>
      <c r="G44" s="198">
        <v>2611</v>
      </c>
      <c r="H44" s="199"/>
      <c r="I44" s="198">
        <v>2616</v>
      </c>
      <c r="J44" s="199"/>
      <c r="K44" s="198">
        <v>2615</v>
      </c>
      <c r="L44" s="199"/>
      <c r="M44" s="198">
        <v>2737</v>
      </c>
      <c r="N44" s="199"/>
      <c r="O44" s="198">
        <v>2711</v>
      </c>
      <c r="P44" s="199"/>
      <c r="Q44" s="198">
        <v>2674</v>
      </c>
      <c r="R44" s="199"/>
      <c r="S44" s="198">
        <v>2786</v>
      </c>
      <c r="T44" s="199"/>
      <c r="U44" s="198">
        <v>3118</v>
      </c>
      <c r="V44" s="199"/>
    </row>
    <row r="45" spans="1:22" x14ac:dyDescent="0.25">
      <c r="A45" s="98" t="s">
        <v>684</v>
      </c>
      <c r="B45" s="98"/>
      <c r="C45" s="198" t="s">
        <v>201</v>
      </c>
      <c r="D45" s="199"/>
      <c r="E45" s="198" t="s">
        <v>201</v>
      </c>
      <c r="F45" s="199"/>
      <c r="G45" s="198">
        <v>2546</v>
      </c>
      <c r="H45" s="199"/>
      <c r="I45" s="198">
        <v>2718</v>
      </c>
      <c r="J45" s="199"/>
      <c r="K45" s="198">
        <v>2746</v>
      </c>
      <c r="L45" s="199"/>
      <c r="M45" s="198">
        <v>2880</v>
      </c>
      <c r="N45" s="199"/>
      <c r="O45" s="198">
        <v>2988</v>
      </c>
      <c r="P45" s="199"/>
      <c r="Q45" s="198">
        <v>2824</v>
      </c>
      <c r="R45" s="199"/>
      <c r="S45" s="198">
        <v>2874</v>
      </c>
      <c r="T45" s="199"/>
      <c r="U45" s="198">
        <v>3101</v>
      </c>
      <c r="V45" s="199"/>
    </row>
    <row r="46" spans="1:22" x14ac:dyDescent="0.25">
      <c r="A46" s="98" t="s">
        <v>686</v>
      </c>
      <c r="B46" s="98"/>
      <c r="C46" s="198">
        <v>1612</v>
      </c>
      <c r="D46" s="199"/>
      <c r="E46" s="198">
        <v>1618</v>
      </c>
      <c r="F46" s="199"/>
      <c r="G46" s="198">
        <v>1625</v>
      </c>
      <c r="H46" s="199"/>
      <c r="I46" s="198">
        <v>1543</v>
      </c>
      <c r="J46" s="199"/>
      <c r="K46" s="198">
        <v>1601</v>
      </c>
      <c r="L46" s="199"/>
      <c r="M46" s="198">
        <v>1782</v>
      </c>
      <c r="N46" s="199"/>
      <c r="O46" s="198">
        <v>1774</v>
      </c>
      <c r="P46" s="199"/>
      <c r="Q46" s="198">
        <v>1832</v>
      </c>
      <c r="R46" s="199"/>
      <c r="S46" s="198">
        <v>2052</v>
      </c>
      <c r="T46" s="199"/>
      <c r="U46" s="198">
        <v>2241</v>
      </c>
      <c r="V46" s="199"/>
    </row>
    <row r="47" spans="1:22" x14ac:dyDescent="0.25">
      <c r="A47" s="98" t="s">
        <v>685</v>
      </c>
      <c r="B47" s="98"/>
      <c r="C47" s="198">
        <v>1571</v>
      </c>
      <c r="D47" s="199"/>
      <c r="E47" s="198">
        <v>1567</v>
      </c>
      <c r="F47" s="199"/>
      <c r="G47" s="198">
        <v>1500</v>
      </c>
      <c r="H47" s="199"/>
      <c r="I47" s="198">
        <v>1497</v>
      </c>
      <c r="J47" s="199"/>
      <c r="K47" s="198">
        <v>1549</v>
      </c>
      <c r="L47" s="199"/>
      <c r="M47" s="198">
        <v>1644</v>
      </c>
      <c r="N47" s="199"/>
      <c r="O47" s="198">
        <v>1642</v>
      </c>
      <c r="P47" s="199"/>
      <c r="Q47" s="198">
        <v>1676</v>
      </c>
      <c r="R47" s="199"/>
      <c r="S47" s="198">
        <v>1806</v>
      </c>
      <c r="T47" s="199"/>
      <c r="U47" s="198">
        <v>1953</v>
      </c>
      <c r="V47" s="199"/>
    </row>
    <row r="48" spans="1:22" x14ac:dyDescent="0.25">
      <c r="A48" s="98" t="s">
        <v>700</v>
      </c>
      <c r="B48" s="98"/>
      <c r="C48" s="198">
        <v>1760</v>
      </c>
      <c r="D48" s="199"/>
      <c r="E48" s="198">
        <v>1956</v>
      </c>
      <c r="F48" s="199"/>
      <c r="G48" s="198" t="s">
        <v>201</v>
      </c>
      <c r="H48" s="199"/>
      <c r="I48" s="198" t="s">
        <v>201</v>
      </c>
      <c r="J48" s="199"/>
      <c r="K48" s="198" t="s">
        <v>201</v>
      </c>
      <c r="L48" s="199"/>
      <c r="M48" s="198" t="s">
        <v>201</v>
      </c>
      <c r="N48" s="199"/>
      <c r="O48" s="198" t="s">
        <v>201</v>
      </c>
      <c r="P48" s="199"/>
      <c r="Q48" s="198" t="s">
        <v>201</v>
      </c>
      <c r="R48" s="199"/>
      <c r="S48" s="198" t="s">
        <v>201</v>
      </c>
      <c r="T48" s="199"/>
      <c r="U48" s="198" t="s">
        <v>201</v>
      </c>
      <c r="V48" s="199"/>
    </row>
    <row r="49" spans="1:22" x14ac:dyDescent="0.25">
      <c r="A49" s="98" t="s">
        <v>701</v>
      </c>
      <c r="B49" s="98"/>
      <c r="C49" s="198">
        <v>2458</v>
      </c>
      <c r="D49" s="199"/>
      <c r="E49" s="198">
        <v>2540</v>
      </c>
      <c r="F49" s="199"/>
      <c r="G49" s="198" t="s">
        <v>201</v>
      </c>
      <c r="H49" s="199"/>
      <c r="I49" s="198" t="s">
        <v>201</v>
      </c>
      <c r="J49" s="199"/>
      <c r="K49" s="198" t="s">
        <v>201</v>
      </c>
      <c r="L49" s="199"/>
      <c r="M49" s="198" t="s">
        <v>201</v>
      </c>
      <c r="N49" s="199"/>
      <c r="O49" s="198" t="s">
        <v>201</v>
      </c>
      <c r="P49" s="199"/>
      <c r="Q49" s="198" t="s">
        <v>201</v>
      </c>
      <c r="R49" s="199"/>
      <c r="S49" s="198" t="s">
        <v>201</v>
      </c>
      <c r="T49" s="199"/>
      <c r="U49" s="198" t="s">
        <v>201</v>
      </c>
      <c r="V49" s="199"/>
    </row>
    <row r="50" spans="1:22" x14ac:dyDescent="0.25">
      <c r="A50" s="98" t="s">
        <v>702</v>
      </c>
      <c r="B50" s="98"/>
      <c r="C50" s="198">
        <v>2802</v>
      </c>
      <c r="D50" s="199"/>
      <c r="E50" s="198">
        <v>2819</v>
      </c>
      <c r="F50" s="199"/>
      <c r="G50" s="198" t="s">
        <v>201</v>
      </c>
      <c r="H50" s="199"/>
      <c r="I50" s="198" t="s">
        <v>201</v>
      </c>
      <c r="J50" s="199"/>
      <c r="K50" s="198" t="s">
        <v>201</v>
      </c>
      <c r="L50" s="199"/>
      <c r="M50" s="198" t="s">
        <v>201</v>
      </c>
      <c r="N50" s="199"/>
      <c r="O50" s="198" t="s">
        <v>201</v>
      </c>
      <c r="P50" s="199"/>
      <c r="Q50" s="198" t="s">
        <v>201</v>
      </c>
      <c r="R50" s="199"/>
      <c r="S50" s="198" t="s">
        <v>201</v>
      </c>
      <c r="T50" s="199"/>
      <c r="U50" s="198" t="s">
        <v>201</v>
      </c>
      <c r="V50" s="199"/>
    </row>
    <row r="51" spans="1:22" x14ac:dyDescent="0.25">
      <c r="A51" s="98" t="s">
        <v>703</v>
      </c>
      <c r="B51" s="98"/>
      <c r="C51" s="198">
        <v>2597</v>
      </c>
      <c r="D51" s="199"/>
      <c r="E51" s="198">
        <v>2697</v>
      </c>
      <c r="F51" s="199"/>
      <c r="G51" s="198" t="s">
        <v>201</v>
      </c>
      <c r="H51" s="199"/>
      <c r="I51" s="198" t="s">
        <v>201</v>
      </c>
      <c r="J51" s="199"/>
      <c r="K51" s="198" t="s">
        <v>201</v>
      </c>
      <c r="L51" s="199"/>
      <c r="M51" s="198" t="s">
        <v>201</v>
      </c>
      <c r="N51" s="199"/>
      <c r="O51" s="198" t="s">
        <v>201</v>
      </c>
      <c r="P51" s="199"/>
      <c r="Q51" s="198" t="s">
        <v>201</v>
      </c>
      <c r="R51" s="199"/>
      <c r="S51" s="198" t="s">
        <v>201</v>
      </c>
      <c r="T51" s="199"/>
      <c r="U51" s="198" t="s">
        <v>201</v>
      </c>
      <c r="V51" s="199"/>
    </row>
    <row r="52" spans="1:22" x14ac:dyDescent="0.25">
      <c r="A52" s="98" t="s">
        <v>695</v>
      </c>
      <c r="B52" s="98"/>
      <c r="C52" s="198">
        <v>657</v>
      </c>
      <c r="D52" s="199"/>
      <c r="E52" s="198">
        <v>656</v>
      </c>
      <c r="F52" s="199"/>
      <c r="G52" s="198">
        <v>621</v>
      </c>
      <c r="H52" s="199"/>
      <c r="I52" s="198">
        <v>614</v>
      </c>
      <c r="J52" s="199"/>
      <c r="K52" s="198">
        <v>633</v>
      </c>
      <c r="L52" s="199"/>
      <c r="M52" s="198">
        <v>667</v>
      </c>
      <c r="N52" s="199"/>
      <c r="O52" s="198">
        <v>659</v>
      </c>
      <c r="P52" s="199"/>
      <c r="Q52" s="198">
        <v>626</v>
      </c>
      <c r="R52" s="199"/>
      <c r="S52" s="198">
        <v>685</v>
      </c>
      <c r="T52" s="199"/>
      <c r="U52" s="198">
        <v>778</v>
      </c>
      <c r="V52" s="199"/>
    </row>
    <row r="53" spans="1:22" x14ac:dyDescent="0.25">
      <c r="A53" s="98" t="s">
        <v>696</v>
      </c>
      <c r="B53" s="98"/>
      <c r="C53" s="198" t="s">
        <v>201</v>
      </c>
      <c r="D53" s="199"/>
      <c r="E53" s="198" t="s">
        <v>201</v>
      </c>
      <c r="F53" s="199"/>
      <c r="G53" s="198" t="s">
        <v>201</v>
      </c>
      <c r="H53" s="199"/>
      <c r="I53" s="198" t="s">
        <v>201</v>
      </c>
      <c r="J53" s="199"/>
      <c r="K53" s="198" t="s">
        <v>201</v>
      </c>
      <c r="L53" s="199"/>
      <c r="M53" s="198" t="s">
        <v>201</v>
      </c>
      <c r="N53" s="199"/>
      <c r="O53" s="198" t="s">
        <v>201</v>
      </c>
      <c r="P53" s="199"/>
      <c r="Q53" s="198">
        <v>0</v>
      </c>
      <c r="R53" s="199"/>
      <c r="S53" s="198">
        <v>0</v>
      </c>
      <c r="T53" s="199"/>
      <c r="U53" s="198">
        <v>0</v>
      </c>
      <c r="V53" s="199"/>
    </row>
    <row r="54" spans="1:22" x14ac:dyDescent="0.25">
      <c r="A54" s="98" t="s">
        <v>697</v>
      </c>
      <c r="B54" s="98"/>
      <c r="C54" s="198">
        <v>0</v>
      </c>
      <c r="D54" s="199"/>
      <c r="E54" s="198">
        <v>0</v>
      </c>
      <c r="F54" s="199"/>
      <c r="G54" s="198">
        <v>0</v>
      </c>
      <c r="H54" s="199"/>
      <c r="I54" s="198">
        <v>0</v>
      </c>
      <c r="J54" s="199"/>
      <c r="K54" s="198">
        <v>0</v>
      </c>
      <c r="L54" s="199"/>
      <c r="M54" s="198">
        <v>0</v>
      </c>
      <c r="N54" s="199"/>
      <c r="O54" s="198">
        <v>0</v>
      </c>
      <c r="P54" s="199"/>
      <c r="Q54" s="198">
        <v>0</v>
      </c>
      <c r="R54" s="199"/>
      <c r="S54" s="198">
        <v>0</v>
      </c>
      <c r="T54" s="199"/>
      <c r="U54" s="198">
        <v>0</v>
      </c>
      <c r="V54" s="199"/>
    </row>
    <row r="55" spans="1:22" x14ac:dyDescent="0.25">
      <c r="A55" s="96" t="s">
        <v>704</v>
      </c>
      <c r="B55" s="96"/>
      <c r="C55" s="196" t="s">
        <v>201</v>
      </c>
      <c r="D55" s="197"/>
      <c r="E55" s="196" t="s">
        <v>201</v>
      </c>
      <c r="F55" s="197"/>
      <c r="G55" s="196" t="s">
        <v>201</v>
      </c>
      <c r="H55" s="197"/>
      <c r="I55" s="196" t="s">
        <v>201</v>
      </c>
      <c r="J55" s="197"/>
      <c r="K55" s="196" t="s">
        <v>201</v>
      </c>
      <c r="L55" s="197"/>
      <c r="M55" s="196" t="s">
        <v>201</v>
      </c>
      <c r="N55" s="197"/>
      <c r="O55" s="196" t="s">
        <v>201</v>
      </c>
      <c r="P55" s="197"/>
      <c r="Q55" s="196" t="s">
        <v>201</v>
      </c>
      <c r="R55" s="197"/>
      <c r="S55" s="196" t="s">
        <v>201</v>
      </c>
      <c r="T55" s="197"/>
      <c r="U55" s="196" t="s">
        <v>201</v>
      </c>
      <c r="V55" s="197"/>
    </row>
    <row r="56" spans="1:22" x14ac:dyDescent="0.25">
      <c r="A56" s="98" t="s">
        <v>694</v>
      </c>
      <c r="B56" s="98"/>
      <c r="C56" s="198">
        <v>-2</v>
      </c>
      <c r="D56" s="199"/>
      <c r="E56" s="198">
        <v>-7</v>
      </c>
      <c r="F56" s="199"/>
      <c r="G56" s="198">
        <v>-4</v>
      </c>
      <c r="H56" s="199"/>
      <c r="I56" s="198">
        <v>1</v>
      </c>
      <c r="J56" s="199"/>
      <c r="K56" s="198">
        <v>13</v>
      </c>
      <c r="L56" s="199"/>
      <c r="M56" s="198">
        <v>3</v>
      </c>
      <c r="N56" s="199"/>
      <c r="O56" s="198">
        <v>-3</v>
      </c>
      <c r="P56" s="199"/>
      <c r="Q56" s="198">
        <v>-11</v>
      </c>
      <c r="R56" s="199"/>
      <c r="S56" s="198">
        <v>16</v>
      </c>
      <c r="T56" s="199"/>
      <c r="U56" s="198">
        <v>38</v>
      </c>
      <c r="V56" s="199"/>
    </row>
    <row r="57" spans="1:22" x14ac:dyDescent="0.25">
      <c r="A57" s="98" t="s">
        <v>695</v>
      </c>
      <c r="B57" s="98"/>
      <c r="C57" s="198">
        <v>1</v>
      </c>
      <c r="D57" s="199"/>
      <c r="E57" s="198">
        <v>0</v>
      </c>
      <c r="F57" s="199"/>
      <c r="G57" s="198">
        <v>-5</v>
      </c>
      <c r="H57" s="199"/>
      <c r="I57" s="198">
        <v>-1</v>
      </c>
      <c r="J57" s="199"/>
      <c r="K57" s="198">
        <v>3</v>
      </c>
      <c r="L57" s="199"/>
      <c r="M57" s="198">
        <v>5</v>
      </c>
      <c r="N57" s="199"/>
      <c r="O57" s="198">
        <v>-1</v>
      </c>
      <c r="P57" s="199"/>
      <c r="Q57" s="198">
        <v>-5</v>
      </c>
      <c r="R57" s="199"/>
      <c r="S57" s="198">
        <v>9</v>
      </c>
      <c r="T57" s="199"/>
      <c r="U57" s="198">
        <v>14</v>
      </c>
      <c r="V57" s="199"/>
    </row>
    <row r="58" spans="1:22" x14ac:dyDescent="0.25">
      <c r="A58" s="98" t="s">
        <v>679</v>
      </c>
      <c r="B58" s="98"/>
      <c r="C58" s="198">
        <v>2</v>
      </c>
      <c r="D58" s="199"/>
      <c r="E58" s="198">
        <v>2</v>
      </c>
      <c r="F58" s="199"/>
      <c r="G58" s="198">
        <v>-2</v>
      </c>
      <c r="H58" s="199"/>
      <c r="I58" s="198">
        <v>0</v>
      </c>
      <c r="J58" s="199"/>
      <c r="K58" s="198">
        <v>3</v>
      </c>
      <c r="L58" s="199"/>
      <c r="M58" s="198">
        <v>6</v>
      </c>
      <c r="N58" s="199"/>
      <c r="O58" s="198">
        <v>1</v>
      </c>
      <c r="P58" s="199"/>
      <c r="Q58" s="198">
        <v>0</v>
      </c>
      <c r="R58" s="199"/>
      <c r="S58" s="198">
        <v>5</v>
      </c>
      <c r="T58" s="199"/>
      <c r="U58" s="198">
        <v>10</v>
      </c>
      <c r="V58" s="199"/>
    </row>
    <row r="59" spans="1:22" x14ac:dyDescent="0.25">
      <c r="A59" s="98" t="s">
        <v>682</v>
      </c>
      <c r="B59" s="98"/>
      <c r="C59" s="198">
        <v>4</v>
      </c>
      <c r="D59" s="199"/>
      <c r="E59" s="198">
        <v>-1</v>
      </c>
      <c r="F59" s="199"/>
      <c r="G59" s="198">
        <v>-6</v>
      </c>
      <c r="H59" s="199"/>
      <c r="I59" s="198">
        <v>0</v>
      </c>
      <c r="J59" s="199"/>
      <c r="K59" s="198">
        <v>0</v>
      </c>
      <c r="L59" s="199"/>
      <c r="M59" s="198">
        <v>5</v>
      </c>
      <c r="N59" s="199"/>
      <c r="O59" s="198">
        <v>-1</v>
      </c>
      <c r="P59" s="199"/>
      <c r="Q59" s="198">
        <v>-1</v>
      </c>
      <c r="R59" s="199"/>
      <c r="S59" s="198">
        <v>4</v>
      </c>
      <c r="T59" s="199"/>
      <c r="U59" s="198">
        <v>12</v>
      </c>
      <c r="V59" s="199"/>
    </row>
    <row r="60" spans="1:22" x14ac:dyDescent="0.25">
      <c r="A60" s="98" t="s">
        <v>681</v>
      </c>
      <c r="B60" s="98"/>
      <c r="C60" s="198" t="s">
        <v>201</v>
      </c>
      <c r="D60" s="199"/>
      <c r="E60" s="198" t="s">
        <v>201</v>
      </c>
      <c r="F60" s="199"/>
      <c r="G60" s="198" t="s">
        <v>201</v>
      </c>
      <c r="H60" s="199"/>
      <c r="I60" s="198">
        <v>1</v>
      </c>
      <c r="J60" s="199"/>
      <c r="K60" s="198">
        <v>3</v>
      </c>
      <c r="L60" s="199"/>
      <c r="M60" s="198">
        <v>5</v>
      </c>
      <c r="N60" s="199"/>
      <c r="O60" s="198">
        <v>3</v>
      </c>
      <c r="P60" s="199"/>
      <c r="Q60" s="198">
        <v>0</v>
      </c>
      <c r="R60" s="199"/>
      <c r="S60" s="198">
        <v>4</v>
      </c>
      <c r="T60" s="199"/>
      <c r="U60" s="198">
        <v>11</v>
      </c>
      <c r="V60" s="199"/>
    </row>
    <row r="61" spans="1:22" x14ac:dyDescent="0.25">
      <c r="A61" s="98" t="s">
        <v>680</v>
      </c>
      <c r="B61" s="98"/>
      <c r="C61" s="198">
        <v>0</v>
      </c>
      <c r="D61" s="199"/>
      <c r="E61" s="198">
        <v>-1</v>
      </c>
      <c r="F61" s="199"/>
      <c r="G61" s="198">
        <v>-4</v>
      </c>
      <c r="H61" s="199"/>
      <c r="I61" s="198">
        <v>-1</v>
      </c>
      <c r="J61" s="199"/>
      <c r="K61" s="198">
        <v>5</v>
      </c>
      <c r="L61" s="199"/>
      <c r="M61" s="198">
        <v>5</v>
      </c>
      <c r="N61" s="199"/>
      <c r="O61" s="198">
        <v>1</v>
      </c>
      <c r="P61" s="199"/>
      <c r="Q61" s="198">
        <v>-1</v>
      </c>
      <c r="R61" s="199"/>
      <c r="S61" s="198">
        <v>6</v>
      </c>
      <c r="T61" s="199"/>
      <c r="U61" s="198">
        <v>10</v>
      </c>
      <c r="V61" s="199"/>
    </row>
    <row r="62" spans="1:22" x14ac:dyDescent="0.25">
      <c r="A62" s="98" t="s">
        <v>683</v>
      </c>
      <c r="B62" s="98"/>
      <c r="C62" s="198">
        <v>3</v>
      </c>
      <c r="D62" s="199"/>
      <c r="E62" s="198">
        <v>3</v>
      </c>
      <c r="F62" s="199"/>
      <c r="G62" s="198">
        <v>3</v>
      </c>
      <c r="H62" s="199"/>
      <c r="I62" s="198">
        <v>3</v>
      </c>
      <c r="J62" s="199"/>
      <c r="K62" s="198">
        <v>1</v>
      </c>
      <c r="L62" s="199"/>
      <c r="M62" s="198">
        <v>4</v>
      </c>
      <c r="N62" s="199"/>
      <c r="O62" s="198">
        <v>2</v>
      </c>
      <c r="P62" s="199"/>
      <c r="Q62" s="198">
        <v>0</v>
      </c>
      <c r="R62" s="199"/>
      <c r="S62" s="198">
        <v>3</v>
      </c>
      <c r="T62" s="199"/>
      <c r="U62" s="198">
        <v>10</v>
      </c>
      <c r="V62" s="199"/>
    </row>
    <row r="63" spans="1:22" x14ac:dyDescent="0.25">
      <c r="A63" s="98" t="s">
        <v>686</v>
      </c>
      <c r="B63" s="98"/>
      <c r="C63" s="198">
        <v>1</v>
      </c>
      <c r="D63" s="199"/>
      <c r="E63" s="198">
        <v>0</v>
      </c>
      <c r="F63" s="199"/>
      <c r="G63" s="198">
        <v>0</v>
      </c>
      <c r="H63" s="199"/>
      <c r="I63" s="198">
        <v>-5</v>
      </c>
      <c r="J63" s="199"/>
      <c r="K63" s="198">
        <v>4</v>
      </c>
      <c r="L63" s="199"/>
      <c r="M63" s="198">
        <v>11</v>
      </c>
      <c r="N63" s="199"/>
      <c r="O63" s="198">
        <v>0</v>
      </c>
      <c r="P63" s="199"/>
      <c r="Q63" s="198">
        <v>2</v>
      </c>
      <c r="R63" s="199"/>
      <c r="S63" s="198">
        <v>12</v>
      </c>
      <c r="T63" s="199"/>
      <c r="U63" s="198">
        <v>9</v>
      </c>
      <c r="V63" s="199"/>
    </row>
    <row r="64" spans="1:22" x14ac:dyDescent="0.25">
      <c r="A64" s="98" t="s">
        <v>685</v>
      </c>
      <c r="B64" s="98"/>
      <c r="C64" s="198">
        <v>4</v>
      </c>
      <c r="D64" s="199"/>
      <c r="E64" s="198">
        <v>0</v>
      </c>
      <c r="F64" s="199"/>
      <c r="G64" s="198">
        <v>-4</v>
      </c>
      <c r="H64" s="199"/>
      <c r="I64" s="198">
        <v>0</v>
      </c>
      <c r="J64" s="199"/>
      <c r="K64" s="198">
        <v>3</v>
      </c>
      <c r="L64" s="199"/>
      <c r="M64" s="198">
        <v>6</v>
      </c>
      <c r="N64" s="199"/>
      <c r="O64" s="198">
        <v>0</v>
      </c>
      <c r="P64" s="199"/>
      <c r="Q64" s="198">
        <v>1</v>
      </c>
      <c r="R64" s="199"/>
      <c r="S64" s="198">
        <v>8</v>
      </c>
      <c r="T64" s="199"/>
      <c r="U64" s="198">
        <v>8</v>
      </c>
      <c r="V64" s="199"/>
    </row>
    <row r="65" spans="1:22" x14ac:dyDescent="0.25">
      <c r="A65" s="98" t="s">
        <v>684</v>
      </c>
      <c r="B65" s="98"/>
      <c r="C65" s="198" t="s">
        <v>201</v>
      </c>
      <c r="D65" s="199"/>
      <c r="E65" s="198" t="s">
        <v>201</v>
      </c>
      <c r="F65" s="199"/>
      <c r="G65" s="198" t="s">
        <v>201</v>
      </c>
      <c r="H65" s="199"/>
      <c r="I65" s="198">
        <v>7</v>
      </c>
      <c r="J65" s="199"/>
      <c r="K65" s="198">
        <v>1</v>
      </c>
      <c r="L65" s="199"/>
      <c r="M65" s="198">
        <v>5</v>
      </c>
      <c r="N65" s="199"/>
      <c r="O65" s="198">
        <v>4</v>
      </c>
      <c r="P65" s="199"/>
      <c r="Q65" s="198">
        <v>-5</v>
      </c>
      <c r="R65" s="199"/>
      <c r="S65" s="198">
        <v>2</v>
      </c>
      <c r="T65" s="199"/>
      <c r="U65" s="198">
        <v>8</v>
      </c>
      <c r="V65" s="199"/>
    </row>
    <row r="66" spans="1:22" x14ac:dyDescent="0.25">
      <c r="A66" s="98" t="s">
        <v>700</v>
      </c>
      <c r="B66" s="98"/>
      <c r="C66" s="198">
        <v>-7</v>
      </c>
      <c r="D66" s="199"/>
      <c r="E66" s="198">
        <v>11</v>
      </c>
      <c r="F66" s="199"/>
      <c r="G66" s="198">
        <v>4</v>
      </c>
      <c r="H66" s="199"/>
      <c r="I66" s="198" t="s">
        <v>201</v>
      </c>
      <c r="J66" s="199"/>
      <c r="K66" s="198" t="s">
        <v>201</v>
      </c>
      <c r="L66" s="199"/>
      <c r="M66" s="198" t="s">
        <v>201</v>
      </c>
      <c r="N66" s="199"/>
      <c r="O66" s="198" t="s">
        <v>201</v>
      </c>
      <c r="P66" s="199"/>
      <c r="Q66" s="198" t="s">
        <v>201</v>
      </c>
      <c r="R66" s="199"/>
      <c r="S66" s="198" t="s">
        <v>201</v>
      </c>
      <c r="T66" s="199"/>
      <c r="U66" s="198" t="s">
        <v>201</v>
      </c>
      <c r="V66" s="199"/>
    </row>
    <row r="67" spans="1:22" x14ac:dyDescent="0.25">
      <c r="A67" s="98" t="s">
        <v>701</v>
      </c>
      <c r="B67" s="98"/>
      <c r="C67" s="198">
        <v>2</v>
      </c>
      <c r="D67" s="199"/>
      <c r="E67" s="198">
        <v>3</v>
      </c>
      <c r="F67" s="199"/>
      <c r="G67" s="198">
        <v>1</v>
      </c>
      <c r="H67" s="199"/>
      <c r="I67" s="198" t="s">
        <v>201</v>
      </c>
      <c r="J67" s="199"/>
      <c r="K67" s="198" t="s">
        <v>201</v>
      </c>
      <c r="L67" s="199"/>
      <c r="M67" s="198" t="s">
        <v>201</v>
      </c>
      <c r="N67" s="199"/>
      <c r="O67" s="198" t="s">
        <v>201</v>
      </c>
      <c r="P67" s="199"/>
      <c r="Q67" s="198" t="s">
        <v>201</v>
      </c>
      <c r="R67" s="199"/>
      <c r="S67" s="198" t="s">
        <v>201</v>
      </c>
      <c r="T67" s="199"/>
      <c r="U67" s="198" t="s">
        <v>201</v>
      </c>
      <c r="V67" s="199"/>
    </row>
    <row r="68" spans="1:22" x14ac:dyDescent="0.25">
      <c r="A68" s="98" t="s">
        <v>702</v>
      </c>
      <c r="B68" s="98"/>
      <c r="C68" s="198">
        <v>3</v>
      </c>
      <c r="D68" s="199"/>
      <c r="E68" s="198">
        <v>1</v>
      </c>
      <c r="F68" s="199"/>
      <c r="G68" s="198">
        <v>-1</v>
      </c>
      <c r="H68" s="199"/>
      <c r="I68" s="198" t="s">
        <v>201</v>
      </c>
      <c r="J68" s="199"/>
      <c r="K68" s="198" t="s">
        <v>201</v>
      </c>
      <c r="L68" s="199"/>
      <c r="M68" s="198" t="s">
        <v>201</v>
      </c>
      <c r="N68" s="199"/>
      <c r="O68" s="198" t="s">
        <v>201</v>
      </c>
      <c r="P68" s="199"/>
      <c r="Q68" s="198" t="s">
        <v>201</v>
      </c>
      <c r="R68" s="199"/>
      <c r="S68" s="198" t="s">
        <v>201</v>
      </c>
      <c r="T68" s="199"/>
      <c r="U68" s="198" t="s">
        <v>201</v>
      </c>
      <c r="V68" s="199"/>
    </row>
    <row r="69" spans="1:22" x14ac:dyDescent="0.25">
      <c r="A69" s="98" t="s">
        <v>703</v>
      </c>
      <c r="B69" s="98"/>
      <c r="C69" s="198">
        <v>2</v>
      </c>
      <c r="D69" s="199"/>
      <c r="E69" s="198">
        <v>4</v>
      </c>
      <c r="F69" s="199"/>
      <c r="G69" s="198">
        <v>-2</v>
      </c>
      <c r="H69" s="199"/>
      <c r="I69" s="198" t="s">
        <v>201</v>
      </c>
      <c r="J69" s="199"/>
      <c r="K69" s="198" t="s">
        <v>201</v>
      </c>
      <c r="L69" s="199"/>
      <c r="M69" s="198" t="s">
        <v>201</v>
      </c>
      <c r="N69" s="199"/>
      <c r="O69" s="198" t="s">
        <v>201</v>
      </c>
      <c r="P69" s="199"/>
      <c r="Q69" s="198" t="s">
        <v>201</v>
      </c>
      <c r="R69" s="199"/>
      <c r="S69" s="198" t="s">
        <v>201</v>
      </c>
      <c r="T69" s="199"/>
      <c r="U69" s="198" t="s">
        <v>201</v>
      </c>
      <c r="V69" s="199"/>
    </row>
    <row r="70" spans="1:22" x14ac:dyDescent="0.25">
      <c r="A70" s="98" t="s">
        <v>696</v>
      </c>
      <c r="B70" s="98"/>
      <c r="C70" s="198" t="s">
        <v>201</v>
      </c>
      <c r="D70" s="199"/>
      <c r="E70" s="198" t="s">
        <v>201</v>
      </c>
      <c r="F70" s="199"/>
      <c r="G70" s="198" t="s">
        <v>201</v>
      </c>
      <c r="H70" s="199"/>
      <c r="I70" s="198" t="s">
        <v>201</v>
      </c>
      <c r="J70" s="199"/>
      <c r="K70" s="198" t="s">
        <v>201</v>
      </c>
      <c r="L70" s="199"/>
      <c r="M70" s="198" t="s">
        <v>201</v>
      </c>
      <c r="N70" s="199"/>
      <c r="O70" s="198" t="s">
        <v>201</v>
      </c>
      <c r="P70" s="199"/>
      <c r="Q70" s="198" t="s">
        <v>201</v>
      </c>
      <c r="R70" s="199"/>
      <c r="S70" s="198">
        <v>0</v>
      </c>
      <c r="T70" s="199"/>
      <c r="U70" s="198">
        <v>0</v>
      </c>
      <c r="V70" s="199"/>
    </row>
    <row r="71" spans="1:22" x14ac:dyDescent="0.25">
      <c r="A71" s="98" t="s">
        <v>697</v>
      </c>
      <c r="B71" s="98"/>
      <c r="C71" s="198">
        <v>0</v>
      </c>
      <c r="D71" s="199"/>
      <c r="E71" s="198">
        <v>0</v>
      </c>
      <c r="F71" s="199"/>
      <c r="G71" s="198">
        <v>0</v>
      </c>
      <c r="H71" s="199"/>
      <c r="I71" s="198">
        <v>0</v>
      </c>
      <c r="J71" s="199"/>
      <c r="K71" s="198">
        <v>0</v>
      </c>
      <c r="L71" s="199"/>
      <c r="M71" s="198">
        <v>0</v>
      </c>
      <c r="N71" s="199"/>
      <c r="O71" s="198">
        <v>0</v>
      </c>
      <c r="P71" s="199"/>
      <c r="Q71" s="198">
        <v>0</v>
      </c>
      <c r="R71" s="199"/>
      <c r="S71" s="198">
        <v>0</v>
      </c>
      <c r="T71" s="199"/>
      <c r="U71" s="198">
        <v>0</v>
      </c>
      <c r="V71" s="199"/>
    </row>
    <row r="72" spans="1:22" x14ac:dyDescent="0.25">
      <c r="A72" s="96" t="s">
        <v>705</v>
      </c>
      <c r="B72" s="96"/>
      <c r="C72" s="196" t="s">
        <v>201</v>
      </c>
      <c r="D72" s="197"/>
      <c r="E72" s="196" t="s">
        <v>201</v>
      </c>
      <c r="F72" s="197"/>
      <c r="G72" s="196" t="s">
        <v>201</v>
      </c>
      <c r="H72" s="197"/>
      <c r="I72" s="196" t="s">
        <v>201</v>
      </c>
      <c r="J72" s="197"/>
      <c r="K72" s="196" t="s">
        <v>201</v>
      </c>
      <c r="L72" s="197"/>
      <c r="M72" s="196" t="s">
        <v>201</v>
      </c>
      <c r="N72" s="197"/>
      <c r="O72" s="196" t="s">
        <v>201</v>
      </c>
      <c r="P72" s="197"/>
      <c r="Q72" s="196" t="s">
        <v>201</v>
      </c>
      <c r="R72" s="197"/>
      <c r="S72" s="196" t="s">
        <v>201</v>
      </c>
      <c r="T72" s="197"/>
      <c r="U72" s="196" t="s">
        <v>201</v>
      </c>
      <c r="V72" s="197"/>
    </row>
    <row r="73" spans="1:22" x14ac:dyDescent="0.25">
      <c r="A73" s="98" t="s">
        <v>696</v>
      </c>
      <c r="B73" s="98"/>
      <c r="C73" s="198" t="s">
        <v>201</v>
      </c>
      <c r="D73" s="199"/>
      <c r="E73" s="198" t="s">
        <v>201</v>
      </c>
      <c r="F73" s="199"/>
      <c r="G73" s="198" t="s">
        <v>201</v>
      </c>
      <c r="H73" s="199"/>
      <c r="I73" s="198" t="s">
        <v>201</v>
      </c>
      <c r="J73" s="199"/>
      <c r="K73" s="198" t="s">
        <v>201</v>
      </c>
      <c r="L73" s="199"/>
      <c r="M73" s="198" t="s">
        <v>201</v>
      </c>
      <c r="N73" s="199"/>
      <c r="O73" s="198" t="s">
        <v>201</v>
      </c>
      <c r="P73" s="199"/>
      <c r="Q73" s="198" t="s">
        <v>201</v>
      </c>
      <c r="R73" s="199"/>
      <c r="S73" s="198">
        <v>0</v>
      </c>
      <c r="T73" s="199"/>
      <c r="U73" s="198">
        <v>136</v>
      </c>
      <c r="V73" s="199"/>
    </row>
    <row r="74" spans="1:22" x14ac:dyDescent="0.25">
      <c r="A74" s="98" t="s">
        <v>694</v>
      </c>
      <c r="B74" s="98"/>
      <c r="C74" s="198">
        <v>-9</v>
      </c>
      <c r="D74" s="199"/>
      <c r="E74" s="198">
        <v>-2</v>
      </c>
      <c r="F74" s="199"/>
      <c r="G74" s="198">
        <v>-19</v>
      </c>
      <c r="H74" s="199"/>
      <c r="I74" s="198">
        <v>-20</v>
      </c>
      <c r="J74" s="199"/>
      <c r="K74" s="198">
        <v>15</v>
      </c>
      <c r="L74" s="199"/>
      <c r="M74" s="198">
        <v>7</v>
      </c>
      <c r="N74" s="199"/>
      <c r="O74" s="198">
        <v>-8</v>
      </c>
      <c r="P74" s="199"/>
      <c r="Q74" s="198">
        <v>-33</v>
      </c>
      <c r="R74" s="199"/>
      <c r="S74" s="198">
        <v>28</v>
      </c>
      <c r="T74" s="199"/>
      <c r="U74" s="198">
        <v>36</v>
      </c>
      <c r="V74" s="199"/>
    </row>
    <row r="75" spans="1:22" x14ac:dyDescent="0.25">
      <c r="A75" s="98" t="s">
        <v>697</v>
      </c>
      <c r="B75" s="98"/>
      <c r="C75" s="198">
        <v>23</v>
      </c>
      <c r="D75" s="199"/>
      <c r="E75" s="198">
        <v>6</v>
      </c>
      <c r="F75" s="199"/>
      <c r="G75" s="198">
        <v>13</v>
      </c>
      <c r="H75" s="199"/>
      <c r="I75" s="198">
        <v>-23</v>
      </c>
      <c r="J75" s="199"/>
      <c r="K75" s="198">
        <v>18</v>
      </c>
      <c r="L75" s="199"/>
      <c r="M75" s="198">
        <v>34</v>
      </c>
      <c r="N75" s="199"/>
      <c r="O75" s="198">
        <v>-11</v>
      </c>
      <c r="P75" s="199"/>
      <c r="Q75" s="198">
        <v>-21</v>
      </c>
      <c r="R75" s="199"/>
      <c r="S75" s="198">
        <v>82</v>
      </c>
      <c r="T75" s="199"/>
      <c r="U75" s="198">
        <v>22</v>
      </c>
      <c r="V75" s="199"/>
    </row>
    <row r="76" spans="1:22" x14ac:dyDescent="0.25">
      <c r="A76" s="98" t="s">
        <v>695</v>
      </c>
      <c r="B76" s="98"/>
      <c r="C76" s="198">
        <v>6</v>
      </c>
      <c r="D76" s="199"/>
      <c r="E76" s="198">
        <v>5</v>
      </c>
      <c r="F76" s="199"/>
      <c r="G76" s="198">
        <v>-2</v>
      </c>
      <c r="H76" s="199"/>
      <c r="I76" s="198">
        <v>-2</v>
      </c>
      <c r="J76" s="199"/>
      <c r="K76" s="198">
        <v>4</v>
      </c>
      <c r="L76" s="199"/>
      <c r="M76" s="198">
        <v>7</v>
      </c>
      <c r="N76" s="199"/>
      <c r="O76" s="198">
        <v>-9</v>
      </c>
      <c r="P76" s="199"/>
      <c r="Q76" s="198">
        <v>-3</v>
      </c>
      <c r="R76" s="199"/>
      <c r="S76" s="198">
        <v>20</v>
      </c>
      <c r="T76" s="199"/>
      <c r="U76" s="198">
        <v>13</v>
      </c>
      <c r="V76" s="199"/>
    </row>
    <row r="77" spans="1:22" x14ac:dyDescent="0.25">
      <c r="A77" s="98" t="s">
        <v>679</v>
      </c>
      <c r="B77" s="98"/>
      <c r="C77" s="198">
        <v>6</v>
      </c>
      <c r="D77" s="199"/>
      <c r="E77" s="198">
        <v>8</v>
      </c>
      <c r="F77" s="199"/>
      <c r="G77" s="198">
        <v>-4</v>
      </c>
      <c r="H77" s="199"/>
      <c r="I77" s="198">
        <v>-2</v>
      </c>
      <c r="J77" s="199"/>
      <c r="K77" s="198">
        <v>-1</v>
      </c>
      <c r="L77" s="199"/>
      <c r="M77" s="198">
        <v>6</v>
      </c>
      <c r="N77" s="199"/>
      <c r="O77" s="198">
        <v>1</v>
      </c>
      <c r="P77" s="199"/>
      <c r="Q77" s="198">
        <v>-7</v>
      </c>
      <c r="R77" s="199"/>
      <c r="S77" s="198">
        <v>7</v>
      </c>
      <c r="T77" s="199"/>
      <c r="U77" s="198">
        <v>9</v>
      </c>
      <c r="V77" s="199"/>
    </row>
    <row r="78" spans="1:22" x14ac:dyDescent="0.25">
      <c r="A78" s="98" t="s">
        <v>682</v>
      </c>
      <c r="B78" s="98"/>
      <c r="C78" s="198">
        <v>5</v>
      </c>
      <c r="D78" s="199"/>
      <c r="E78" s="198">
        <v>0</v>
      </c>
      <c r="F78" s="199"/>
      <c r="G78" s="198">
        <v>-3</v>
      </c>
      <c r="H78" s="199"/>
      <c r="I78" s="198">
        <v>7</v>
      </c>
      <c r="J78" s="199"/>
      <c r="K78" s="198">
        <v>-5</v>
      </c>
      <c r="L78" s="199"/>
      <c r="M78" s="198">
        <v>6</v>
      </c>
      <c r="N78" s="199"/>
      <c r="O78" s="198">
        <v>-2</v>
      </c>
      <c r="P78" s="199"/>
      <c r="Q78" s="198">
        <v>-26</v>
      </c>
      <c r="R78" s="199"/>
      <c r="S78" s="198">
        <v>-4</v>
      </c>
      <c r="T78" s="199"/>
      <c r="U78" s="198">
        <v>19</v>
      </c>
      <c r="V78" s="199"/>
    </row>
    <row r="79" spans="1:22" x14ac:dyDescent="0.25">
      <c r="A79" s="98" t="s">
        <v>681</v>
      </c>
      <c r="B79" s="98"/>
      <c r="C79" s="198" t="s">
        <v>201</v>
      </c>
      <c r="D79" s="199"/>
      <c r="E79" s="198" t="s">
        <v>201</v>
      </c>
      <c r="F79" s="199"/>
      <c r="G79" s="198" t="s">
        <v>201</v>
      </c>
      <c r="H79" s="199"/>
      <c r="I79" s="198">
        <v>-4</v>
      </c>
      <c r="J79" s="199"/>
      <c r="K79" s="198">
        <v>-2</v>
      </c>
      <c r="L79" s="199"/>
      <c r="M79" s="198">
        <v>3</v>
      </c>
      <c r="N79" s="199"/>
      <c r="O79" s="198">
        <v>8</v>
      </c>
      <c r="P79" s="199"/>
      <c r="Q79" s="198">
        <v>-2</v>
      </c>
      <c r="R79" s="199"/>
      <c r="S79" s="198">
        <v>5</v>
      </c>
      <c r="T79" s="199"/>
      <c r="U79" s="198">
        <v>14</v>
      </c>
      <c r="V79" s="199"/>
    </row>
    <row r="80" spans="1:22" x14ac:dyDescent="0.25">
      <c r="A80" s="98" t="s">
        <v>685</v>
      </c>
      <c r="B80" s="98"/>
      <c r="C80" s="198">
        <v>6</v>
      </c>
      <c r="D80" s="199"/>
      <c r="E80" s="198">
        <v>6</v>
      </c>
      <c r="F80" s="199"/>
      <c r="G80" s="198">
        <v>2</v>
      </c>
      <c r="H80" s="199"/>
      <c r="I80" s="198">
        <v>1</v>
      </c>
      <c r="J80" s="199"/>
      <c r="K80" s="198">
        <v>3</v>
      </c>
      <c r="L80" s="199"/>
      <c r="M80" s="198">
        <v>9</v>
      </c>
      <c r="N80" s="199"/>
      <c r="O80" s="198">
        <v>6</v>
      </c>
      <c r="P80" s="199"/>
      <c r="Q80" s="198">
        <v>-4</v>
      </c>
      <c r="R80" s="199"/>
      <c r="S80" s="198">
        <v>9</v>
      </c>
      <c r="T80" s="199"/>
      <c r="U80" s="198">
        <v>12</v>
      </c>
      <c r="V80" s="199"/>
    </row>
    <row r="81" spans="1:22" x14ac:dyDescent="0.25">
      <c r="A81" s="98" t="s">
        <v>683</v>
      </c>
      <c r="B81" s="98"/>
      <c r="C81" s="198">
        <v>7</v>
      </c>
      <c r="D81" s="199"/>
      <c r="E81" s="198">
        <v>6</v>
      </c>
      <c r="F81" s="199"/>
      <c r="G81" s="198">
        <v>-3</v>
      </c>
      <c r="H81" s="199"/>
      <c r="I81" s="198">
        <v>-3</v>
      </c>
      <c r="J81" s="199"/>
      <c r="K81" s="198">
        <v>-2</v>
      </c>
      <c r="L81" s="199"/>
      <c r="M81" s="198">
        <v>13</v>
      </c>
      <c r="N81" s="199"/>
      <c r="O81" s="198">
        <v>3</v>
      </c>
      <c r="P81" s="199"/>
      <c r="Q81" s="198">
        <v>-4</v>
      </c>
      <c r="R81" s="199"/>
      <c r="S81" s="198">
        <v>10</v>
      </c>
      <c r="T81" s="199"/>
      <c r="U81" s="198">
        <v>8</v>
      </c>
      <c r="V81" s="199"/>
    </row>
    <row r="82" spans="1:22" x14ac:dyDescent="0.25">
      <c r="A82" s="98" t="s">
        <v>680</v>
      </c>
      <c r="B82" s="98"/>
      <c r="C82" s="198">
        <v>13</v>
      </c>
      <c r="D82" s="199"/>
      <c r="E82" s="198">
        <v>15</v>
      </c>
      <c r="F82" s="199"/>
      <c r="G82" s="198">
        <v>-4</v>
      </c>
      <c r="H82" s="199"/>
      <c r="I82" s="198">
        <v>-4</v>
      </c>
      <c r="J82" s="199"/>
      <c r="K82" s="198">
        <v>1</v>
      </c>
      <c r="L82" s="199"/>
      <c r="M82" s="198">
        <v>6</v>
      </c>
      <c r="N82" s="199"/>
      <c r="O82" s="198">
        <v>0</v>
      </c>
      <c r="P82" s="199"/>
      <c r="Q82" s="198">
        <v>-2</v>
      </c>
      <c r="R82" s="199"/>
      <c r="S82" s="198">
        <v>5</v>
      </c>
      <c r="T82" s="199"/>
      <c r="U82" s="198">
        <v>7</v>
      </c>
      <c r="V82" s="199"/>
    </row>
    <row r="83" spans="1:22" x14ac:dyDescent="0.25">
      <c r="A83" s="98" t="s">
        <v>684</v>
      </c>
      <c r="B83" s="98"/>
      <c r="C83" s="198" t="s">
        <v>201</v>
      </c>
      <c r="D83" s="199"/>
      <c r="E83" s="198" t="s">
        <v>201</v>
      </c>
      <c r="F83" s="199"/>
      <c r="G83" s="198" t="s">
        <v>201</v>
      </c>
      <c r="H83" s="199"/>
      <c r="I83" s="198">
        <v>-3</v>
      </c>
      <c r="J83" s="199"/>
      <c r="K83" s="198">
        <v>0</v>
      </c>
      <c r="L83" s="199"/>
      <c r="M83" s="198">
        <v>9</v>
      </c>
      <c r="N83" s="199"/>
      <c r="O83" s="198">
        <v>-4</v>
      </c>
      <c r="P83" s="199"/>
      <c r="Q83" s="198">
        <v>-9</v>
      </c>
      <c r="R83" s="199"/>
      <c r="S83" s="198">
        <v>18</v>
      </c>
      <c r="T83" s="199"/>
      <c r="U83" s="198">
        <v>4</v>
      </c>
      <c r="V83" s="199"/>
    </row>
    <row r="84" spans="1:22" x14ac:dyDescent="0.25">
      <c r="A84" s="98" t="s">
        <v>686</v>
      </c>
      <c r="B84" s="98"/>
      <c r="C84" s="198">
        <v>3</v>
      </c>
      <c r="D84" s="199"/>
      <c r="E84" s="198">
        <v>1</v>
      </c>
      <c r="F84" s="199"/>
      <c r="G84" s="198">
        <v>-8</v>
      </c>
      <c r="H84" s="199"/>
      <c r="I84" s="198">
        <v>-5</v>
      </c>
      <c r="J84" s="199"/>
      <c r="K84" s="198">
        <v>1</v>
      </c>
      <c r="L84" s="199"/>
      <c r="M84" s="198">
        <v>-5</v>
      </c>
      <c r="N84" s="199"/>
      <c r="O84" s="198">
        <v>-2</v>
      </c>
      <c r="P84" s="199"/>
      <c r="Q84" s="198">
        <v>-2</v>
      </c>
      <c r="R84" s="199"/>
      <c r="S84" s="198">
        <v>14</v>
      </c>
      <c r="T84" s="199"/>
      <c r="U84" s="198">
        <v>-3</v>
      </c>
      <c r="V84" s="199"/>
    </row>
    <row r="85" spans="1:22" x14ac:dyDescent="0.25">
      <c r="A85" s="98" t="s">
        <v>700</v>
      </c>
      <c r="B85" s="98"/>
      <c r="C85" s="198">
        <v>1</v>
      </c>
      <c r="D85" s="199"/>
      <c r="E85" s="198">
        <v>17</v>
      </c>
      <c r="F85" s="199"/>
      <c r="G85" s="198">
        <v>0</v>
      </c>
      <c r="H85" s="199"/>
      <c r="I85" s="198" t="s">
        <v>201</v>
      </c>
      <c r="J85" s="199"/>
      <c r="K85" s="198" t="s">
        <v>201</v>
      </c>
      <c r="L85" s="199"/>
      <c r="M85" s="198" t="s">
        <v>201</v>
      </c>
      <c r="N85" s="199"/>
      <c r="O85" s="198" t="s">
        <v>201</v>
      </c>
      <c r="P85" s="199"/>
      <c r="Q85" s="198" t="s">
        <v>201</v>
      </c>
      <c r="R85" s="199"/>
      <c r="S85" s="198" t="s">
        <v>201</v>
      </c>
      <c r="T85" s="199"/>
      <c r="U85" s="198" t="s">
        <v>201</v>
      </c>
      <c r="V85" s="199"/>
    </row>
    <row r="86" spans="1:22" x14ac:dyDescent="0.25">
      <c r="A86" s="98" t="s">
        <v>701</v>
      </c>
      <c r="B86" s="98"/>
      <c r="C86" s="198">
        <v>1</v>
      </c>
      <c r="D86" s="199"/>
      <c r="E86" s="198">
        <v>9</v>
      </c>
      <c r="F86" s="199"/>
      <c r="G86" s="198">
        <v>-15</v>
      </c>
      <c r="H86" s="199"/>
      <c r="I86" s="198" t="s">
        <v>201</v>
      </c>
      <c r="J86" s="199"/>
      <c r="K86" s="198" t="s">
        <v>201</v>
      </c>
      <c r="L86" s="199"/>
      <c r="M86" s="198" t="s">
        <v>201</v>
      </c>
      <c r="N86" s="199"/>
      <c r="O86" s="198" t="s">
        <v>201</v>
      </c>
      <c r="P86" s="199"/>
      <c r="Q86" s="198" t="s">
        <v>201</v>
      </c>
      <c r="R86" s="199"/>
      <c r="S86" s="198" t="s">
        <v>201</v>
      </c>
      <c r="T86" s="199"/>
      <c r="U86" s="198" t="s">
        <v>201</v>
      </c>
      <c r="V86" s="199"/>
    </row>
    <row r="87" spans="1:22" x14ac:dyDescent="0.25">
      <c r="A87" s="98" t="s">
        <v>702</v>
      </c>
      <c r="B87" s="98"/>
      <c r="C87" s="198">
        <v>-1</v>
      </c>
      <c r="D87" s="199"/>
      <c r="E87" s="198">
        <v>-1</v>
      </c>
      <c r="F87" s="199"/>
      <c r="G87" s="198">
        <v>-3</v>
      </c>
      <c r="H87" s="199"/>
      <c r="I87" s="198" t="s">
        <v>201</v>
      </c>
      <c r="J87" s="199"/>
      <c r="K87" s="198" t="s">
        <v>201</v>
      </c>
      <c r="L87" s="199"/>
      <c r="M87" s="198" t="s">
        <v>201</v>
      </c>
      <c r="N87" s="199"/>
      <c r="O87" s="198" t="s">
        <v>201</v>
      </c>
      <c r="P87" s="199"/>
      <c r="Q87" s="198" t="s">
        <v>201</v>
      </c>
      <c r="R87" s="199"/>
      <c r="S87" s="198" t="s">
        <v>201</v>
      </c>
      <c r="T87" s="199"/>
      <c r="U87" s="198" t="s">
        <v>201</v>
      </c>
      <c r="V87" s="199"/>
    </row>
    <row r="88" spans="1:22" x14ac:dyDescent="0.25">
      <c r="A88" s="98" t="s">
        <v>703</v>
      </c>
      <c r="B88" s="98"/>
      <c r="C88" s="198">
        <v>1</v>
      </c>
      <c r="D88" s="199"/>
      <c r="E88" s="198">
        <v>12</v>
      </c>
      <c r="F88" s="199"/>
      <c r="G88" s="198">
        <v>-4</v>
      </c>
      <c r="H88" s="199"/>
      <c r="I88" s="198" t="s">
        <v>201</v>
      </c>
      <c r="J88" s="199"/>
      <c r="K88" s="198" t="s">
        <v>201</v>
      </c>
      <c r="L88" s="199"/>
      <c r="M88" s="198" t="s">
        <v>201</v>
      </c>
      <c r="N88" s="199"/>
      <c r="O88" s="198" t="s">
        <v>201</v>
      </c>
      <c r="P88" s="199"/>
      <c r="Q88" s="198" t="s">
        <v>201</v>
      </c>
      <c r="R88" s="199"/>
      <c r="S88" s="198" t="s">
        <v>201</v>
      </c>
      <c r="T88" s="199"/>
      <c r="U88" s="198" t="s">
        <v>201</v>
      </c>
      <c r="V88" s="199"/>
    </row>
    <row r="89" spans="1:22" x14ac:dyDescent="0.25">
      <c r="A89" s="96" t="s">
        <v>706</v>
      </c>
      <c r="B89" s="96"/>
      <c r="C89" s="192" t="s">
        <v>201</v>
      </c>
      <c r="D89" s="193"/>
      <c r="E89" s="192" t="s">
        <v>201</v>
      </c>
      <c r="F89" s="193"/>
      <c r="G89" s="192" t="s">
        <v>201</v>
      </c>
      <c r="H89" s="193"/>
      <c r="I89" s="192">
        <v>713</v>
      </c>
      <c r="J89" s="193">
        <v>1</v>
      </c>
      <c r="K89" s="192">
        <v>864</v>
      </c>
      <c r="L89" s="193">
        <v>1</v>
      </c>
      <c r="M89" s="192">
        <v>1046</v>
      </c>
      <c r="N89" s="193">
        <v>1</v>
      </c>
      <c r="O89" s="192">
        <v>906</v>
      </c>
      <c r="P89" s="193">
        <v>1</v>
      </c>
      <c r="Q89" s="192">
        <v>541</v>
      </c>
      <c r="R89" s="193">
        <v>1</v>
      </c>
      <c r="S89" s="192">
        <v>913</v>
      </c>
      <c r="T89" s="193">
        <v>1</v>
      </c>
      <c r="U89" s="192">
        <v>1626</v>
      </c>
      <c r="V89" s="193">
        <v>1</v>
      </c>
    </row>
    <row r="90" spans="1:22" x14ac:dyDescent="0.25">
      <c r="A90" s="98" t="s">
        <v>707</v>
      </c>
      <c r="B90" s="98"/>
      <c r="C90" s="194" t="s">
        <v>201</v>
      </c>
      <c r="D90" s="195"/>
      <c r="E90" s="194" t="s">
        <v>201</v>
      </c>
      <c r="F90" s="195"/>
      <c r="G90" s="194" t="s">
        <v>201</v>
      </c>
      <c r="H90" s="195"/>
      <c r="I90" s="194">
        <v>647</v>
      </c>
      <c r="J90" s="195">
        <v>0.90743338008415098</v>
      </c>
      <c r="K90" s="194">
        <v>785</v>
      </c>
      <c r="L90" s="195">
        <v>0.90856481481481499</v>
      </c>
      <c r="M90" s="194">
        <v>967</v>
      </c>
      <c r="N90" s="195">
        <v>0.92447418738049703</v>
      </c>
      <c r="O90" s="194">
        <v>823</v>
      </c>
      <c r="P90" s="195">
        <v>0.90838852097130196</v>
      </c>
      <c r="Q90" s="194">
        <v>496</v>
      </c>
      <c r="R90" s="195">
        <v>0.91682070240295699</v>
      </c>
      <c r="S90" s="194">
        <v>807</v>
      </c>
      <c r="T90" s="195">
        <v>0.88389923329682396</v>
      </c>
      <c r="U90" s="194">
        <v>1381</v>
      </c>
      <c r="V90" s="195">
        <v>0.84932349323493195</v>
      </c>
    </row>
    <row r="91" spans="1:22" x14ac:dyDescent="0.25">
      <c r="A91" s="98" t="s">
        <v>708</v>
      </c>
      <c r="B91" s="98"/>
      <c r="C91" s="194" t="s">
        <v>201</v>
      </c>
      <c r="D91" s="195"/>
      <c r="E91" s="194" t="s">
        <v>201</v>
      </c>
      <c r="F91" s="195"/>
      <c r="G91" s="194" t="s">
        <v>201</v>
      </c>
      <c r="H91" s="195"/>
      <c r="I91" s="194">
        <v>66</v>
      </c>
      <c r="J91" s="195">
        <v>9.2566619915848497E-2</v>
      </c>
      <c r="K91" s="194">
        <v>79</v>
      </c>
      <c r="L91" s="195">
        <v>9.1435185185185203E-2</v>
      </c>
      <c r="M91" s="194">
        <v>79</v>
      </c>
      <c r="N91" s="195">
        <v>7.5525812619502905E-2</v>
      </c>
      <c r="O91" s="194">
        <v>83</v>
      </c>
      <c r="P91" s="195">
        <v>9.1611479028697596E-2</v>
      </c>
      <c r="Q91" s="194">
        <v>45</v>
      </c>
      <c r="R91" s="195">
        <v>8.3179297597042498E-2</v>
      </c>
      <c r="S91" s="194">
        <v>106</v>
      </c>
      <c r="T91" s="195">
        <v>0.116100766703176</v>
      </c>
      <c r="U91" s="194">
        <v>245</v>
      </c>
      <c r="V91" s="195">
        <v>0.150676506765068</v>
      </c>
    </row>
    <row r="92" spans="1:22" x14ac:dyDescent="0.25">
      <c r="A92" s="96" t="s">
        <v>709</v>
      </c>
      <c r="B92" s="96"/>
      <c r="C92" s="196" t="s">
        <v>201</v>
      </c>
      <c r="D92" s="197"/>
      <c r="E92" s="196" t="s">
        <v>201</v>
      </c>
      <c r="F92" s="197"/>
      <c r="G92" s="196" t="s">
        <v>201</v>
      </c>
      <c r="H92" s="197"/>
      <c r="I92" s="196" t="s">
        <v>201</v>
      </c>
      <c r="J92" s="197"/>
      <c r="K92" s="196" t="s">
        <v>201</v>
      </c>
      <c r="L92" s="197"/>
      <c r="M92" s="196" t="s">
        <v>201</v>
      </c>
      <c r="N92" s="197"/>
      <c r="O92" s="196" t="s">
        <v>201</v>
      </c>
      <c r="P92" s="197"/>
      <c r="Q92" s="196" t="s">
        <v>201</v>
      </c>
      <c r="R92" s="197"/>
      <c r="S92" s="196" t="s">
        <v>201</v>
      </c>
      <c r="T92" s="197"/>
      <c r="U92" s="196" t="s">
        <v>201</v>
      </c>
      <c r="V92" s="197"/>
    </row>
    <row r="93" spans="1:22" x14ac:dyDescent="0.25">
      <c r="A93" s="98" t="s">
        <v>696</v>
      </c>
      <c r="B93" s="98"/>
      <c r="C93" s="198" t="s">
        <v>201</v>
      </c>
      <c r="D93" s="199"/>
      <c r="E93" s="198" t="s">
        <v>201</v>
      </c>
      <c r="F93" s="199"/>
      <c r="G93" s="198" t="s">
        <v>201</v>
      </c>
      <c r="H93" s="199"/>
      <c r="I93" s="198" t="s">
        <v>201</v>
      </c>
      <c r="J93" s="199"/>
      <c r="K93" s="198" t="s">
        <v>201</v>
      </c>
      <c r="L93" s="199"/>
      <c r="M93" s="198" t="s">
        <v>201</v>
      </c>
      <c r="N93" s="199"/>
      <c r="O93" s="198" t="s">
        <v>201</v>
      </c>
      <c r="P93" s="199"/>
      <c r="Q93" s="198" t="s">
        <v>201</v>
      </c>
      <c r="R93" s="199"/>
      <c r="S93" s="198">
        <v>0</v>
      </c>
      <c r="T93" s="199"/>
      <c r="U93" s="198">
        <v>0</v>
      </c>
      <c r="V93" s="199"/>
    </row>
    <row r="94" spans="1:22" x14ac:dyDescent="0.25">
      <c r="A94" s="98" t="s">
        <v>697</v>
      </c>
      <c r="B94" s="98"/>
      <c r="C94" s="198">
        <v>0</v>
      </c>
      <c r="D94" s="199"/>
      <c r="E94" s="198">
        <v>0</v>
      </c>
      <c r="F94" s="199"/>
      <c r="G94" s="198">
        <v>0</v>
      </c>
      <c r="H94" s="199"/>
      <c r="I94" s="198">
        <v>0</v>
      </c>
      <c r="J94" s="199"/>
      <c r="K94" s="198">
        <v>0</v>
      </c>
      <c r="L94" s="199"/>
      <c r="M94" s="198">
        <v>0</v>
      </c>
      <c r="N94" s="199"/>
      <c r="O94" s="198">
        <v>0</v>
      </c>
      <c r="P94" s="199"/>
      <c r="Q94" s="198">
        <v>0</v>
      </c>
      <c r="R94" s="199"/>
      <c r="S94" s="198">
        <v>0</v>
      </c>
      <c r="T94" s="199"/>
      <c r="U94" s="198">
        <v>0</v>
      </c>
      <c r="V94" s="199"/>
    </row>
    <row r="95" spans="1:22" x14ac:dyDescent="0.25">
      <c r="A95" s="98" t="s">
        <v>695</v>
      </c>
      <c r="B95" s="98"/>
      <c r="C95" s="198">
        <v>5</v>
      </c>
      <c r="D95" s="199"/>
      <c r="E95" s="198">
        <v>6</v>
      </c>
      <c r="F95" s="199"/>
      <c r="G95" s="198">
        <v>4</v>
      </c>
      <c r="H95" s="199"/>
      <c r="I95" s="198">
        <v>-1</v>
      </c>
      <c r="J95" s="199"/>
      <c r="K95" s="198">
        <v>1</v>
      </c>
      <c r="L95" s="199"/>
      <c r="M95" s="198">
        <v>2</v>
      </c>
      <c r="N95" s="199"/>
      <c r="O95" s="198">
        <v>-8</v>
      </c>
      <c r="P95" s="199"/>
      <c r="Q95" s="198">
        <v>2</v>
      </c>
      <c r="R95" s="199"/>
      <c r="S95" s="198">
        <v>9</v>
      </c>
      <c r="T95" s="199"/>
      <c r="U95" s="198">
        <v>0</v>
      </c>
      <c r="V95" s="199"/>
    </row>
    <row r="96" spans="1:22" x14ac:dyDescent="0.25">
      <c r="A96" s="98" t="s">
        <v>694</v>
      </c>
      <c r="B96" s="98"/>
      <c r="C96" s="198">
        <v>-7</v>
      </c>
      <c r="D96" s="199"/>
      <c r="E96" s="198">
        <v>6</v>
      </c>
      <c r="F96" s="199"/>
      <c r="G96" s="198">
        <v>-16</v>
      </c>
      <c r="H96" s="199"/>
      <c r="I96" s="198">
        <v>-21</v>
      </c>
      <c r="J96" s="199"/>
      <c r="K96" s="198">
        <v>2</v>
      </c>
      <c r="L96" s="199"/>
      <c r="M96" s="198">
        <v>4</v>
      </c>
      <c r="N96" s="199"/>
      <c r="O96" s="198">
        <v>-5</v>
      </c>
      <c r="P96" s="199"/>
      <c r="Q96" s="198">
        <v>-24</v>
      </c>
      <c r="R96" s="199"/>
      <c r="S96" s="198">
        <v>11</v>
      </c>
      <c r="T96" s="199"/>
      <c r="U96" s="198">
        <v>-1</v>
      </c>
      <c r="V96" s="199"/>
    </row>
    <row r="97" spans="1:22" x14ac:dyDescent="0.25">
      <c r="A97" s="98" t="s">
        <v>679</v>
      </c>
      <c r="B97" s="98"/>
      <c r="C97" s="198">
        <v>4</v>
      </c>
      <c r="D97" s="199"/>
      <c r="E97" s="198">
        <v>6</v>
      </c>
      <c r="F97" s="199"/>
      <c r="G97" s="198">
        <v>-2</v>
      </c>
      <c r="H97" s="199"/>
      <c r="I97" s="198">
        <v>-2</v>
      </c>
      <c r="J97" s="199"/>
      <c r="K97" s="198">
        <v>-4</v>
      </c>
      <c r="L97" s="199"/>
      <c r="M97" s="198">
        <v>0</v>
      </c>
      <c r="N97" s="199"/>
      <c r="O97" s="198">
        <v>0</v>
      </c>
      <c r="P97" s="199"/>
      <c r="Q97" s="198">
        <v>-6</v>
      </c>
      <c r="R97" s="199"/>
      <c r="S97" s="198">
        <v>1</v>
      </c>
      <c r="T97" s="199"/>
      <c r="U97" s="198">
        <v>-1</v>
      </c>
      <c r="V97" s="199"/>
    </row>
    <row r="98" spans="1:22" x14ac:dyDescent="0.25">
      <c r="A98" s="98" t="s">
        <v>682</v>
      </c>
      <c r="B98" s="98"/>
      <c r="C98" s="198">
        <v>2</v>
      </c>
      <c r="D98" s="199"/>
      <c r="E98" s="198">
        <v>1</v>
      </c>
      <c r="F98" s="199"/>
      <c r="G98" s="198">
        <v>3</v>
      </c>
      <c r="H98" s="199"/>
      <c r="I98" s="198">
        <v>7</v>
      </c>
      <c r="J98" s="199"/>
      <c r="K98" s="198">
        <v>-5</v>
      </c>
      <c r="L98" s="199"/>
      <c r="M98" s="198">
        <v>1</v>
      </c>
      <c r="N98" s="199"/>
      <c r="O98" s="198">
        <v>-2</v>
      </c>
      <c r="P98" s="199"/>
      <c r="Q98" s="198">
        <v>-25</v>
      </c>
      <c r="R98" s="199"/>
      <c r="S98" s="198">
        <v>-8</v>
      </c>
      <c r="T98" s="199"/>
      <c r="U98" s="198">
        <v>6</v>
      </c>
      <c r="V98" s="199"/>
    </row>
    <row r="99" spans="1:22" x14ac:dyDescent="0.25">
      <c r="A99" s="98" t="s">
        <v>685</v>
      </c>
      <c r="B99" s="98"/>
      <c r="C99" s="198">
        <v>2</v>
      </c>
      <c r="D99" s="199"/>
      <c r="E99" s="198">
        <v>7</v>
      </c>
      <c r="F99" s="199"/>
      <c r="G99" s="198">
        <v>6</v>
      </c>
      <c r="H99" s="199"/>
      <c r="I99" s="198">
        <v>1</v>
      </c>
      <c r="J99" s="199"/>
      <c r="K99" s="198">
        <v>-1</v>
      </c>
      <c r="L99" s="199"/>
      <c r="M99" s="198">
        <v>2</v>
      </c>
      <c r="N99" s="199"/>
      <c r="O99" s="198">
        <v>6</v>
      </c>
      <c r="P99" s="199"/>
      <c r="Q99" s="198">
        <v>-5</v>
      </c>
      <c r="R99" s="199"/>
      <c r="S99" s="198">
        <v>1</v>
      </c>
      <c r="T99" s="199"/>
      <c r="U99" s="198">
        <v>4</v>
      </c>
      <c r="V99" s="199"/>
    </row>
    <row r="100" spans="1:22" x14ac:dyDescent="0.25">
      <c r="A100" s="98" t="s">
        <v>681</v>
      </c>
      <c r="B100" s="98"/>
      <c r="C100" s="198" t="s">
        <v>201</v>
      </c>
      <c r="D100" s="199"/>
      <c r="E100" s="198" t="s">
        <v>201</v>
      </c>
      <c r="F100" s="199"/>
      <c r="G100" s="198" t="s">
        <v>201</v>
      </c>
      <c r="H100" s="199"/>
      <c r="I100" s="198">
        <v>-5</v>
      </c>
      <c r="J100" s="199"/>
      <c r="K100" s="198">
        <v>-5</v>
      </c>
      <c r="L100" s="199"/>
      <c r="M100" s="198">
        <v>-2</v>
      </c>
      <c r="N100" s="199"/>
      <c r="O100" s="198">
        <v>5</v>
      </c>
      <c r="P100" s="199"/>
      <c r="Q100" s="198">
        <v>-1</v>
      </c>
      <c r="R100" s="199"/>
      <c r="S100" s="198">
        <v>1</v>
      </c>
      <c r="T100" s="199"/>
      <c r="U100" s="198">
        <v>3</v>
      </c>
      <c r="V100" s="199"/>
    </row>
    <row r="101" spans="1:22" x14ac:dyDescent="0.25">
      <c r="A101" s="98" t="s">
        <v>683</v>
      </c>
      <c r="B101" s="98"/>
      <c r="C101" s="198">
        <v>4</v>
      </c>
      <c r="D101" s="199"/>
      <c r="E101" s="198">
        <v>3</v>
      </c>
      <c r="F101" s="199"/>
      <c r="G101" s="198">
        <v>-6</v>
      </c>
      <c r="H101" s="199"/>
      <c r="I101" s="198">
        <v>-6</v>
      </c>
      <c r="J101" s="199"/>
      <c r="K101" s="198">
        <v>-4</v>
      </c>
      <c r="L101" s="199"/>
      <c r="M101" s="198">
        <v>8</v>
      </c>
      <c r="N101" s="199"/>
      <c r="O101" s="198">
        <v>1</v>
      </c>
      <c r="P101" s="199"/>
      <c r="Q101" s="198">
        <v>-5</v>
      </c>
      <c r="R101" s="199"/>
      <c r="S101" s="198">
        <v>6</v>
      </c>
      <c r="T101" s="199"/>
      <c r="U101" s="198">
        <v>-2</v>
      </c>
      <c r="V101" s="199"/>
    </row>
    <row r="102" spans="1:22" x14ac:dyDescent="0.25">
      <c r="A102" s="98" t="s">
        <v>680</v>
      </c>
      <c r="B102" s="98"/>
      <c r="C102" s="198">
        <v>13</v>
      </c>
      <c r="D102" s="199"/>
      <c r="E102" s="198">
        <v>17</v>
      </c>
      <c r="F102" s="199"/>
      <c r="G102" s="198">
        <v>0</v>
      </c>
      <c r="H102" s="199"/>
      <c r="I102" s="198">
        <v>-4</v>
      </c>
      <c r="J102" s="199"/>
      <c r="K102" s="198">
        <v>-4</v>
      </c>
      <c r="L102" s="199"/>
      <c r="M102" s="198">
        <v>0</v>
      </c>
      <c r="N102" s="199"/>
      <c r="O102" s="198">
        <v>-1</v>
      </c>
      <c r="P102" s="199"/>
      <c r="Q102" s="198">
        <v>-1</v>
      </c>
      <c r="R102" s="199"/>
      <c r="S102" s="198">
        <v>-1</v>
      </c>
      <c r="T102" s="199"/>
      <c r="U102" s="198">
        <v>-3</v>
      </c>
      <c r="V102" s="199"/>
    </row>
    <row r="103" spans="1:22" x14ac:dyDescent="0.25">
      <c r="A103" s="98" t="s">
        <v>684</v>
      </c>
      <c r="B103" s="98"/>
      <c r="C103" s="198" t="s">
        <v>201</v>
      </c>
      <c r="D103" s="199"/>
      <c r="E103" s="198" t="s">
        <v>201</v>
      </c>
      <c r="F103" s="199"/>
      <c r="G103" s="198" t="s">
        <v>201</v>
      </c>
      <c r="H103" s="199"/>
      <c r="I103" s="198">
        <v>-9</v>
      </c>
      <c r="J103" s="199"/>
      <c r="K103" s="198">
        <v>-1</v>
      </c>
      <c r="L103" s="199"/>
      <c r="M103" s="198">
        <v>4</v>
      </c>
      <c r="N103" s="199"/>
      <c r="O103" s="198">
        <v>-7</v>
      </c>
      <c r="P103" s="199"/>
      <c r="Q103" s="198">
        <v>-4</v>
      </c>
      <c r="R103" s="199"/>
      <c r="S103" s="198">
        <v>16</v>
      </c>
      <c r="T103" s="199"/>
      <c r="U103" s="198">
        <v>-4</v>
      </c>
      <c r="V103" s="199"/>
    </row>
    <row r="104" spans="1:22" x14ac:dyDescent="0.25">
      <c r="A104" s="98" t="s">
        <v>686</v>
      </c>
      <c r="B104" s="98"/>
      <c r="C104" s="198">
        <v>2</v>
      </c>
      <c r="D104" s="199"/>
      <c r="E104" s="198">
        <v>1</v>
      </c>
      <c r="F104" s="199"/>
      <c r="G104" s="198">
        <v>-9</v>
      </c>
      <c r="H104" s="199"/>
      <c r="I104" s="198">
        <v>0</v>
      </c>
      <c r="J104" s="199"/>
      <c r="K104" s="198">
        <v>-3</v>
      </c>
      <c r="L104" s="199"/>
      <c r="M104" s="198">
        <v>-15</v>
      </c>
      <c r="N104" s="199"/>
      <c r="O104" s="198">
        <v>-2</v>
      </c>
      <c r="P104" s="199"/>
      <c r="Q104" s="198">
        <v>-4</v>
      </c>
      <c r="R104" s="199"/>
      <c r="S104" s="198">
        <v>1</v>
      </c>
      <c r="T104" s="199"/>
      <c r="U104" s="198">
        <v>-11</v>
      </c>
      <c r="V104" s="199"/>
    </row>
    <row r="105" spans="1:22" x14ac:dyDescent="0.25">
      <c r="A105" s="98" t="s">
        <v>700</v>
      </c>
      <c r="B105" s="98"/>
      <c r="C105" s="198">
        <v>9</v>
      </c>
      <c r="D105" s="199"/>
      <c r="E105" s="198">
        <v>5</v>
      </c>
      <c r="F105" s="199"/>
      <c r="G105" s="198">
        <v>-4</v>
      </c>
      <c r="H105" s="199"/>
      <c r="I105" s="198" t="s">
        <v>201</v>
      </c>
      <c r="J105" s="199"/>
      <c r="K105" s="198" t="s">
        <v>201</v>
      </c>
      <c r="L105" s="199"/>
      <c r="M105" s="198" t="s">
        <v>201</v>
      </c>
      <c r="N105" s="199"/>
      <c r="O105" s="198" t="s">
        <v>201</v>
      </c>
      <c r="P105" s="199"/>
      <c r="Q105" s="198" t="s">
        <v>201</v>
      </c>
      <c r="R105" s="199"/>
      <c r="S105" s="198" t="s">
        <v>201</v>
      </c>
      <c r="T105" s="199"/>
      <c r="U105" s="198" t="s">
        <v>201</v>
      </c>
      <c r="V105" s="199"/>
    </row>
    <row r="106" spans="1:22" x14ac:dyDescent="0.25">
      <c r="A106" s="98" t="s">
        <v>701</v>
      </c>
      <c r="B106" s="98"/>
      <c r="C106" s="198">
        <v>0</v>
      </c>
      <c r="D106" s="199"/>
      <c r="E106" s="198">
        <v>5</v>
      </c>
      <c r="F106" s="199"/>
      <c r="G106" s="198">
        <v>-16</v>
      </c>
      <c r="H106" s="199"/>
      <c r="I106" s="198" t="s">
        <v>201</v>
      </c>
      <c r="J106" s="199"/>
      <c r="K106" s="198" t="s">
        <v>201</v>
      </c>
      <c r="L106" s="199"/>
      <c r="M106" s="198" t="s">
        <v>201</v>
      </c>
      <c r="N106" s="199"/>
      <c r="O106" s="198" t="s">
        <v>201</v>
      </c>
      <c r="P106" s="199"/>
      <c r="Q106" s="198" t="s">
        <v>201</v>
      </c>
      <c r="R106" s="199"/>
      <c r="S106" s="198" t="s">
        <v>201</v>
      </c>
      <c r="T106" s="199"/>
      <c r="U106" s="198" t="s">
        <v>201</v>
      </c>
      <c r="V106" s="199"/>
    </row>
    <row r="107" spans="1:22" x14ac:dyDescent="0.25">
      <c r="A107" s="98" t="s">
        <v>702</v>
      </c>
      <c r="B107" s="98"/>
      <c r="C107" s="198">
        <v>-4</v>
      </c>
      <c r="D107" s="199"/>
      <c r="E107" s="198">
        <v>-2</v>
      </c>
      <c r="F107" s="199"/>
      <c r="G107" s="198">
        <v>-2</v>
      </c>
      <c r="H107" s="199"/>
      <c r="I107" s="198" t="s">
        <v>201</v>
      </c>
      <c r="J107" s="199"/>
      <c r="K107" s="198" t="s">
        <v>201</v>
      </c>
      <c r="L107" s="199"/>
      <c r="M107" s="198" t="s">
        <v>201</v>
      </c>
      <c r="N107" s="199"/>
      <c r="O107" s="198" t="s">
        <v>201</v>
      </c>
      <c r="P107" s="199"/>
      <c r="Q107" s="198" t="s">
        <v>201</v>
      </c>
      <c r="R107" s="199"/>
      <c r="S107" s="198" t="s">
        <v>201</v>
      </c>
      <c r="T107" s="199"/>
      <c r="U107" s="198" t="s">
        <v>201</v>
      </c>
      <c r="V107" s="199"/>
    </row>
    <row r="108" spans="1:22" x14ac:dyDescent="0.25">
      <c r="A108" s="98" t="s">
        <v>703</v>
      </c>
      <c r="B108" s="98"/>
      <c r="C108" s="198">
        <v>-1</v>
      </c>
      <c r="D108" s="199"/>
      <c r="E108" s="198">
        <v>7</v>
      </c>
      <c r="F108" s="199"/>
      <c r="G108" s="198">
        <v>-2</v>
      </c>
      <c r="H108" s="199"/>
      <c r="I108" s="198" t="s">
        <v>201</v>
      </c>
      <c r="J108" s="199"/>
      <c r="K108" s="198" t="s">
        <v>201</v>
      </c>
      <c r="L108" s="199"/>
      <c r="M108" s="198" t="s">
        <v>201</v>
      </c>
      <c r="N108" s="199"/>
      <c r="O108" s="198" t="s">
        <v>201</v>
      </c>
      <c r="P108" s="199"/>
      <c r="Q108" s="198" t="s">
        <v>201</v>
      </c>
      <c r="R108" s="199"/>
      <c r="S108" s="198" t="s">
        <v>201</v>
      </c>
      <c r="T108" s="199"/>
      <c r="U108" s="198" t="s">
        <v>201</v>
      </c>
      <c r="V108" s="199"/>
    </row>
    <row r="109" spans="1:22" x14ac:dyDescent="0.25">
      <c r="A109" s="96" t="s">
        <v>710</v>
      </c>
      <c r="B109" s="96"/>
      <c r="C109" s="196">
        <v>134200000</v>
      </c>
      <c r="D109" s="197">
        <v>1</v>
      </c>
      <c r="E109" s="196">
        <v>142900000</v>
      </c>
      <c r="F109" s="197">
        <v>1</v>
      </c>
      <c r="G109" s="196">
        <v>121300000</v>
      </c>
      <c r="H109" s="197">
        <v>1</v>
      </c>
      <c r="I109" s="196">
        <v>95600000</v>
      </c>
      <c r="J109" s="197">
        <v>1</v>
      </c>
      <c r="K109" s="196">
        <v>97300000</v>
      </c>
      <c r="L109" s="197">
        <v>1</v>
      </c>
      <c r="M109" s="196">
        <v>100400000</v>
      </c>
      <c r="N109" s="197">
        <v>1</v>
      </c>
      <c r="O109" s="196">
        <v>94800000</v>
      </c>
      <c r="P109" s="197">
        <v>1</v>
      </c>
      <c r="Q109" s="196">
        <v>71500000</v>
      </c>
      <c r="R109" s="197">
        <v>1</v>
      </c>
      <c r="S109" s="196">
        <v>79000000</v>
      </c>
      <c r="T109" s="197">
        <v>1</v>
      </c>
      <c r="U109" s="196">
        <v>78100000</v>
      </c>
      <c r="V109" s="197">
        <v>1</v>
      </c>
    </row>
    <row r="110" spans="1:22" x14ac:dyDescent="0.25">
      <c r="A110" s="98" t="s">
        <v>694</v>
      </c>
      <c r="B110" s="98"/>
      <c r="C110" s="198">
        <v>134200000</v>
      </c>
      <c r="D110" s="199">
        <v>1</v>
      </c>
      <c r="E110" s="198">
        <v>142900000</v>
      </c>
      <c r="F110" s="199">
        <v>1</v>
      </c>
      <c r="G110" s="198">
        <v>121300000</v>
      </c>
      <c r="H110" s="199">
        <v>1</v>
      </c>
      <c r="I110" s="198">
        <v>95600000</v>
      </c>
      <c r="J110" s="199">
        <v>1</v>
      </c>
      <c r="K110" s="198">
        <v>97300000</v>
      </c>
      <c r="L110" s="199">
        <v>1</v>
      </c>
      <c r="M110" s="198">
        <v>100400000</v>
      </c>
      <c r="N110" s="199">
        <v>1</v>
      </c>
      <c r="O110" s="198">
        <v>94800000</v>
      </c>
      <c r="P110" s="199">
        <v>1</v>
      </c>
      <c r="Q110" s="198">
        <v>71500000</v>
      </c>
      <c r="R110" s="199">
        <v>1</v>
      </c>
      <c r="S110" s="198">
        <v>79000000</v>
      </c>
      <c r="T110" s="199">
        <v>1</v>
      </c>
      <c r="U110" s="198">
        <v>78100000</v>
      </c>
      <c r="V110" s="199">
        <v>1</v>
      </c>
    </row>
    <row r="111" spans="1:22" x14ac:dyDescent="0.25">
      <c r="A111" s="98" t="s">
        <v>711</v>
      </c>
      <c r="B111" s="98"/>
      <c r="C111" s="198">
        <v>90200000</v>
      </c>
      <c r="D111" s="199">
        <v>0.67213114754098402</v>
      </c>
      <c r="E111" s="198">
        <v>103900000</v>
      </c>
      <c r="F111" s="199">
        <v>0.72708187543736902</v>
      </c>
      <c r="G111" s="198">
        <v>90500000</v>
      </c>
      <c r="H111" s="199">
        <v>0.74608408903544898</v>
      </c>
      <c r="I111" s="198">
        <v>69900000</v>
      </c>
      <c r="J111" s="199">
        <v>0.73117154811715501</v>
      </c>
      <c r="K111" s="198">
        <v>61100000</v>
      </c>
      <c r="L111" s="199">
        <v>0.62795477903391606</v>
      </c>
      <c r="M111" s="198">
        <v>57300000</v>
      </c>
      <c r="N111" s="199">
        <v>0.57071713147410397</v>
      </c>
      <c r="O111" s="198">
        <v>56600000</v>
      </c>
      <c r="P111" s="199">
        <v>0.59704641350210996</v>
      </c>
      <c r="Q111" s="198">
        <v>42000000</v>
      </c>
      <c r="R111" s="199">
        <v>0.58741258741258695</v>
      </c>
      <c r="S111" s="198">
        <v>46600000</v>
      </c>
      <c r="T111" s="199">
        <v>0.58987341772151902</v>
      </c>
      <c r="U111" s="198">
        <v>45700000</v>
      </c>
      <c r="V111" s="199">
        <v>0.58514724711907795</v>
      </c>
    </row>
    <row r="112" spans="1:22" x14ac:dyDescent="0.25">
      <c r="A112" s="98" t="s">
        <v>712</v>
      </c>
      <c r="B112" s="98"/>
      <c r="C112" s="198">
        <v>24100000</v>
      </c>
      <c r="D112" s="199">
        <v>0.179582712369598</v>
      </c>
      <c r="E112" s="198">
        <v>26100000</v>
      </c>
      <c r="F112" s="199">
        <v>0.182645206438069</v>
      </c>
      <c r="G112" s="198">
        <v>24300000</v>
      </c>
      <c r="H112" s="199">
        <v>0.20032976092333099</v>
      </c>
      <c r="I112" s="198" t="s">
        <v>201</v>
      </c>
      <c r="J112" s="199"/>
      <c r="K112" s="198" t="s">
        <v>201</v>
      </c>
      <c r="L112" s="199"/>
      <c r="M112" s="198" t="s">
        <v>201</v>
      </c>
      <c r="N112" s="199"/>
      <c r="O112" s="198" t="s">
        <v>201</v>
      </c>
      <c r="P112" s="199"/>
      <c r="Q112" s="198" t="s">
        <v>201</v>
      </c>
      <c r="R112" s="199"/>
      <c r="S112" s="198" t="s">
        <v>201</v>
      </c>
      <c r="T112" s="199"/>
      <c r="U112" s="198" t="s">
        <v>201</v>
      </c>
      <c r="V112" s="199"/>
    </row>
    <row r="113" spans="1:22" x14ac:dyDescent="0.25">
      <c r="A113" s="98" t="s">
        <v>713</v>
      </c>
      <c r="B113" s="98"/>
      <c r="C113" s="198">
        <v>66100000</v>
      </c>
      <c r="D113" s="199">
        <v>0.49254843517138602</v>
      </c>
      <c r="E113" s="198">
        <v>77800000</v>
      </c>
      <c r="F113" s="199">
        <v>0.54443666899929999</v>
      </c>
      <c r="G113" s="198">
        <v>66200000</v>
      </c>
      <c r="H113" s="199">
        <v>0.54575432811211899</v>
      </c>
      <c r="I113" s="198" t="s">
        <v>201</v>
      </c>
      <c r="J113" s="199"/>
      <c r="K113" s="198" t="s">
        <v>201</v>
      </c>
      <c r="L113" s="199"/>
      <c r="M113" s="198" t="s">
        <v>201</v>
      </c>
      <c r="N113" s="199"/>
      <c r="O113" s="198" t="s">
        <v>201</v>
      </c>
      <c r="P113" s="199"/>
      <c r="Q113" s="198" t="s">
        <v>201</v>
      </c>
      <c r="R113" s="199"/>
      <c r="S113" s="198" t="s">
        <v>201</v>
      </c>
      <c r="T113" s="199"/>
      <c r="U113" s="198" t="s">
        <v>201</v>
      </c>
      <c r="V113" s="199"/>
    </row>
    <row r="114" spans="1:22" x14ac:dyDescent="0.25">
      <c r="A114" s="98" t="s">
        <v>714</v>
      </c>
      <c r="B114" s="98"/>
      <c r="C114" s="198">
        <v>44000000</v>
      </c>
      <c r="D114" s="199">
        <v>0.32786885245901598</v>
      </c>
      <c r="E114" s="198">
        <v>39000000</v>
      </c>
      <c r="F114" s="199">
        <v>0.27291812456263098</v>
      </c>
      <c r="G114" s="198">
        <v>30800000</v>
      </c>
      <c r="H114" s="199">
        <v>0.25391591096455102</v>
      </c>
      <c r="I114" s="198">
        <v>25700000</v>
      </c>
      <c r="J114" s="199">
        <v>0.26882845188284499</v>
      </c>
      <c r="K114" s="198">
        <v>36200000</v>
      </c>
      <c r="L114" s="199">
        <v>0.372045220966084</v>
      </c>
      <c r="M114" s="198">
        <v>43100000</v>
      </c>
      <c r="N114" s="199">
        <v>0.42928286852589598</v>
      </c>
      <c r="O114" s="198">
        <v>38200000</v>
      </c>
      <c r="P114" s="199">
        <v>0.40295358649788998</v>
      </c>
      <c r="Q114" s="198">
        <v>29500000</v>
      </c>
      <c r="R114" s="199">
        <v>0.41258741258741299</v>
      </c>
      <c r="S114" s="198">
        <v>32400000</v>
      </c>
      <c r="T114" s="199">
        <v>0.41012658227848098</v>
      </c>
      <c r="U114" s="198">
        <v>32400000</v>
      </c>
      <c r="V114" s="199">
        <v>0.41485275288092199</v>
      </c>
    </row>
    <row r="115" spans="1:22" x14ac:dyDescent="0.25">
      <c r="A115" s="98" t="s">
        <v>715</v>
      </c>
      <c r="B115" s="98"/>
      <c r="C115" s="198">
        <v>19100000</v>
      </c>
      <c r="D115" s="199">
        <v>0.142324888226528</v>
      </c>
      <c r="E115" s="198">
        <v>15600000</v>
      </c>
      <c r="F115" s="199">
        <v>0.10916724982505201</v>
      </c>
      <c r="G115" s="198">
        <v>11900000</v>
      </c>
      <c r="H115" s="199">
        <v>9.8103874690849094E-2</v>
      </c>
      <c r="I115" s="198" t="s">
        <v>201</v>
      </c>
      <c r="J115" s="199"/>
      <c r="K115" s="198" t="s">
        <v>201</v>
      </c>
      <c r="L115" s="199"/>
      <c r="M115" s="198" t="s">
        <v>201</v>
      </c>
      <c r="N115" s="199"/>
      <c r="O115" s="198" t="s">
        <v>201</v>
      </c>
      <c r="P115" s="199"/>
      <c r="Q115" s="198" t="s">
        <v>201</v>
      </c>
      <c r="R115" s="199"/>
      <c r="S115" s="198" t="s">
        <v>201</v>
      </c>
      <c r="T115" s="199"/>
      <c r="U115" s="198" t="s">
        <v>201</v>
      </c>
      <c r="V115" s="199"/>
    </row>
    <row r="116" spans="1:22" x14ac:dyDescent="0.25">
      <c r="A116" s="98" t="s">
        <v>716</v>
      </c>
      <c r="B116" s="98"/>
      <c r="C116" s="198">
        <v>24900000</v>
      </c>
      <c r="D116" s="199">
        <v>0.18554396423248901</v>
      </c>
      <c r="E116" s="198">
        <v>23400000</v>
      </c>
      <c r="F116" s="199">
        <v>0.16375087473757899</v>
      </c>
      <c r="G116" s="198">
        <v>18900000</v>
      </c>
      <c r="H116" s="199">
        <v>0.15581203627370199</v>
      </c>
      <c r="I116" s="198" t="s">
        <v>201</v>
      </c>
      <c r="J116" s="199"/>
      <c r="K116" s="198" t="s">
        <v>201</v>
      </c>
      <c r="L116" s="199"/>
      <c r="M116" s="198" t="s">
        <v>201</v>
      </c>
      <c r="N116" s="199"/>
      <c r="O116" s="198" t="s">
        <v>201</v>
      </c>
      <c r="P116" s="199"/>
      <c r="Q116" s="198" t="s">
        <v>201</v>
      </c>
      <c r="R116" s="199"/>
      <c r="S116" s="198" t="s">
        <v>201</v>
      </c>
      <c r="T116" s="199"/>
      <c r="U116" s="198" t="s">
        <v>201</v>
      </c>
      <c r="V116" s="199"/>
    </row>
    <row r="117" spans="1:22" x14ac:dyDescent="0.25">
      <c r="A117" s="96" t="s">
        <v>717</v>
      </c>
      <c r="B117" s="96"/>
      <c r="C117" s="192">
        <v>6539</v>
      </c>
      <c r="D117" s="193">
        <v>1</v>
      </c>
      <c r="E117" s="192">
        <v>6922</v>
      </c>
      <c r="F117" s="193">
        <v>1</v>
      </c>
      <c r="G117" s="192">
        <v>6761</v>
      </c>
      <c r="H117" s="193">
        <v>1</v>
      </c>
      <c r="I117" s="192">
        <v>6451</v>
      </c>
      <c r="J117" s="193">
        <v>1</v>
      </c>
      <c r="K117" s="192">
        <v>6400</v>
      </c>
      <c r="L117" s="193">
        <v>1</v>
      </c>
      <c r="M117" s="192">
        <v>6482</v>
      </c>
      <c r="N117" s="193">
        <v>1</v>
      </c>
      <c r="O117" s="192">
        <v>6220</v>
      </c>
      <c r="P117" s="193">
        <v>1</v>
      </c>
      <c r="Q117" s="192">
        <v>5892</v>
      </c>
      <c r="R117" s="193">
        <v>1</v>
      </c>
      <c r="S117" s="192">
        <v>6253</v>
      </c>
      <c r="T117" s="193">
        <v>1</v>
      </c>
      <c r="U117" s="192">
        <v>6218</v>
      </c>
      <c r="V117" s="193">
        <v>1</v>
      </c>
    </row>
    <row r="118" spans="1:22" x14ac:dyDescent="0.25">
      <c r="A118" s="98" t="s">
        <v>695</v>
      </c>
      <c r="B118" s="98"/>
      <c r="C118" s="194">
        <v>2582</v>
      </c>
      <c r="D118" s="195">
        <v>0.39486159963297102</v>
      </c>
      <c r="E118" s="194">
        <v>2728</v>
      </c>
      <c r="F118" s="195">
        <v>0.39410574978329999</v>
      </c>
      <c r="G118" s="194">
        <v>2838</v>
      </c>
      <c r="H118" s="195">
        <v>0.41976039047478197</v>
      </c>
      <c r="I118" s="194">
        <v>2811</v>
      </c>
      <c r="J118" s="195">
        <v>0.43574639590761099</v>
      </c>
      <c r="K118" s="194">
        <v>2843</v>
      </c>
      <c r="L118" s="195">
        <v>0.44421875</v>
      </c>
      <c r="M118" s="194">
        <v>2895</v>
      </c>
      <c r="N118" s="195">
        <v>0.44662141314409098</v>
      </c>
      <c r="O118" s="194">
        <v>2670</v>
      </c>
      <c r="P118" s="195">
        <v>0.42926045016077202</v>
      </c>
      <c r="Q118" s="194">
        <v>2720</v>
      </c>
      <c r="R118" s="195">
        <v>0.46164290563475902</v>
      </c>
      <c r="S118" s="194">
        <v>2976</v>
      </c>
      <c r="T118" s="195">
        <v>0.47593155285463001</v>
      </c>
      <c r="U118" s="194">
        <v>2963</v>
      </c>
      <c r="V118" s="195">
        <v>0.47651978128015399</v>
      </c>
    </row>
    <row r="119" spans="1:22" x14ac:dyDescent="0.25">
      <c r="A119" s="98" t="s">
        <v>679</v>
      </c>
      <c r="B119" s="98"/>
      <c r="C119" s="194">
        <v>2762</v>
      </c>
      <c r="D119" s="195">
        <v>0.422388744456339</v>
      </c>
      <c r="E119" s="194">
        <v>2932</v>
      </c>
      <c r="F119" s="195">
        <v>0.423577000866801</v>
      </c>
      <c r="G119" s="194">
        <v>2860</v>
      </c>
      <c r="H119" s="195">
        <v>0.42301434699009</v>
      </c>
      <c r="I119" s="194">
        <v>2802</v>
      </c>
      <c r="J119" s="195">
        <v>0.43435126337002</v>
      </c>
      <c r="K119" s="194">
        <v>2702</v>
      </c>
      <c r="L119" s="195">
        <v>0.42218749999999999</v>
      </c>
      <c r="M119" s="194">
        <v>2700</v>
      </c>
      <c r="N119" s="195">
        <v>0.41653810552298698</v>
      </c>
      <c r="O119" s="194">
        <v>2707</v>
      </c>
      <c r="P119" s="195">
        <v>0.43520900321543399</v>
      </c>
      <c r="Q119" s="194">
        <v>2535</v>
      </c>
      <c r="R119" s="195">
        <v>0.43024439918533602</v>
      </c>
      <c r="S119" s="194">
        <v>2571</v>
      </c>
      <c r="T119" s="195">
        <v>0.41116264193187302</v>
      </c>
      <c r="U119" s="194">
        <v>2558</v>
      </c>
      <c r="V119" s="195">
        <v>0.411386297844966</v>
      </c>
    </row>
    <row r="120" spans="1:22" x14ac:dyDescent="0.25">
      <c r="A120" s="98" t="s">
        <v>680</v>
      </c>
      <c r="B120" s="98"/>
      <c r="C120" s="194">
        <v>532</v>
      </c>
      <c r="D120" s="195">
        <v>8.1358005811286105E-2</v>
      </c>
      <c r="E120" s="194">
        <v>620</v>
      </c>
      <c r="F120" s="195">
        <v>8.9569488587113597E-2</v>
      </c>
      <c r="G120" s="194">
        <v>726</v>
      </c>
      <c r="H120" s="195">
        <v>0.10738056500517699</v>
      </c>
      <c r="I120" s="194">
        <v>700</v>
      </c>
      <c r="J120" s="195">
        <v>0.108510308479306</v>
      </c>
      <c r="K120" s="194">
        <v>672</v>
      </c>
      <c r="L120" s="195">
        <v>0.105</v>
      </c>
      <c r="M120" s="194">
        <v>675</v>
      </c>
      <c r="N120" s="195">
        <v>0.10413452638074699</v>
      </c>
      <c r="O120" s="194">
        <v>668</v>
      </c>
      <c r="P120" s="195">
        <v>0.107395498392283</v>
      </c>
      <c r="Q120" s="194">
        <v>664</v>
      </c>
      <c r="R120" s="195">
        <v>0.11269517990495601</v>
      </c>
      <c r="S120" s="194">
        <v>659</v>
      </c>
      <c r="T120" s="195">
        <v>0.10538941308172101</v>
      </c>
      <c r="U120" s="194">
        <v>641</v>
      </c>
      <c r="V120" s="195">
        <v>0.103087809585076</v>
      </c>
    </row>
    <row r="121" spans="1:22" x14ac:dyDescent="0.25">
      <c r="A121" s="98" t="s">
        <v>681</v>
      </c>
      <c r="B121" s="98"/>
      <c r="C121" s="194" t="s">
        <v>201</v>
      </c>
      <c r="D121" s="195"/>
      <c r="E121" s="194">
        <v>513</v>
      </c>
      <c r="F121" s="195">
        <v>7.4111528459982701E-2</v>
      </c>
      <c r="G121" s="194">
        <v>503</v>
      </c>
      <c r="H121" s="195">
        <v>7.4397278509096304E-2</v>
      </c>
      <c r="I121" s="194">
        <v>477</v>
      </c>
      <c r="J121" s="195">
        <v>7.3942024492326799E-2</v>
      </c>
      <c r="K121" s="194">
        <v>454</v>
      </c>
      <c r="L121" s="195">
        <v>7.0937500000000001E-2</v>
      </c>
      <c r="M121" s="194">
        <v>447</v>
      </c>
      <c r="N121" s="195">
        <v>6.8960197469916704E-2</v>
      </c>
      <c r="O121" s="194">
        <v>469</v>
      </c>
      <c r="P121" s="195">
        <v>7.5401929260450196E-2</v>
      </c>
      <c r="Q121" s="194">
        <v>463</v>
      </c>
      <c r="R121" s="195">
        <v>7.8581126951799002E-2</v>
      </c>
      <c r="S121" s="194">
        <v>467</v>
      </c>
      <c r="T121" s="195">
        <v>7.4684151607228494E-2</v>
      </c>
      <c r="U121" s="194">
        <v>481</v>
      </c>
      <c r="V121" s="195">
        <v>7.7356063042779005E-2</v>
      </c>
    </row>
    <row r="122" spans="1:22" x14ac:dyDescent="0.25">
      <c r="A122" s="98" t="s">
        <v>682</v>
      </c>
      <c r="B122" s="98"/>
      <c r="C122" s="194">
        <v>432</v>
      </c>
      <c r="D122" s="195">
        <v>6.6065147576082006E-2</v>
      </c>
      <c r="E122" s="194">
        <v>435</v>
      </c>
      <c r="F122" s="195">
        <v>6.2843108928055502E-2</v>
      </c>
      <c r="G122" s="194">
        <v>450</v>
      </c>
      <c r="H122" s="195">
        <v>6.6558201449489707E-2</v>
      </c>
      <c r="I122" s="194">
        <v>482</v>
      </c>
      <c r="J122" s="195">
        <v>7.4717098124321799E-2</v>
      </c>
      <c r="K122" s="194">
        <v>457</v>
      </c>
      <c r="L122" s="195">
        <v>7.1406250000000004E-2</v>
      </c>
      <c r="M122" s="194">
        <v>463</v>
      </c>
      <c r="N122" s="195">
        <v>7.1428571428571397E-2</v>
      </c>
      <c r="O122" s="194">
        <v>456</v>
      </c>
      <c r="P122" s="195">
        <v>7.3311897106109303E-2</v>
      </c>
      <c r="Q122" s="194">
        <v>344</v>
      </c>
      <c r="R122" s="195">
        <v>5.8384249830278401E-2</v>
      </c>
      <c r="S122" s="194">
        <v>318</v>
      </c>
      <c r="T122" s="195">
        <v>5.0855589317127803E-2</v>
      </c>
      <c r="U122" s="194">
        <v>338</v>
      </c>
      <c r="V122" s="195">
        <v>5.4358314570601501E-2</v>
      </c>
    </row>
    <row r="123" spans="1:22" x14ac:dyDescent="0.25">
      <c r="A123" s="98" t="s">
        <v>685</v>
      </c>
      <c r="B123" s="98"/>
      <c r="C123" s="194">
        <v>275</v>
      </c>
      <c r="D123" s="195">
        <v>4.2055360146811403E-2</v>
      </c>
      <c r="E123" s="194">
        <v>451</v>
      </c>
      <c r="F123" s="195">
        <v>6.5154579601271301E-2</v>
      </c>
      <c r="G123" s="194">
        <v>306</v>
      </c>
      <c r="H123" s="195">
        <v>4.5259576985652999E-2</v>
      </c>
      <c r="I123" s="194">
        <v>310</v>
      </c>
      <c r="J123" s="195">
        <v>4.8054565183692499E-2</v>
      </c>
      <c r="K123" s="194">
        <v>308</v>
      </c>
      <c r="L123" s="195">
        <v>4.8125000000000001E-2</v>
      </c>
      <c r="M123" s="194">
        <v>315</v>
      </c>
      <c r="N123" s="195">
        <v>4.8596112311015099E-2</v>
      </c>
      <c r="O123" s="194">
        <v>335</v>
      </c>
      <c r="P123" s="195">
        <v>5.3858520900321498E-2</v>
      </c>
      <c r="Q123" s="194">
        <v>321</v>
      </c>
      <c r="R123" s="195">
        <v>5.4480651731160901E-2</v>
      </c>
      <c r="S123" s="194">
        <v>325</v>
      </c>
      <c r="T123" s="195">
        <v>5.1975051975051999E-2</v>
      </c>
      <c r="U123" s="194">
        <v>337</v>
      </c>
      <c r="V123" s="195">
        <v>5.4197491154712098E-2</v>
      </c>
    </row>
    <row r="124" spans="1:22" x14ac:dyDescent="0.25">
      <c r="A124" s="98" t="s">
        <v>683</v>
      </c>
      <c r="B124" s="98"/>
      <c r="C124" s="194">
        <v>298</v>
      </c>
      <c r="D124" s="195">
        <v>4.55727175409084E-2</v>
      </c>
      <c r="E124" s="194">
        <v>307</v>
      </c>
      <c r="F124" s="195">
        <v>4.4351343542328801E-2</v>
      </c>
      <c r="G124" s="194">
        <v>290</v>
      </c>
      <c r="H124" s="195">
        <v>4.2893063156337799E-2</v>
      </c>
      <c r="I124" s="194">
        <v>274</v>
      </c>
      <c r="J124" s="195">
        <v>4.2474035033328202E-2</v>
      </c>
      <c r="K124" s="194">
        <v>264</v>
      </c>
      <c r="L124" s="195">
        <v>4.1250000000000002E-2</v>
      </c>
      <c r="M124" s="194">
        <v>285</v>
      </c>
      <c r="N124" s="195">
        <v>4.3967911138537499E-2</v>
      </c>
      <c r="O124" s="194">
        <v>288</v>
      </c>
      <c r="P124" s="195">
        <v>4.6302250803858497E-2</v>
      </c>
      <c r="Q124" s="194">
        <v>278</v>
      </c>
      <c r="R124" s="195">
        <v>4.7182620502376101E-2</v>
      </c>
      <c r="S124" s="194">
        <v>296</v>
      </c>
      <c r="T124" s="195">
        <v>4.7337278106508902E-2</v>
      </c>
      <c r="U124" s="194">
        <v>291</v>
      </c>
      <c r="V124" s="195">
        <v>4.6799614023801901E-2</v>
      </c>
    </row>
    <row r="125" spans="1:22" x14ac:dyDescent="0.25">
      <c r="A125" s="98" t="s">
        <v>684</v>
      </c>
      <c r="B125" s="98"/>
      <c r="C125" s="194" t="s">
        <v>201</v>
      </c>
      <c r="D125" s="195"/>
      <c r="E125" s="194">
        <v>276</v>
      </c>
      <c r="F125" s="195">
        <v>3.9872869112973101E-2</v>
      </c>
      <c r="G125" s="194">
        <v>284</v>
      </c>
      <c r="H125" s="195">
        <v>4.2005620470344597E-2</v>
      </c>
      <c r="I125" s="194">
        <v>259</v>
      </c>
      <c r="J125" s="195">
        <v>4.0148814137343003E-2</v>
      </c>
      <c r="K125" s="194">
        <v>256</v>
      </c>
      <c r="L125" s="195">
        <v>0.04</v>
      </c>
      <c r="M125" s="194">
        <v>267</v>
      </c>
      <c r="N125" s="195">
        <v>4.1190990435050902E-2</v>
      </c>
      <c r="O125" s="194">
        <v>248</v>
      </c>
      <c r="P125" s="195">
        <v>3.9871382636655898E-2</v>
      </c>
      <c r="Q125" s="194">
        <v>239</v>
      </c>
      <c r="R125" s="195">
        <v>4.0563475899524797E-2</v>
      </c>
      <c r="S125" s="194">
        <v>277</v>
      </c>
      <c r="T125" s="195">
        <v>4.4298736606428898E-2</v>
      </c>
      <c r="U125" s="194">
        <v>267</v>
      </c>
      <c r="V125" s="195">
        <v>4.2939852042457399E-2</v>
      </c>
    </row>
    <row r="126" spans="1:22" x14ac:dyDescent="0.25">
      <c r="A126" s="98" t="s">
        <v>686</v>
      </c>
      <c r="B126" s="98"/>
      <c r="C126" s="194">
        <v>327</v>
      </c>
      <c r="D126" s="195">
        <v>5.0007646429117598E-2</v>
      </c>
      <c r="E126" s="194">
        <v>330</v>
      </c>
      <c r="F126" s="195">
        <v>4.7674082635076602E-2</v>
      </c>
      <c r="G126" s="194">
        <v>301</v>
      </c>
      <c r="H126" s="195">
        <v>4.4520041413991997E-2</v>
      </c>
      <c r="I126" s="194">
        <v>300</v>
      </c>
      <c r="J126" s="195">
        <v>4.6504417919702397E-2</v>
      </c>
      <c r="K126" s="194">
        <v>291</v>
      </c>
      <c r="L126" s="195">
        <v>4.5468750000000002E-2</v>
      </c>
      <c r="M126" s="194">
        <v>248</v>
      </c>
      <c r="N126" s="195">
        <v>3.8259796359148397E-2</v>
      </c>
      <c r="O126" s="194">
        <v>243</v>
      </c>
      <c r="P126" s="195">
        <v>3.9067524115755599E-2</v>
      </c>
      <c r="Q126" s="194">
        <v>226</v>
      </c>
      <c r="R126" s="195">
        <v>3.8357094365240998E-2</v>
      </c>
      <c r="S126" s="194">
        <v>229</v>
      </c>
      <c r="T126" s="195">
        <v>3.6622421237805902E-2</v>
      </c>
      <c r="U126" s="194">
        <v>203</v>
      </c>
      <c r="V126" s="195">
        <v>3.2647153425538797E-2</v>
      </c>
    </row>
    <row r="127" spans="1:22" x14ac:dyDescent="0.25">
      <c r="A127" s="98" t="s">
        <v>687</v>
      </c>
      <c r="B127" s="98"/>
      <c r="C127" s="194">
        <v>723</v>
      </c>
      <c r="D127" s="195">
        <v>0.110567365040526</v>
      </c>
      <c r="E127" s="194">
        <v>758</v>
      </c>
      <c r="F127" s="195">
        <v>0.1095059231436</v>
      </c>
      <c r="G127" s="194">
        <v>596</v>
      </c>
      <c r="H127" s="195">
        <v>8.8152640141990798E-2</v>
      </c>
      <c r="I127" s="194" t="s">
        <v>201</v>
      </c>
      <c r="J127" s="195"/>
      <c r="K127" s="194" t="s">
        <v>201</v>
      </c>
      <c r="L127" s="195"/>
      <c r="M127" s="194" t="s">
        <v>201</v>
      </c>
      <c r="N127" s="195"/>
      <c r="O127" s="194" t="s">
        <v>201</v>
      </c>
      <c r="P127" s="195"/>
      <c r="Q127" s="194" t="s">
        <v>201</v>
      </c>
      <c r="R127" s="195"/>
      <c r="S127" s="194" t="s">
        <v>201</v>
      </c>
      <c r="T127" s="195"/>
      <c r="U127" s="194" t="s">
        <v>201</v>
      </c>
      <c r="V127" s="195"/>
    </row>
    <row r="128" spans="1:22" x14ac:dyDescent="0.25">
      <c r="A128" s="98" t="s">
        <v>688</v>
      </c>
      <c r="B128" s="98"/>
      <c r="C128" s="194">
        <v>150</v>
      </c>
      <c r="D128" s="195">
        <v>2.29392873528062E-2</v>
      </c>
      <c r="E128" s="194" t="s">
        <v>201</v>
      </c>
      <c r="F128" s="195"/>
      <c r="G128" s="194" t="s">
        <v>201</v>
      </c>
      <c r="H128" s="195"/>
      <c r="I128" s="194" t="s">
        <v>201</v>
      </c>
      <c r="J128" s="195"/>
      <c r="K128" s="194" t="s">
        <v>201</v>
      </c>
      <c r="L128" s="195"/>
      <c r="M128" s="194" t="s">
        <v>201</v>
      </c>
      <c r="N128" s="195"/>
      <c r="O128" s="194" t="s">
        <v>201</v>
      </c>
      <c r="P128" s="195"/>
      <c r="Q128" s="194" t="s">
        <v>201</v>
      </c>
      <c r="R128" s="195"/>
      <c r="S128" s="194" t="s">
        <v>201</v>
      </c>
      <c r="T128" s="195"/>
      <c r="U128" s="194" t="s">
        <v>201</v>
      </c>
      <c r="V128" s="195"/>
    </row>
    <row r="129" spans="1:22" x14ac:dyDescent="0.25">
      <c r="A129" s="98" t="s">
        <v>689</v>
      </c>
      <c r="B129" s="98"/>
      <c r="C129" s="194">
        <v>813</v>
      </c>
      <c r="D129" s="195">
        <v>0.12433093745220999</v>
      </c>
      <c r="E129" s="194">
        <v>843</v>
      </c>
      <c r="F129" s="195">
        <v>0.121785611095059</v>
      </c>
      <c r="G129" s="194">
        <v>804</v>
      </c>
      <c r="H129" s="195">
        <v>0.118917319923088</v>
      </c>
      <c r="I129" s="194" t="s">
        <v>201</v>
      </c>
      <c r="J129" s="195"/>
      <c r="K129" s="194" t="s">
        <v>201</v>
      </c>
      <c r="L129" s="195"/>
      <c r="M129" s="194" t="s">
        <v>201</v>
      </c>
      <c r="N129" s="195"/>
      <c r="O129" s="194" t="s">
        <v>201</v>
      </c>
      <c r="P129" s="195"/>
      <c r="Q129" s="194" t="s">
        <v>201</v>
      </c>
      <c r="R129" s="195"/>
      <c r="S129" s="194" t="s">
        <v>201</v>
      </c>
      <c r="T129" s="195"/>
      <c r="U129" s="194" t="s">
        <v>201</v>
      </c>
      <c r="V129" s="195"/>
    </row>
    <row r="130" spans="1:22" x14ac:dyDescent="0.25">
      <c r="A130" s="98" t="s">
        <v>690</v>
      </c>
      <c r="B130" s="98"/>
      <c r="C130" s="194">
        <v>96</v>
      </c>
      <c r="D130" s="195">
        <v>1.4681143905796E-2</v>
      </c>
      <c r="E130" s="194" t="s">
        <v>201</v>
      </c>
      <c r="F130" s="195"/>
      <c r="G130" s="194" t="s">
        <v>201</v>
      </c>
      <c r="H130" s="195"/>
      <c r="I130" s="194" t="s">
        <v>201</v>
      </c>
      <c r="J130" s="195"/>
      <c r="K130" s="194" t="s">
        <v>201</v>
      </c>
      <c r="L130" s="195"/>
      <c r="M130" s="194" t="s">
        <v>201</v>
      </c>
      <c r="N130" s="195"/>
      <c r="O130" s="194" t="s">
        <v>201</v>
      </c>
      <c r="P130" s="195"/>
      <c r="Q130" s="194" t="s">
        <v>201</v>
      </c>
      <c r="R130" s="195"/>
      <c r="S130" s="194" t="s">
        <v>201</v>
      </c>
      <c r="T130" s="195"/>
      <c r="U130" s="194" t="s">
        <v>201</v>
      </c>
      <c r="V130" s="195"/>
    </row>
    <row r="131" spans="1:22" x14ac:dyDescent="0.25">
      <c r="A131" s="98" t="s">
        <v>691</v>
      </c>
      <c r="B131" s="98"/>
      <c r="C131" s="194">
        <v>390</v>
      </c>
      <c r="D131" s="195">
        <v>5.96421471172962E-2</v>
      </c>
      <c r="E131" s="194" t="s">
        <v>201</v>
      </c>
      <c r="F131" s="195"/>
      <c r="G131" s="194" t="s">
        <v>201</v>
      </c>
      <c r="H131" s="195"/>
      <c r="I131" s="194" t="s">
        <v>201</v>
      </c>
      <c r="J131" s="195"/>
      <c r="K131" s="194" t="s">
        <v>201</v>
      </c>
      <c r="L131" s="195"/>
      <c r="M131" s="194" t="s">
        <v>201</v>
      </c>
      <c r="N131" s="195"/>
      <c r="O131" s="194" t="s">
        <v>201</v>
      </c>
      <c r="P131" s="195"/>
      <c r="Q131" s="194" t="s">
        <v>201</v>
      </c>
      <c r="R131" s="195"/>
      <c r="S131" s="194" t="s">
        <v>201</v>
      </c>
      <c r="T131" s="195"/>
      <c r="U131" s="194" t="s">
        <v>201</v>
      </c>
      <c r="V131" s="195"/>
    </row>
    <row r="132" spans="1:22" x14ac:dyDescent="0.25">
      <c r="A132" s="98" t="s">
        <v>692</v>
      </c>
      <c r="B132" s="98"/>
      <c r="C132" s="194">
        <v>1226</v>
      </c>
      <c r="D132" s="195">
        <v>0.18749044196360301</v>
      </c>
      <c r="E132" s="194">
        <v>1331</v>
      </c>
      <c r="F132" s="195">
        <v>0.192285466628142</v>
      </c>
      <c r="G132" s="194">
        <v>1460</v>
      </c>
      <c r="H132" s="195">
        <v>0.215944386925011</v>
      </c>
      <c r="I132" s="194" t="s">
        <v>201</v>
      </c>
      <c r="J132" s="195"/>
      <c r="K132" s="194" t="s">
        <v>201</v>
      </c>
      <c r="L132" s="195"/>
      <c r="M132" s="194" t="s">
        <v>201</v>
      </c>
      <c r="N132" s="195"/>
      <c r="O132" s="194" t="s">
        <v>201</v>
      </c>
      <c r="P132" s="195"/>
      <c r="Q132" s="194" t="s">
        <v>201</v>
      </c>
      <c r="R132" s="195"/>
      <c r="S132" s="194" t="s">
        <v>201</v>
      </c>
      <c r="T132" s="195"/>
      <c r="U132" s="194" t="s">
        <v>201</v>
      </c>
      <c r="V132" s="195"/>
    </row>
    <row r="133" spans="1:22" x14ac:dyDescent="0.25">
      <c r="A133" s="98" t="s">
        <v>693</v>
      </c>
      <c r="B133" s="98"/>
      <c r="C133" s="194">
        <v>262</v>
      </c>
      <c r="D133" s="195">
        <v>4.00672885762349E-2</v>
      </c>
      <c r="E133" s="194" t="s">
        <v>201</v>
      </c>
      <c r="F133" s="195"/>
      <c r="G133" s="194" t="s">
        <v>201</v>
      </c>
      <c r="H133" s="195"/>
      <c r="I133" s="194" t="s">
        <v>201</v>
      </c>
      <c r="J133" s="195"/>
      <c r="K133" s="194" t="s">
        <v>201</v>
      </c>
      <c r="L133" s="195"/>
      <c r="M133" s="194" t="s">
        <v>201</v>
      </c>
      <c r="N133" s="195"/>
      <c r="O133" s="194" t="s">
        <v>201</v>
      </c>
      <c r="P133" s="195"/>
      <c r="Q133" s="194" t="s">
        <v>201</v>
      </c>
      <c r="R133" s="195"/>
      <c r="S133" s="194" t="s">
        <v>201</v>
      </c>
      <c r="T133" s="195"/>
      <c r="U133" s="194" t="s">
        <v>201</v>
      </c>
      <c r="V133" s="195"/>
    </row>
    <row r="134" spans="1:22" x14ac:dyDescent="0.25">
      <c r="A134" s="98" t="s">
        <v>694</v>
      </c>
      <c r="B134" s="98"/>
      <c r="C134" s="194">
        <v>1195</v>
      </c>
      <c r="D134" s="195">
        <v>0.18274965591069001</v>
      </c>
      <c r="E134" s="194">
        <v>1262</v>
      </c>
      <c r="F134" s="195">
        <v>0.18231724934989901</v>
      </c>
      <c r="G134" s="194">
        <v>1063</v>
      </c>
      <c r="H134" s="195">
        <v>0.157225262535128</v>
      </c>
      <c r="I134" s="194">
        <v>838</v>
      </c>
      <c r="J134" s="195">
        <v>0.129902340722369</v>
      </c>
      <c r="K134" s="194">
        <v>855</v>
      </c>
      <c r="L134" s="195">
        <v>0.13359375000000001</v>
      </c>
      <c r="M134" s="194">
        <v>887</v>
      </c>
      <c r="N134" s="195">
        <v>0.13684048133292201</v>
      </c>
      <c r="O134" s="194">
        <v>843</v>
      </c>
      <c r="P134" s="195">
        <v>0.13553054662379399</v>
      </c>
      <c r="Q134" s="194">
        <v>637</v>
      </c>
      <c r="R134" s="195">
        <v>0.108112695179905</v>
      </c>
      <c r="S134" s="194">
        <v>706</v>
      </c>
      <c r="T134" s="195">
        <v>0.112905805213498</v>
      </c>
      <c r="U134" s="194">
        <v>697</v>
      </c>
      <c r="V134" s="195">
        <v>0.112093920874879</v>
      </c>
    </row>
    <row r="135" spans="1:22" x14ac:dyDescent="0.25">
      <c r="A135" s="98" t="s">
        <v>696</v>
      </c>
      <c r="B135" s="98"/>
      <c r="C135" s="194" t="s">
        <v>201</v>
      </c>
      <c r="D135" s="195"/>
      <c r="E135" s="194" t="s">
        <v>201</v>
      </c>
      <c r="F135" s="195"/>
      <c r="G135" s="194" t="s">
        <v>201</v>
      </c>
      <c r="H135" s="195"/>
      <c r="I135" s="194" t="s">
        <v>201</v>
      </c>
      <c r="J135" s="195"/>
      <c r="K135" s="194" t="s">
        <v>201</v>
      </c>
      <c r="L135" s="195"/>
      <c r="M135" s="194" t="s">
        <v>201</v>
      </c>
      <c r="N135" s="195"/>
      <c r="O135" s="194" t="s">
        <v>201</v>
      </c>
      <c r="P135" s="195"/>
      <c r="Q135" s="194">
        <v>0</v>
      </c>
      <c r="R135" s="195"/>
      <c r="S135" s="194">
        <v>0</v>
      </c>
      <c r="T135" s="195"/>
      <c r="U135" s="194">
        <v>0</v>
      </c>
      <c r="V135" s="195"/>
    </row>
    <row r="136" spans="1:22" x14ac:dyDescent="0.25">
      <c r="A136" s="98" t="s">
        <v>697</v>
      </c>
      <c r="B136" s="98"/>
      <c r="C136" s="194">
        <v>0</v>
      </c>
      <c r="D136" s="195"/>
      <c r="E136" s="194">
        <v>0</v>
      </c>
      <c r="F136" s="195"/>
      <c r="G136" s="194">
        <v>0</v>
      </c>
      <c r="H136" s="195"/>
      <c r="I136" s="194">
        <v>0</v>
      </c>
      <c r="J136" s="195"/>
      <c r="K136" s="194">
        <v>0</v>
      </c>
      <c r="L136" s="195"/>
      <c r="M136" s="194">
        <v>0</v>
      </c>
      <c r="N136" s="195"/>
      <c r="O136" s="194">
        <v>0</v>
      </c>
      <c r="P136" s="195"/>
      <c r="Q136" s="194">
        <v>0</v>
      </c>
      <c r="R136" s="195"/>
      <c r="S136" s="194">
        <v>0</v>
      </c>
      <c r="T136" s="195"/>
      <c r="U136" s="194">
        <v>0</v>
      </c>
      <c r="V136" s="195"/>
    </row>
    <row r="137" spans="1:22" x14ac:dyDescent="0.25">
      <c r="A137" s="96" t="s">
        <v>718</v>
      </c>
      <c r="B137" s="96"/>
      <c r="C137" s="192">
        <v>226600</v>
      </c>
      <c r="D137" s="193">
        <v>1</v>
      </c>
      <c r="E137" s="192">
        <v>245200</v>
      </c>
      <c r="F137" s="193">
        <v>1</v>
      </c>
      <c r="G137" s="192">
        <v>229400</v>
      </c>
      <c r="H137" s="193">
        <v>1</v>
      </c>
      <c r="I137" s="192">
        <v>207500</v>
      </c>
      <c r="J137" s="193">
        <v>1</v>
      </c>
      <c r="K137" s="192">
        <v>208100</v>
      </c>
      <c r="L137" s="193">
        <v>1</v>
      </c>
      <c r="M137" s="192">
        <v>202900</v>
      </c>
      <c r="N137" s="193">
        <v>1</v>
      </c>
      <c r="O137" s="192">
        <v>196000</v>
      </c>
      <c r="P137" s="193">
        <v>1</v>
      </c>
      <c r="Q137" s="192">
        <v>182600</v>
      </c>
      <c r="R137" s="193">
        <v>1</v>
      </c>
      <c r="S137" s="192">
        <v>193200</v>
      </c>
      <c r="T137" s="193">
        <v>1</v>
      </c>
      <c r="U137" s="192">
        <v>189800</v>
      </c>
      <c r="V137" s="193">
        <v>1</v>
      </c>
    </row>
    <row r="138" spans="1:22" x14ac:dyDescent="0.25">
      <c r="A138" s="98" t="s">
        <v>679</v>
      </c>
      <c r="B138" s="98"/>
      <c r="C138" s="194">
        <v>137000</v>
      </c>
      <c r="D138" s="195">
        <v>0.60458958517210903</v>
      </c>
      <c r="E138" s="194">
        <v>148600</v>
      </c>
      <c r="F138" s="195">
        <v>0.60603588907014705</v>
      </c>
      <c r="G138" s="194">
        <v>144900</v>
      </c>
      <c r="H138" s="195">
        <v>0.63164777680906703</v>
      </c>
      <c r="I138" s="194">
        <v>134600</v>
      </c>
      <c r="J138" s="195">
        <v>0.64867469879518103</v>
      </c>
      <c r="K138" s="194">
        <v>131900</v>
      </c>
      <c r="L138" s="195">
        <v>0.63382988947621299</v>
      </c>
      <c r="M138" s="194">
        <v>128100</v>
      </c>
      <c r="N138" s="195">
        <v>0.63134549038935395</v>
      </c>
      <c r="O138" s="194">
        <v>128000</v>
      </c>
      <c r="P138" s="195">
        <v>0.65306122448979598</v>
      </c>
      <c r="Q138" s="194">
        <v>124400</v>
      </c>
      <c r="R138" s="195">
        <v>0.68127053669222304</v>
      </c>
      <c r="S138" s="194">
        <v>126300</v>
      </c>
      <c r="T138" s="195">
        <v>0.65372670807453404</v>
      </c>
      <c r="U138" s="194">
        <v>126000</v>
      </c>
      <c r="V138" s="195">
        <v>0.66385669125395197</v>
      </c>
    </row>
    <row r="139" spans="1:22" x14ac:dyDescent="0.25">
      <c r="A139" s="98" t="s">
        <v>694</v>
      </c>
      <c r="B139" s="98"/>
      <c r="C139" s="194">
        <v>64600</v>
      </c>
      <c r="D139" s="195">
        <v>0.28508384819064397</v>
      </c>
      <c r="E139" s="194">
        <v>69500</v>
      </c>
      <c r="F139" s="195">
        <v>0.28344208809135402</v>
      </c>
      <c r="G139" s="194">
        <v>56300</v>
      </c>
      <c r="H139" s="195">
        <v>0.245422842197036</v>
      </c>
      <c r="I139" s="194">
        <v>45100</v>
      </c>
      <c r="J139" s="195">
        <v>0.21734939759036101</v>
      </c>
      <c r="K139" s="194">
        <v>47300</v>
      </c>
      <c r="L139" s="195">
        <v>0.22729456991830899</v>
      </c>
      <c r="M139" s="194">
        <v>45500</v>
      </c>
      <c r="N139" s="195">
        <v>0.22424839822572701</v>
      </c>
      <c r="O139" s="194">
        <v>41100</v>
      </c>
      <c r="P139" s="195">
        <v>0.20969387755102001</v>
      </c>
      <c r="Q139" s="194">
        <v>30100</v>
      </c>
      <c r="R139" s="195">
        <v>0.164841182913472</v>
      </c>
      <c r="S139" s="194">
        <v>35400</v>
      </c>
      <c r="T139" s="195">
        <v>0.18322981366459601</v>
      </c>
      <c r="U139" s="194">
        <v>33800</v>
      </c>
      <c r="V139" s="195">
        <v>0.17808219178082199</v>
      </c>
    </row>
    <row r="140" spans="1:22" x14ac:dyDescent="0.25">
      <c r="A140" s="98" t="s">
        <v>695</v>
      </c>
      <c r="B140" s="98"/>
      <c r="C140" s="194">
        <v>25000</v>
      </c>
      <c r="D140" s="195">
        <v>0.11032656663724601</v>
      </c>
      <c r="E140" s="194">
        <v>27100</v>
      </c>
      <c r="F140" s="195">
        <v>0.110522022838499</v>
      </c>
      <c r="G140" s="194">
        <v>28200</v>
      </c>
      <c r="H140" s="195">
        <v>0.122929380993897</v>
      </c>
      <c r="I140" s="194">
        <v>27800</v>
      </c>
      <c r="J140" s="195">
        <v>0.13397590361445799</v>
      </c>
      <c r="K140" s="194">
        <v>28900</v>
      </c>
      <c r="L140" s="195">
        <v>0.13887554060547799</v>
      </c>
      <c r="M140" s="194">
        <v>29300</v>
      </c>
      <c r="N140" s="195">
        <v>0.14440611138491899</v>
      </c>
      <c r="O140" s="194">
        <v>26900</v>
      </c>
      <c r="P140" s="195">
        <v>0.13724489795918399</v>
      </c>
      <c r="Q140" s="194">
        <v>28100</v>
      </c>
      <c r="R140" s="195">
        <v>0.15388828039430399</v>
      </c>
      <c r="S140" s="194">
        <v>31500</v>
      </c>
      <c r="T140" s="195">
        <v>0.16304347826087001</v>
      </c>
      <c r="U140" s="194">
        <v>30000</v>
      </c>
      <c r="V140" s="195">
        <v>0.15806111696522701</v>
      </c>
    </row>
    <row r="141" spans="1:22" x14ac:dyDescent="0.25">
      <c r="A141" s="96" t="s">
        <v>719</v>
      </c>
      <c r="B141" s="96"/>
      <c r="C141" s="192">
        <v>36752</v>
      </c>
      <c r="D141" s="193">
        <v>1</v>
      </c>
      <c r="E141" s="192">
        <v>36711</v>
      </c>
      <c r="F141" s="193">
        <v>1</v>
      </c>
      <c r="G141" s="192">
        <v>36891</v>
      </c>
      <c r="H141" s="193">
        <v>1</v>
      </c>
      <c r="I141" s="192">
        <v>36863</v>
      </c>
      <c r="J141" s="193">
        <v>1</v>
      </c>
      <c r="K141" s="192">
        <v>36768</v>
      </c>
      <c r="L141" s="193">
        <v>1</v>
      </c>
      <c r="M141" s="192">
        <v>36557</v>
      </c>
      <c r="N141" s="193">
        <v>1</v>
      </c>
      <c r="O141" s="192">
        <v>36030</v>
      </c>
      <c r="P141" s="193">
        <v>1</v>
      </c>
      <c r="Q141" s="192">
        <v>35485</v>
      </c>
      <c r="R141" s="193">
        <v>1</v>
      </c>
      <c r="S141" s="192">
        <v>35305</v>
      </c>
      <c r="T141" s="193">
        <v>1</v>
      </c>
      <c r="U141" s="192">
        <v>35750</v>
      </c>
      <c r="V141" s="193">
        <v>1</v>
      </c>
    </row>
    <row r="142" spans="1:22" x14ac:dyDescent="0.25">
      <c r="A142" s="98" t="s">
        <v>720</v>
      </c>
      <c r="B142" s="98"/>
      <c r="C142" s="194">
        <v>26411</v>
      </c>
      <c r="D142" s="195">
        <v>0.71862755768393605</v>
      </c>
      <c r="E142" s="194">
        <v>26391</v>
      </c>
      <c r="F142" s="195">
        <v>0.71888534771594303</v>
      </c>
      <c r="G142" s="194">
        <v>26565</v>
      </c>
      <c r="H142" s="195">
        <v>0.72009433195088202</v>
      </c>
      <c r="I142" s="194">
        <v>26530</v>
      </c>
      <c r="J142" s="195">
        <v>0.71969183191818398</v>
      </c>
      <c r="K142" s="194">
        <v>26500</v>
      </c>
      <c r="L142" s="195">
        <v>0.72073542210617902</v>
      </c>
      <c r="M142" s="194">
        <v>26286</v>
      </c>
      <c r="N142" s="195">
        <v>0.71904149684054997</v>
      </c>
      <c r="O142" s="194">
        <v>25793</v>
      </c>
      <c r="P142" s="195">
        <v>0.71587565917291196</v>
      </c>
      <c r="Q142" s="194">
        <v>25300</v>
      </c>
      <c r="R142" s="195">
        <v>0.71297731435817902</v>
      </c>
      <c r="S142" s="194">
        <v>25140</v>
      </c>
      <c r="T142" s="195">
        <v>0.71208044186375896</v>
      </c>
      <c r="U142" s="194">
        <v>25541</v>
      </c>
      <c r="V142" s="195">
        <v>0.71443356643356604</v>
      </c>
    </row>
    <row r="143" spans="1:22" x14ac:dyDescent="0.25">
      <c r="A143" s="98" t="s">
        <v>721</v>
      </c>
      <c r="B143" s="98"/>
      <c r="C143" s="194">
        <v>9420</v>
      </c>
      <c r="D143" s="195">
        <v>0.25631258162821102</v>
      </c>
      <c r="E143" s="194">
        <v>9397</v>
      </c>
      <c r="F143" s="195">
        <v>0.25597232437144202</v>
      </c>
      <c r="G143" s="194">
        <v>9390</v>
      </c>
      <c r="H143" s="195">
        <v>0.254533626087664</v>
      </c>
      <c r="I143" s="194">
        <v>9396</v>
      </c>
      <c r="J143" s="195">
        <v>0.25488972682635702</v>
      </c>
      <c r="K143" s="194">
        <v>9348</v>
      </c>
      <c r="L143" s="195">
        <v>0.25424281984334202</v>
      </c>
      <c r="M143" s="194">
        <v>9350</v>
      </c>
      <c r="N143" s="195">
        <v>0.25576496977323099</v>
      </c>
      <c r="O143" s="194">
        <v>9316</v>
      </c>
      <c r="P143" s="195">
        <v>0.25856230918678902</v>
      </c>
      <c r="Q143" s="194">
        <v>9289</v>
      </c>
      <c r="R143" s="195">
        <v>0.261772579963365</v>
      </c>
      <c r="S143" s="194">
        <v>9278</v>
      </c>
      <c r="T143" s="195">
        <v>0.26279563801161299</v>
      </c>
      <c r="U143" s="194">
        <v>9308</v>
      </c>
      <c r="V143" s="195">
        <v>0.26036363636363602</v>
      </c>
    </row>
    <row r="144" spans="1:22" x14ac:dyDescent="0.25">
      <c r="A144" s="98" t="s">
        <v>722</v>
      </c>
      <c r="B144" s="98"/>
      <c r="C144" s="194">
        <v>921</v>
      </c>
      <c r="D144" s="195">
        <v>2.5059860687853701E-2</v>
      </c>
      <c r="E144" s="194">
        <v>923</v>
      </c>
      <c r="F144" s="195">
        <v>2.5142327912614702E-2</v>
      </c>
      <c r="G144" s="194">
        <v>936</v>
      </c>
      <c r="H144" s="195">
        <v>2.5372041961454001E-2</v>
      </c>
      <c r="I144" s="194">
        <v>937</v>
      </c>
      <c r="J144" s="195">
        <v>2.54184412554594E-2</v>
      </c>
      <c r="K144" s="194">
        <v>920</v>
      </c>
      <c r="L144" s="195">
        <v>2.5021758050478699E-2</v>
      </c>
      <c r="M144" s="194">
        <v>921</v>
      </c>
      <c r="N144" s="195">
        <v>2.5193533386218801E-2</v>
      </c>
      <c r="O144" s="194">
        <v>921</v>
      </c>
      <c r="P144" s="195">
        <v>2.5562031640299701E-2</v>
      </c>
      <c r="Q144" s="194">
        <v>896</v>
      </c>
      <c r="R144" s="195">
        <v>2.52501056784557E-2</v>
      </c>
      <c r="S144" s="194">
        <v>887</v>
      </c>
      <c r="T144" s="195">
        <v>2.5123920124628201E-2</v>
      </c>
      <c r="U144" s="194">
        <v>901</v>
      </c>
      <c r="V144" s="195">
        <v>2.5202797202797202E-2</v>
      </c>
    </row>
    <row r="145" spans="1:22" x14ac:dyDescent="0.25">
      <c r="A145" s="96" t="s">
        <v>723</v>
      </c>
      <c r="B145" s="96"/>
      <c r="C145" s="196" t="s">
        <v>201</v>
      </c>
      <c r="D145" s="197"/>
      <c r="E145" s="196" t="s">
        <v>201</v>
      </c>
      <c r="F145" s="197"/>
      <c r="G145" s="196" t="s">
        <v>201</v>
      </c>
      <c r="H145" s="197"/>
      <c r="I145" s="196" t="s">
        <v>201</v>
      </c>
      <c r="J145" s="197"/>
      <c r="K145" s="196" t="s">
        <v>201</v>
      </c>
      <c r="L145" s="197"/>
      <c r="M145" s="196" t="s">
        <v>201</v>
      </c>
      <c r="N145" s="197"/>
      <c r="O145" s="196" t="s">
        <v>201</v>
      </c>
      <c r="P145" s="197"/>
      <c r="Q145" s="196" t="s">
        <v>201</v>
      </c>
      <c r="R145" s="197"/>
      <c r="S145" s="196" t="s">
        <v>201</v>
      </c>
      <c r="T145" s="197"/>
      <c r="U145" s="196" t="s">
        <v>201</v>
      </c>
      <c r="V145" s="197"/>
    </row>
    <row r="146" spans="1:22" x14ac:dyDescent="0.25">
      <c r="A146" s="98" t="s">
        <v>724</v>
      </c>
      <c r="B146" s="98"/>
      <c r="C146" s="198">
        <v>33</v>
      </c>
      <c r="D146" s="199"/>
      <c r="E146" s="198">
        <v>35</v>
      </c>
      <c r="F146" s="199"/>
      <c r="G146" s="198">
        <v>35</v>
      </c>
      <c r="H146" s="199"/>
      <c r="I146" s="198">
        <v>37</v>
      </c>
      <c r="J146" s="199"/>
      <c r="K146" s="198">
        <v>37</v>
      </c>
      <c r="L146" s="199"/>
      <c r="M146" s="198">
        <v>37</v>
      </c>
      <c r="N146" s="199"/>
      <c r="O146" s="198">
        <v>42</v>
      </c>
      <c r="P146" s="199"/>
      <c r="Q146" s="198">
        <v>42</v>
      </c>
      <c r="R146" s="199"/>
      <c r="S146" s="198">
        <v>43</v>
      </c>
      <c r="T146" s="199"/>
      <c r="U146" s="198">
        <v>45</v>
      </c>
      <c r="V146" s="199"/>
    </row>
    <row r="147" spans="1:22" x14ac:dyDescent="0.25">
      <c r="A147" s="98" t="s">
        <v>725</v>
      </c>
      <c r="B147" s="98"/>
      <c r="C147" s="198">
        <v>21</v>
      </c>
      <c r="D147" s="199"/>
      <c r="E147" s="198">
        <v>22</v>
      </c>
      <c r="F147" s="199"/>
      <c r="G147" s="198">
        <v>23</v>
      </c>
      <c r="H147" s="199"/>
      <c r="I147" s="198">
        <v>24</v>
      </c>
      <c r="J147" s="199"/>
      <c r="K147" s="198">
        <v>24</v>
      </c>
      <c r="L147" s="199"/>
      <c r="M147" s="198">
        <v>24</v>
      </c>
      <c r="N147" s="199"/>
      <c r="O147" s="198">
        <v>27</v>
      </c>
      <c r="P147" s="199"/>
      <c r="Q147" s="198">
        <v>28</v>
      </c>
      <c r="R147" s="199"/>
      <c r="S147" s="198">
        <v>29</v>
      </c>
      <c r="T147" s="199"/>
      <c r="U147" s="198">
        <v>29</v>
      </c>
      <c r="V147" s="199"/>
    </row>
    <row r="148" spans="1:22" x14ac:dyDescent="0.25">
      <c r="A148" s="98" t="s">
        <v>726</v>
      </c>
      <c r="B148" s="98"/>
      <c r="C148" s="198">
        <v>20</v>
      </c>
      <c r="D148" s="199"/>
      <c r="E148" s="198">
        <v>21</v>
      </c>
      <c r="F148" s="199"/>
      <c r="G148" s="198">
        <v>20</v>
      </c>
      <c r="H148" s="199"/>
      <c r="I148" s="198">
        <v>20</v>
      </c>
      <c r="J148" s="199"/>
      <c r="K148" s="198">
        <v>20</v>
      </c>
      <c r="L148" s="199"/>
      <c r="M148" s="198">
        <v>20</v>
      </c>
      <c r="N148" s="199"/>
      <c r="O148" s="198">
        <v>20</v>
      </c>
      <c r="P148" s="199"/>
      <c r="Q148" s="198">
        <v>21</v>
      </c>
      <c r="R148" s="199"/>
      <c r="S148" s="198">
        <v>22</v>
      </c>
      <c r="T148" s="199"/>
      <c r="U148" s="198">
        <v>23</v>
      </c>
      <c r="V148" s="199"/>
    </row>
    <row r="149" spans="1:22" x14ac:dyDescent="0.25">
      <c r="A149" s="105" t="s">
        <v>199</v>
      </c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DCF</vt:lpstr>
      <vt:lpstr>CCA</vt:lpstr>
      <vt:lpstr>Summary</vt:lpstr>
      <vt:lpstr>IS</vt:lpstr>
      <vt:lpstr>BS</vt:lpstr>
      <vt:lpstr>CF</vt:lpstr>
      <vt:lpstr>Graphs</vt:lpstr>
      <vt:lpstr>Ratio</vt:lpstr>
      <vt:lpstr>cash</vt:lpstr>
      <vt:lpstr>debt</vt:lpstr>
      <vt:lpstr>ebi</vt:lpstr>
      <vt:lpstr>fcff</vt:lpstr>
      <vt:lpstr>CCA!Print_Area</vt:lpstr>
      <vt:lpstr>DCF!Print_Area</vt:lpstr>
      <vt:lpstr>reve</vt:lpstr>
      <vt:lpstr>tgr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Amann, Guillaume J</cp:lastModifiedBy>
  <cp:revision/>
  <cp:lastPrinted>2023-11-15T08:05:35Z</cp:lastPrinted>
  <dcterms:created xsi:type="dcterms:W3CDTF">2023-10-05T12:49:53Z</dcterms:created>
  <dcterms:modified xsi:type="dcterms:W3CDTF">2023-11-25T18:49:07Z</dcterms:modified>
  <cp:category/>
  <cp:contentStatus/>
</cp:coreProperties>
</file>