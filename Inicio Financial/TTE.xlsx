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aume/Downloads/Imperial/Union/"/>
    </mc:Choice>
  </mc:AlternateContent>
  <xr:revisionPtr revIDLastSave="0" documentId="13_ncr:1_{D67E607E-F83D-744E-938F-593FF759E20F}" xr6:coauthVersionLast="47" xr6:coauthVersionMax="47" xr10:uidLastSave="{00000000-0000-0000-0000-000000000000}"/>
  <bookViews>
    <workbookView xWindow="0" yWindow="500" windowWidth="28800" windowHeight="15920" activeTab="1" xr2:uid="{00000000-000D-0000-FFFF-FFFF00000000}"/>
  </bookViews>
  <sheets>
    <sheet name="DCF" sheetId="1" r:id="rId1"/>
    <sheet name="CCA" sheetId="2" r:id="rId2"/>
  </sheets>
  <definedNames>
    <definedName name="_xlnm.Print_Area" localSheetId="1">CCA!$A$1:$O$33</definedName>
    <definedName name="_xlnm.Print_Area" localSheetId="0">DCF!$A$1:$L$44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  <c r="K17" i="2"/>
  <c r="I17" i="2"/>
  <c r="G17" i="2"/>
  <c r="F17" i="2"/>
  <c r="E17" i="2"/>
  <c r="C31" i="1"/>
  <c r="K21" i="1"/>
  <c r="J21" i="1"/>
  <c r="I21" i="1"/>
  <c r="H21" i="1"/>
  <c r="C25" i="1"/>
  <c r="C24" i="1"/>
  <c r="C41" i="1"/>
  <c r="C36" i="1" s="1"/>
  <c r="C40" i="1"/>
  <c r="C37" i="1" s="1"/>
  <c r="C9" i="1"/>
  <c r="C7" i="1"/>
  <c r="L17" i="2"/>
  <c r="N17" i="2"/>
  <c r="H17" i="2"/>
  <c r="D5" i="2"/>
  <c r="C32" i="1" l="1"/>
  <c r="C42" i="1" s="1"/>
  <c r="I22" i="2" l="1"/>
  <c r="I21" i="2"/>
  <c r="C18" i="1"/>
  <c r="C16" i="1"/>
  <c r="C14" i="1"/>
  <c r="D11" i="1"/>
  <c r="E11" i="1"/>
  <c r="F11" i="1"/>
  <c r="G11" i="1"/>
  <c r="C11" i="1"/>
  <c r="D18" i="1"/>
  <c r="E18" i="1"/>
  <c r="F18" i="1"/>
  <c r="G18" i="1"/>
  <c r="D16" i="1"/>
  <c r="E16" i="1"/>
  <c r="F16" i="1"/>
  <c r="G16" i="1"/>
  <c r="D14" i="1"/>
  <c r="E14" i="1"/>
  <c r="F14" i="1"/>
  <c r="G14" i="1"/>
  <c r="D9" i="1"/>
  <c r="E9" i="1"/>
  <c r="F9" i="1"/>
  <c r="G9" i="1"/>
  <c r="G7" i="1"/>
  <c r="F7" i="1"/>
  <c r="E7" i="1"/>
  <c r="D7" i="1"/>
  <c r="I5" i="1"/>
  <c r="J5" i="1" s="1"/>
  <c r="K5" i="1" s="1"/>
  <c r="C20" i="2" l="1"/>
  <c r="I20" i="2"/>
  <c r="C13" i="1"/>
  <c r="C20" i="1" s="1"/>
  <c r="J22" i="2"/>
  <c r="J21" i="2"/>
  <c r="C18" i="2"/>
  <c r="I18" i="2"/>
  <c r="C17" i="2"/>
  <c r="C19" i="2"/>
  <c r="I19" i="2"/>
  <c r="C22" i="2"/>
  <c r="C21" i="2"/>
  <c r="F13" i="1"/>
  <c r="F20" i="1" s="1"/>
  <c r="D8" i="1"/>
  <c r="E13" i="1"/>
  <c r="E20" i="1" s="1"/>
  <c r="D13" i="1"/>
  <c r="D20" i="1" s="1"/>
  <c r="C19" i="1"/>
  <c r="G12" i="1"/>
  <c r="F15" i="1"/>
  <c r="C12" i="1"/>
  <c r="F17" i="1"/>
  <c r="C10" i="1"/>
  <c r="D15" i="1"/>
  <c r="E19" i="1"/>
  <c r="F19" i="1"/>
  <c r="G19" i="1"/>
  <c r="E15" i="1"/>
  <c r="D19" i="1"/>
  <c r="G15" i="1"/>
  <c r="C15" i="1"/>
  <c r="D10" i="1"/>
  <c r="F8" i="1"/>
  <c r="G13" i="1"/>
  <c r="G20" i="1" s="1"/>
  <c r="C17" i="1"/>
  <c r="E8" i="1"/>
  <c r="E10" i="1"/>
  <c r="D17" i="1"/>
  <c r="E17" i="1"/>
  <c r="F12" i="1"/>
  <c r="F10" i="1"/>
  <c r="G17" i="1"/>
  <c r="G10" i="1"/>
  <c r="E12" i="1"/>
  <c r="G8" i="1"/>
  <c r="D12" i="1"/>
  <c r="D20" i="2" l="1"/>
  <c r="J20" i="2"/>
  <c r="C25" i="2"/>
  <c r="C24" i="2"/>
  <c r="E22" i="1"/>
  <c r="F22" i="1"/>
  <c r="G22" i="1"/>
  <c r="D19" i="2"/>
  <c r="J19" i="2"/>
  <c r="K21" i="2"/>
  <c r="K22" i="2"/>
  <c r="D21" i="2"/>
  <c r="I25" i="2"/>
  <c r="I24" i="2"/>
  <c r="D17" i="2"/>
  <c r="J17" i="2"/>
  <c r="D18" i="2"/>
  <c r="J18" i="2"/>
  <c r="D22" i="2"/>
  <c r="H8" i="1"/>
  <c r="H15" i="1"/>
  <c r="H17" i="1"/>
  <c r="H10" i="1"/>
  <c r="I10" i="1" s="1"/>
  <c r="H19" i="1"/>
  <c r="I19" i="1" s="1"/>
  <c r="H12" i="1"/>
  <c r="C29" i="2" l="1"/>
  <c r="E20" i="2"/>
  <c r="K20" i="2"/>
  <c r="E22" i="2"/>
  <c r="L22" i="2"/>
  <c r="L21" i="2"/>
  <c r="E21" i="2"/>
  <c r="E19" i="2"/>
  <c r="K19" i="2"/>
  <c r="J25" i="2"/>
  <c r="C31" i="2" s="1"/>
  <c r="C32" i="2"/>
  <c r="J24" i="2"/>
  <c r="C30" i="2" s="1"/>
  <c r="D24" i="2"/>
  <c r="D25" i="2"/>
  <c r="E18" i="2"/>
  <c r="K18" i="2"/>
  <c r="H7" i="1"/>
  <c r="I8" i="1"/>
  <c r="J8" i="1" s="1"/>
  <c r="I15" i="1"/>
  <c r="J15" i="1" s="1"/>
  <c r="K15" i="1" s="1"/>
  <c r="I12" i="1"/>
  <c r="J12" i="1" s="1"/>
  <c r="J10" i="1"/>
  <c r="K10" i="1" s="1"/>
  <c r="J19" i="1"/>
  <c r="I17" i="1"/>
  <c r="F29" i="2" l="1"/>
  <c r="H29" i="2" s="1"/>
  <c r="L29" i="2" s="1"/>
  <c r="F32" i="2"/>
  <c r="F30" i="2"/>
  <c r="F31" i="2"/>
  <c r="F20" i="2"/>
  <c r="L20" i="2"/>
  <c r="I7" i="1"/>
  <c r="I16" i="1" s="1"/>
  <c r="H9" i="1"/>
  <c r="H11" i="1" s="1"/>
  <c r="H13" i="1" s="1"/>
  <c r="H16" i="1"/>
  <c r="H18" i="1"/>
  <c r="H14" i="1"/>
  <c r="K25" i="2"/>
  <c r="K24" i="2"/>
  <c r="F22" i="2"/>
  <c r="F18" i="2"/>
  <c r="L18" i="2"/>
  <c r="F19" i="2"/>
  <c r="L19" i="2"/>
  <c r="M22" i="2"/>
  <c r="M21" i="2"/>
  <c r="E24" i="2"/>
  <c r="E25" i="2"/>
  <c r="F21" i="2"/>
  <c r="K8" i="1"/>
  <c r="K12" i="1"/>
  <c r="J17" i="1"/>
  <c r="K17" i="1" s="1"/>
  <c r="K19" i="1"/>
  <c r="D29" i="2" l="1"/>
  <c r="H31" i="2"/>
  <c r="L31" i="2" s="1"/>
  <c r="H30" i="2"/>
  <c r="L30" i="2" s="1"/>
  <c r="H32" i="2"/>
  <c r="L32" i="2" s="1"/>
  <c r="G20" i="2"/>
  <c r="M20" i="2"/>
  <c r="I18" i="1"/>
  <c r="I14" i="1"/>
  <c r="I9" i="1"/>
  <c r="I11" i="1" s="1"/>
  <c r="I13" i="1" s="1"/>
  <c r="G21" i="2"/>
  <c r="L24" i="2"/>
  <c r="D30" i="2" s="1"/>
  <c r="D32" i="2"/>
  <c r="L25" i="2"/>
  <c r="D31" i="2" s="1"/>
  <c r="F24" i="2"/>
  <c r="F25" i="2"/>
  <c r="G19" i="2"/>
  <c r="M19" i="2"/>
  <c r="G22" i="2"/>
  <c r="G18" i="2"/>
  <c r="M18" i="2"/>
  <c r="N22" i="2"/>
  <c r="N21" i="2"/>
  <c r="H20" i="1"/>
  <c r="J7" i="1"/>
  <c r="J16" i="1" s="1"/>
  <c r="G29" i="2" l="1"/>
  <c r="I29" i="2" s="1"/>
  <c r="M29" i="2" s="1"/>
  <c r="G32" i="2"/>
  <c r="I32" i="2" s="1"/>
  <c r="M32" i="2" s="1"/>
  <c r="G31" i="2"/>
  <c r="I31" i="2" s="1"/>
  <c r="M31" i="2" s="1"/>
  <c r="G30" i="2"/>
  <c r="I30" i="2" s="1"/>
  <c r="M30" i="2" s="1"/>
  <c r="H22" i="1"/>
  <c r="H20" i="2"/>
  <c r="N20" i="2"/>
  <c r="I20" i="1"/>
  <c r="I22" i="1" s="1"/>
  <c r="K7" i="1"/>
  <c r="K9" i="1" s="1"/>
  <c r="H21" i="2"/>
  <c r="M24" i="2"/>
  <c r="M25" i="2"/>
  <c r="G24" i="2"/>
  <c r="G25" i="2"/>
  <c r="H19" i="2"/>
  <c r="N19" i="2"/>
  <c r="H22" i="2"/>
  <c r="H18" i="2"/>
  <c r="N18" i="2"/>
  <c r="J14" i="1"/>
  <c r="J9" i="1"/>
  <c r="J11" i="1" s="1"/>
  <c r="J13" i="1" s="1"/>
  <c r="J18" i="1"/>
  <c r="E29" i="2" l="1"/>
  <c r="J29" i="2" s="1"/>
  <c r="N29" i="2" s="1"/>
  <c r="K14" i="1"/>
  <c r="K16" i="1"/>
  <c r="K18" i="1"/>
  <c r="E32" i="2"/>
  <c r="J32" i="2" s="1"/>
  <c r="N32" i="2" s="1"/>
  <c r="N25" i="2"/>
  <c r="E31" i="2" s="1"/>
  <c r="J31" i="2" s="1"/>
  <c r="N31" i="2" s="1"/>
  <c r="N24" i="2"/>
  <c r="E30" i="2" s="1"/>
  <c r="J30" i="2" s="1"/>
  <c r="N30" i="2" s="1"/>
  <c r="H25" i="2"/>
  <c r="H24" i="2"/>
  <c r="J20" i="1"/>
  <c r="J22" i="1" s="1"/>
  <c r="K11" i="1"/>
  <c r="K13" i="1" s="1"/>
  <c r="K20" i="1" s="1"/>
  <c r="K22" i="1" l="1"/>
  <c r="C43" i="1" s="1"/>
  <c r="C26" i="1" l="1"/>
  <c r="C29" i="1" s="1"/>
  <c r="K31" i="1" l="1"/>
</calcChain>
</file>

<file path=xl/sharedStrings.xml><?xml version="1.0" encoding="utf-8"?>
<sst xmlns="http://schemas.openxmlformats.org/spreadsheetml/2006/main" count="268" uniqueCount="186">
  <si>
    <t>TTM</t>
  </si>
  <si>
    <t>Discounted Cash Flow</t>
  </si>
  <si>
    <t>Ticker</t>
  </si>
  <si>
    <t>TTE</t>
  </si>
  <si>
    <t>Implied Share Price</t>
  </si>
  <si>
    <t>Upside (Downside)</t>
  </si>
  <si>
    <t>TGR</t>
  </si>
  <si>
    <t>Income Statement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</si>
  <si>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</si>
  <si>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</si>
  <si>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</si>
  <si>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</si>
  <si>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</si>
  <si>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</si>
  <si>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</si>
  <si>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</si>
  <si>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</si>
  <si>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Unlevered FCF</t>
  </si>
  <si>
    <t>Terminal Value</t>
  </si>
  <si>
    <t>Present Value of Terminal Value</t>
  </si>
  <si>
    <t>Enterprise Value</t>
  </si>
  <si>
    <t>Equity Value</t>
  </si>
  <si>
    <t>Shares</t>
  </si>
  <si>
    <t>Share Price</t>
  </si>
  <si>
    <t>Debt</t>
  </si>
  <si>
    <t>% Debt</t>
  </si>
  <si>
    <t>Cost of Debt</t>
  </si>
  <si>
    <t>Tax Rate</t>
  </si>
  <si>
    <t>% Equity</t>
  </si>
  <si>
    <t>Risk Free Rate</t>
  </si>
  <si>
    <t>Beta</t>
  </si>
  <si>
    <t>Market Risk Premium</t>
  </si>
  <si>
    <t>Debt + Equity</t>
  </si>
  <si>
    <t>-</t>
  </si>
  <si>
    <t>EBITDA</t>
  </si>
  <si>
    <t>Operating Income</t>
  </si>
  <si>
    <t>Interest Expense</t>
  </si>
  <si>
    <t>Pretax Income</t>
  </si>
  <si>
    <t>Net Income</t>
  </si>
  <si>
    <t>TotalEnergies</t>
  </si>
  <si>
    <t>TotalEnergies (TTE)</t>
  </si>
  <si>
    <t>Breakdown</t>
  </si>
  <si>
    <t>Total Revenue</t>
  </si>
  <si>
    <t>Cost of Revenue</t>
  </si>
  <si>
    <t>Gross Profit</t>
  </si>
  <si>
    <t>Operating Expense</t>
  </si>
  <si>
    <t>Net Non Operating Interest Income Expense</t>
  </si>
  <si>
    <t>Other Income Expense</t>
  </si>
  <si>
    <t>Tax Provision</t>
  </si>
  <si>
    <t>Net Income Common Stockholders</t>
  </si>
  <si>
    <t>Diluted NI Available to Com Stockholders</t>
  </si>
  <si>
    <t>Basic EPS</t>
  </si>
  <si>
    <t>Diluted EPS</t>
  </si>
  <si>
    <t>Basic Average Shares</t>
  </si>
  <si>
    <t>Diluted Average Shares</t>
  </si>
  <si>
    <t>Total Expenses</t>
  </si>
  <si>
    <t>Interest Income</t>
  </si>
  <si>
    <t>Net Interest Income</t>
  </si>
  <si>
    <t>Net Income from Continuing &amp; Discontinued Operation</t>
  </si>
  <si>
    <t>Normalized Income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</si>
  <si>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</si>
  <si>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</si>
  <si>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</si>
  <si>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</si>
  <si>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</si>
  <si>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</si>
  <si>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</si>
  <si>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</si>
  <si>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Operating Revenue</t>
  </si>
  <si>
    <t>Excise Taxes</t>
  </si>
  <si>
    <t>Depreciation Amortization Depletion</t>
  </si>
  <si>
    <t>Depreciation &amp; amortization</t>
  </si>
  <si>
    <t>Amortization</t>
  </si>
  <si>
    <t>Amortization of Intangibles</t>
  </si>
  <si>
    <t>Other Operating Expenses</t>
  </si>
  <si>
    <t>Interest Income Non Operating</t>
  </si>
  <si>
    <t>Interest Expense Non Operating</t>
  </si>
  <si>
    <t>Total Other Finance Cost</t>
  </si>
  <si>
    <t>Gain on Sale of Security</t>
  </si>
  <si>
    <t>Earnings from Equity Interest</t>
  </si>
  <si>
    <t>Special Income Charges</t>
  </si>
  <si>
    <t>Gain on Sale of PPE</t>
  </si>
  <si>
    <t>Other Non Operating Income Expenses</t>
  </si>
  <si>
    <t>Net Income Including Non-Controlling Interests</t>
  </si>
  <si>
    <t>Net Income Continuous Operations</t>
  </si>
  <si>
    <t>Minority Interests</t>
  </si>
  <si>
    <t xml:space="preserve">   + Cash</t>
  </si>
  <si>
    <t xml:space="preserve">   - Debt</t>
  </si>
  <si>
    <t>EBIAT = EBIT - Taxes</t>
  </si>
  <si>
    <t>Income Statement ($M)</t>
  </si>
  <si>
    <t>Cash Flow</t>
  </si>
  <si>
    <t>Operating Cash Flow</t>
  </si>
  <si>
    <t>Cash Flow from Continuing Operating Activities</t>
  </si>
  <si>
    <t>Net Income from Continuing Operations</t>
  </si>
  <si>
    <t>Operating Gains Losses</t>
  </si>
  <si>
    <t>Earnings Losses from Equity Investments</t>
  </si>
  <si>
    <t>Depreciation</t>
  </si>
  <si>
    <t>Deferred Tax</t>
  </si>
  <si>
    <t>Deferred Income Tax</t>
  </si>
  <si>
    <t>Provision &amp; Write Off of Assets</t>
  </si>
  <si>
    <t>Other non-cash items</t>
  </si>
  <si>
    <t>Change in working capital</t>
  </si>
  <si>
    <t>Change in Receivables</t>
  </si>
  <si>
    <t>Changes in Account Receivables</t>
  </si>
  <si>
    <t>Change in Inventory</t>
  </si>
  <si>
    <t>Change in Payables And Accrued Expense</t>
  </si>
  <si>
    <t>Change in Payable</t>
  </si>
  <si>
    <t>Change in Account Payable</t>
  </si>
  <si>
    <t>Change in Accrued Expense</t>
  </si>
  <si>
    <t>Change in Other Current Assets</t>
  </si>
  <si>
    <t>Change in Other Working Capital</t>
  </si>
  <si>
    <t>Investing Cash Flow</t>
  </si>
  <si>
    <t>Cash Flow from Continuing Investing Activities</t>
  </si>
  <si>
    <t>Capital Expenditure Reported</t>
  </si>
  <si>
    <t>Net Intangibles Purchase And Sale</t>
  </si>
  <si>
    <t>Purchase of Intangibles</t>
  </si>
  <si>
    <t>Sale of Intangibles</t>
  </si>
  <si>
    <t>Net Business Purchase And Sale</t>
  </si>
  <si>
    <t>Purchase of Business</t>
  </si>
  <si>
    <t>Sale of Business</t>
  </si>
  <si>
    <t>Net Investment Purchase And Sale</t>
  </si>
  <si>
    <t>Sale of Investment</t>
  </si>
  <si>
    <t>Net Other Investing Changes</t>
  </si>
  <si>
    <t>Financing Cash Flow</t>
  </si>
  <si>
    <t>Cash Flow from Continuing Financing Activities</t>
  </si>
  <si>
    <t>Net Issuance Payments of Debt</t>
  </si>
  <si>
    <t>Net Long Term Debt Issuance</t>
  </si>
  <si>
    <t>Long Term Debt Issuance</t>
  </si>
  <si>
    <t>Long Term Debt Payments</t>
  </si>
  <si>
    <t>Net Short Term Debt Issuance</t>
  </si>
  <si>
    <t>Net Common Stock Issuance</t>
  </si>
  <si>
    <t>Common Stock Issuance</t>
  </si>
  <si>
    <t>Common Stock Payments</t>
  </si>
  <si>
    <t>Cash Dividends Paid</t>
  </si>
  <si>
    <t>Common Stock Dividend Paid</t>
  </si>
  <si>
    <t>Net Other Financing Charges</t>
  </si>
  <si>
    <t>End Cash Position</t>
  </si>
  <si>
    <t>Changes in Cash</t>
  </si>
  <si>
    <t>Effect of Exchange Rate Changes</t>
  </si>
  <si>
    <t>Beginning Cash Position</t>
  </si>
  <si>
    <t>Income Tax Paid Supplemental Data</t>
  </si>
  <si>
    <t>Interest Paid Supplemental Data</t>
  </si>
  <si>
    <t>Capital Expenditure</t>
  </si>
  <si>
    <t>Issuance of Capital Stock</t>
  </si>
  <si>
    <t>Issuance of Debt</t>
  </si>
  <si>
    <t>Repayment of Debt</t>
  </si>
  <si>
    <t>Repurchase of Capital Stock</t>
  </si>
  <si>
    <t>Free Cash Flow</t>
  </si>
  <si>
    <t>WACC 
(% Equity x Cost of Equity) + (% Debt x Cost of Debt x (1 -Tax rate))</t>
  </si>
  <si>
    <t>Cost of Equity
Risk Free Rate + (Beta x (Expected Market Return - Risk Free Rate))</t>
  </si>
  <si>
    <t>pre-COVID data not relevant</t>
  </si>
  <si>
    <t>%change compared with 2019 ↑</t>
  </si>
  <si>
    <t>Share Price on</t>
  </si>
  <si>
    <t>Discounted Cash Flow Analysis</t>
  </si>
  <si>
    <t>Revenue Growth</t>
  </si>
  <si>
    <t>EBITDA Margin</t>
  </si>
  <si>
    <t>Profit Margin</t>
  </si>
  <si>
    <t>EV / Revenue</t>
  </si>
  <si>
    <t>EV / EBITDA</t>
  </si>
  <si>
    <t>P / E</t>
  </si>
  <si>
    <t>Mean</t>
  </si>
  <si>
    <t>Median</t>
  </si>
  <si>
    <t>2023 Trading Multiple</t>
  </si>
  <si>
    <t>P/E</t>
  </si>
  <si>
    <t>EPS</t>
  </si>
  <si>
    <t>Cash</t>
  </si>
  <si>
    <t>Minimum</t>
  </si>
  <si>
    <t>Maximum</t>
  </si>
  <si>
    <t>ExxonMobil</t>
  </si>
  <si>
    <t>Shell</t>
  </si>
  <si>
    <t>Chevron</t>
  </si>
  <si>
    <t>BP</t>
  </si>
  <si>
    <t>Eni</t>
  </si>
  <si>
    <t>XOM</t>
  </si>
  <si>
    <t>SHEL</t>
  </si>
  <si>
    <t>CVX</t>
  </si>
  <si>
    <t>E</t>
  </si>
  <si>
    <t>S&amp;P500 in 2022</t>
  </si>
  <si>
    <t>Comparative Companies Analysis</t>
  </si>
  <si>
    <t>Market Cap</t>
  </si>
  <si>
    <t>Company</t>
  </si>
  <si>
    <t>nbr of Shares</t>
  </si>
  <si>
    <t>Share Price:</t>
  </si>
  <si>
    <r>
      <t>Revenue</t>
    </r>
    <r>
      <rPr>
        <sz val="8"/>
        <color theme="1"/>
        <rFont val="Calibri (Body)"/>
      </rPr>
      <t xml:space="preserve"> (in million USDs)</t>
    </r>
  </si>
  <si>
    <r>
      <t xml:space="preserve">EBITDA  </t>
    </r>
    <r>
      <rPr>
        <sz val="8"/>
        <color theme="1"/>
        <rFont val="Calibri (Body)"/>
      </rPr>
      <t>(in million USDs)</t>
    </r>
  </si>
  <si>
    <r>
      <t xml:space="preserve">Net Income </t>
    </r>
    <r>
      <rPr>
        <sz val="8"/>
        <color theme="1"/>
        <rFont val="Calibri (Body)"/>
      </rPr>
      <t>(in millions)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</si>
</sst>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&quot;Y&quot;#"/>
    <numFmt numFmtId="166" formatCode="0%;\(0%\)"/>
    <numFmt numFmtId="167" formatCode="0.0\x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2"/>
      <color theme="1"/>
      <name val="Helvetica"/>
      <family val="2"/>
    </font>
    <font>
      <b/>
      <sz val="1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u/>
      <sz val="18"/>
      <color theme="2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 (Body)"/>
    </font>
    <font>
      <i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6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theme="6" tint="-0.2499465926084170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theme="6" tint="-0.2499465926084170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 style="medium">
        <color theme="6" tint="-0.24994659260841701"/>
      </right>
      <top style="medium">
        <color theme="6" tint="-0.24994659260841701"/>
      </top>
      <bottom style="thin">
        <color theme="6" tint="0.39997558519241921"/>
      </bottom>
      <diagonal/>
    </border>
    <border>
      <left/>
      <right/>
      <top style="medium">
        <color theme="6" tint="-0.24994659260841701"/>
      </top>
      <bottom style="thin">
        <color theme="6" tint="0.39997558519241921"/>
      </bottom>
      <diagonal/>
    </border>
    <border>
      <left/>
      <right style="medium">
        <color theme="6" tint="-0.24994659260841701"/>
      </right>
      <top style="medium">
        <color theme="6" tint="-0.24994659260841701"/>
      </top>
      <bottom style="thin">
        <color theme="6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 style="medium">
        <color theme="1"/>
      </right>
      <top/>
      <bottom style="thin">
        <color theme="6" tint="0.39997558519241921"/>
      </bottom>
      <diagonal/>
    </border>
    <border>
      <left/>
      <right style="medium">
        <color theme="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medium">
        <color theme="1"/>
      </bottom>
      <diagonal/>
    </border>
    <border>
      <left/>
      <right style="medium">
        <color theme="1"/>
      </right>
      <top style="thin">
        <color theme="6" tint="0.39997558519241921"/>
      </top>
      <bottom style="medium">
        <color theme="1"/>
      </bottom>
      <diagonal/>
    </border>
    <border>
      <left style="medium">
        <color theme="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 style="medium">
        <color theme="1"/>
      </left>
      <right/>
      <top/>
      <bottom style="thin">
        <color theme="6" tint="0.39997558519241921"/>
      </bottom>
      <diagonal/>
    </border>
    <border>
      <left style="medium">
        <color theme="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theme="1"/>
      </left>
      <right/>
      <top style="thin">
        <color theme="6" tint="0.39997558519241921"/>
      </top>
      <bottom style="medium">
        <color theme="1"/>
      </bottom>
      <diagonal/>
    </border>
    <border>
      <left style="thin">
        <color theme="6" tint="0.3999755851924192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medium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/>
      <diagonal/>
    </border>
    <border>
      <left style="dotted">
        <color theme="1"/>
      </left>
      <right style="medium">
        <color theme="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dotted">
        <color theme="1"/>
      </left>
      <right style="medium">
        <color theme="1"/>
      </right>
      <top/>
      <bottom style="thin">
        <color theme="6" tint="0.39997558519241921"/>
      </bottom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 style="thin">
        <color theme="6" tint="0.39997558519241921"/>
      </bottom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 style="medium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 style="dotted">
        <color theme="6" tint="-0.24994659260841701"/>
      </right>
      <top/>
      <bottom style="dotted">
        <color theme="6" tint="-0.24994659260841701"/>
      </bottom>
      <diagonal/>
    </border>
    <border>
      <left style="dotted">
        <color theme="6" tint="-0.24994659260841701"/>
      </left>
      <right style="dotted">
        <color theme="6" tint="-0.24994659260841701"/>
      </right>
      <top/>
      <bottom style="dotted">
        <color theme="6" tint="-0.24994659260841701"/>
      </bottom>
      <diagonal/>
    </border>
    <border>
      <left style="dotted">
        <color theme="6" tint="-0.24994659260841701"/>
      </left>
      <right/>
      <top/>
      <bottom style="dotted">
        <color theme="6" tint="-0.24994659260841701"/>
      </bottom>
      <diagonal/>
    </border>
    <border>
      <left/>
      <right style="dotted">
        <color theme="6" tint="-0.24994659260841701"/>
      </right>
      <top style="dotted">
        <color theme="6" tint="-0.24994659260841701"/>
      </top>
      <bottom/>
      <diagonal/>
    </border>
    <border>
      <left style="dotted">
        <color theme="6" tint="-0.24994659260841701"/>
      </left>
      <right style="dotted">
        <color theme="6" tint="-0.24994659260841701"/>
      </right>
      <top style="dotted">
        <color theme="6" tint="-0.24994659260841701"/>
      </top>
      <bottom/>
      <diagonal/>
    </border>
    <border>
      <left style="dotted">
        <color theme="6" tint="-0.24994659260841701"/>
      </left>
      <right/>
      <top style="dotted">
        <color theme="6" tint="-0.24994659260841701"/>
      </top>
      <bottom/>
      <diagonal/>
    </border>
    <border>
      <left style="medium">
        <color indexed="64"/>
      </left>
      <right/>
      <top/>
      <bottom style="thin">
        <color theme="6" tint="0.39997558519241921"/>
      </bottom>
      <diagonal/>
    </border>
    <border>
      <left/>
      <right style="medium">
        <color indexed="64"/>
      </right>
      <top/>
      <bottom style="thin">
        <color theme="6" tint="0.39997558519241921"/>
      </bottom>
      <diagonal/>
    </border>
    <border>
      <left/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 style="medium">
        <color theme="6" tint="-0.24994659260841701"/>
      </top>
      <bottom style="thin">
        <color theme="6" tint="0.39997558519241921"/>
      </bottom>
      <diagonal/>
    </border>
    <border>
      <left/>
      <right/>
      <top style="medium">
        <color theme="6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theme="6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/>
      <top style="medium">
        <color theme="6" tint="-0.24994659260841701"/>
      </top>
      <bottom style="thin">
        <color theme="6" tint="0.39997558519241921"/>
      </bottom>
      <diagonal/>
    </border>
    <border>
      <left style="medium">
        <color indexed="64"/>
      </left>
      <right/>
      <top style="medium">
        <color theme="6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theme="6" tint="-0.24994659260841701"/>
      </bottom>
      <diagonal/>
    </border>
    <border>
      <left/>
      <right/>
      <top/>
      <bottom style="medium">
        <color theme="6" tint="-0.24994659260841701"/>
      </bottom>
      <diagonal/>
    </border>
    <border>
      <left/>
      <right style="medium">
        <color indexed="64"/>
      </right>
      <top/>
      <bottom style="medium">
        <color theme="6" tint="-0.24994659260841701"/>
      </bottom>
      <diagonal/>
    </border>
    <border>
      <left style="medium">
        <color indexed="64"/>
      </left>
      <right/>
      <top style="medium">
        <color theme="6" tint="-0.24994659260841701"/>
      </top>
      <bottom/>
      <diagonal/>
    </border>
    <border>
      <left/>
      <right/>
      <top style="medium">
        <color theme="6" tint="-0.24994659260841701"/>
      </top>
      <bottom/>
      <diagonal/>
    </border>
    <border>
      <left/>
      <right style="medium">
        <color indexed="64"/>
      </right>
      <top style="medium">
        <color theme="6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5" fillId="0" borderId="0"/>
  </cellStyleXfs>
  <cellXfs count="168">
    <xf numFmtId="0" fontId="0" fillId="0" borderId="0" xfId="0"/>
    <xf numFmtId="10" fontId="0" fillId="4" borderId="5" xfId="0" applyNumberFormat="1" applyFill="1" applyBorder="1"/>
    <xf numFmtId="0" fontId="0" fillId="4" borderId="7" xfId="0" applyFill="1" applyBorder="1"/>
    <xf numFmtId="10" fontId="0" fillId="4" borderId="8" xfId="0" applyNumberFormat="1" applyFill="1" applyBorder="1"/>
    <xf numFmtId="1" fontId="3" fillId="5" borderId="9" xfId="0" applyNumberFormat="1" applyFont="1" applyFill="1" applyBorder="1"/>
    <xf numFmtId="0" fontId="0" fillId="2" borderId="10" xfId="0" applyFill="1" applyBorder="1"/>
    <xf numFmtId="0" fontId="6" fillId="0" borderId="0" xfId="0" applyFont="1"/>
    <xf numFmtId="0" fontId="7" fillId="0" borderId="0" xfId="0" applyFont="1"/>
    <xf numFmtId="0" fontId="1" fillId="0" borderId="0" xfId="1"/>
    <xf numFmtId="3" fontId="0" fillId="2" borderId="11" xfId="0" applyNumberFormat="1" applyFill="1" applyBorder="1"/>
    <xf numFmtId="3" fontId="0" fillId="2" borderId="12" xfId="0" applyNumberFormat="1" applyFill="1" applyBorder="1"/>
    <xf numFmtId="3" fontId="0" fillId="4" borderId="5" xfId="0" applyNumberFormat="1" applyFill="1" applyBorder="1"/>
    <xf numFmtId="3" fontId="0" fillId="4" borderId="8" xfId="0" applyNumberFormat="1" applyFill="1" applyBorder="1"/>
    <xf numFmtId="3" fontId="0" fillId="4" borderId="6" xfId="0" applyNumberFormat="1" applyFill="1" applyBorder="1"/>
    <xf numFmtId="0" fontId="0" fillId="0" borderId="16" xfId="0" applyBorder="1"/>
    <xf numFmtId="1" fontId="0" fillId="0" borderId="17" xfId="0" applyNumberFormat="1" applyBorder="1"/>
    <xf numFmtId="0" fontId="0" fillId="0" borderId="18" xfId="0" applyBorder="1"/>
    <xf numFmtId="1" fontId="0" fillId="0" borderId="19" xfId="0" applyNumberFormat="1" applyBorder="1"/>
    <xf numFmtId="0" fontId="0" fillId="3" borderId="20" xfId="0" applyFill="1" applyBorder="1"/>
    <xf numFmtId="164" fontId="0" fillId="3" borderId="21" xfId="0" applyNumberFormat="1" applyFill="1" applyBorder="1"/>
    <xf numFmtId="0" fontId="8" fillId="0" borderId="0" xfId="0" applyFont="1"/>
    <xf numFmtId="10" fontId="0" fillId="0" borderId="19" xfId="0" applyNumberFormat="1" applyBorder="1"/>
    <xf numFmtId="0" fontId="0" fillId="0" borderId="19" xfId="0" applyBorder="1"/>
    <xf numFmtId="4" fontId="0" fillId="0" borderId="19" xfId="0" applyNumberFormat="1" applyBorder="1"/>
    <xf numFmtId="3" fontId="0" fillId="0" borderId="19" xfId="0" applyNumberFormat="1" applyBorder="1"/>
    <xf numFmtId="0" fontId="0" fillId="3" borderId="18" xfId="0" applyFill="1" applyBorder="1" applyAlignment="1">
      <alignment wrapText="1"/>
    </xf>
    <xf numFmtId="0" fontId="0" fillId="0" borderId="18" xfId="0" applyBorder="1" applyAlignment="1">
      <alignment wrapText="1"/>
    </xf>
    <xf numFmtId="0" fontId="0" fillId="3" borderId="1" xfId="0" applyFill="1" applyBorder="1"/>
    <xf numFmtId="164" fontId="0" fillId="3" borderId="23" xfId="0" applyNumberFormat="1" applyFill="1" applyBorder="1"/>
    <xf numFmtId="10" fontId="0" fillId="3" borderId="21" xfId="0" applyNumberFormat="1" applyFill="1" applyBorder="1"/>
    <xf numFmtId="10" fontId="0" fillId="3" borderId="19" xfId="0" applyNumberFormat="1" applyFill="1" applyBorder="1"/>
    <xf numFmtId="10" fontId="10" fillId="4" borderId="5" xfId="0" applyNumberFormat="1" applyFont="1" applyFill="1" applyBorder="1" applyAlignment="1">
      <alignment horizontal="right"/>
    </xf>
    <xf numFmtId="14" fontId="0" fillId="3" borderId="22" xfId="0" applyNumberFormat="1" applyFill="1" applyBorder="1"/>
    <xf numFmtId="0" fontId="0" fillId="2" borderId="0" xfId="0" applyFill="1"/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65" fontId="4" fillId="2" borderId="0" xfId="0" applyNumberFormat="1" applyFont="1" applyFill="1"/>
    <xf numFmtId="0" fontId="0" fillId="2" borderId="1" xfId="0" applyFill="1" applyBorder="1"/>
    <xf numFmtId="0" fontId="0" fillId="2" borderId="2" xfId="0" applyFill="1" applyBorder="1"/>
    <xf numFmtId="10" fontId="0" fillId="2" borderId="3" xfId="0" applyNumberFormat="1" applyFill="1" applyBorder="1"/>
    <xf numFmtId="0" fontId="10" fillId="2" borderId="0" xfId="0" applyFont="1" applyFill="1" applyAlignment="1">
      <alignment horizontal="right"/>
    </xf>
    <xf numFmtId="10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1" applyFill="1"/>
    <xf numFmtId="10" fontId="1" fillId="2" borderId="0" xfId="1" applyNumberFormat="1" applyFill="1"/>
    <xf numFmtId="10" fontId="0" fillId="2" borderId="0" xfId="0" applyNumberFormat="1" applyFill="1" applyAlignment="1">
      <alignment horizontal="center"/>
    </xf>
    <xf numFmtId="0" fontId="0" fillId="0" borderId="26" xfId="0" quotePrefix="1" applyBorder="1" applyAlignment="1">
      <alignment horizontal="center" vertical="center"/>
    </xf>
    <xf numFmtId="0" fontId="0" fillId="0" borderId="31" xfId="0" quotePrefix="1" applyBorder="1" applyAlignment="1">
      <alignment horizontal="center" vertical="center"/>
    </xf>
    <xf numFmtId="1" fontId="12" fillId="5" borderId="36" xfId="0" applyNumberFormat="1" applyFont="1" applyFill="1" applyBorder="1" applyAlignment="1">
      <alignment horizontal="right" vertical="center"/>
    </xf>
    <xf numFmtId="1" fontId="12" fillId="5" borderId="51" xfId="0" applyNumberFormat="1" applyFont="1" applyFill="1" applyBorder="1" applyAlignment="1">
      <alignment horizontal="left" vertical="center"/>
    </xf>
    <xf numFmtId="1" fontId="12" fillId="5" borderId="37" xfId="0" applyNumberFormat="1" applyFont="1" applyFill="1" applyBorder="1" applyAlignment="1">
      <alignment horizontal="center" vertical="center"/>
    </xf>
    <xf numFmtId="1" fontId="12" fillId="5" borderId="36" xfId="0" applyNumberFormat="1" applyFont="1" applyFill="1" applyBorder="1" applyAlignment="1">
      <alignment horizontal="center" vertical="center"/>
    </xf>
    <xf numFmtId="1" fontId="12" fillId="5" borderId="38" xfId="0" applyNumberFormat="1" applyFont="1" applyFill="1" applyBorder="1" applyAlignment="1">
      <alignment horizontal="center" vertical="center"/>
    </xf>
    <xf numFmtId="3" fontId="0" fillId="2" borderId="52" xfId="0" applyNumberFormat="1" applyFill="1" applyBorder="1" applyAlignment="1">
      <alignment vertical="center"/>
    </xf>
    <xf numFmtId="164" fontId="0" fillId="2" borderId="34" xfId="0" applyNumberFormat="1" applyFill="1" applyBorder="1" applyAlignment="1">
      <alignment horizontal="center" vertical="center"/>
    </xf>
    <xf numFmtId="3" fontId="0" fillId="2" borderId="48" xfId="0" applyNumberFormat="1" applyFill="1" applyBorder="1" applyAlignment="1">
      <alignment horizontal="center" vertical="center"/>
    </xf>
    <xf numFmtId="3" fontId="0" fillId="2" borderId="34" xfId="0" applyNumberFormat="1" applyFill="1" applyBorder="1" applyAlignment="1">
      <alignment horizontal="center" vertical="center"/>
    </xf>
    <xf numFmtId="3" fontId="0" fillId="2" borderId="44" xfId="0" applyNumberFormat="1" applyFill="1" applyBorder="1" applyAlignment="1">
      <alignment horizontal="center" vertical="center"/>
    </xf>
    <xf numFmtId="3" fontId="0" fillId="2" borderId="39" xfId="0" applyNumberFormat="1" applyFill="1" applyBorder="1" applyAlignment="1">
      <alignment horizontal="center" vertical="center"/>
    </xf>
    <xf numFmtId="10" fontId="0" fillId="4" borderId="53" xfId="0" applyNumberFormat="1" applyFill="1" applyBorder="1" applyAlignment="1">
      <alignment vertical="center"/>
    </xf>
    <xf numFmtId="164" fontId="0" fillId="4" borderId="33" xfId="0" applyNumberFormat="1" applyFill="1" applyBorder="1" applyAlignment="1">
      <alignment horizontal="center" vertical="center"/>
    </xf>
    <xf numFmtId="3" fontId="0" fillId="4" borderId="49" xfId="0" applyNumberFormat="1" applyFill="1" applyBorder="1" applyAlignment="1">
      <alignment horizontal="center" vertical="center"/>
    </xf>
    <xf numFmtId="3" fontId="0" fillId="4" borderId="33" xfId="0" applyNumberFormat="1" applyFill="1" applyBorder="1" applyAlignment="1">
      <alignment horizontal="center" vertical="center"/>
    </xf>
    <xf numFmtId="3" fontId="0" fillId="4" borderId="45" xfId="0" applyNumberFormat="1" applyFill="1" applyBorder="1" applyAlignment="1">
      <alignment horizontal="center" vertical="center"/>
    </xf>
    <xf numFmtId="3" fontId="0" fillId="4" borderId="40" xfId="0" applyNumberFormat="1" applyFill="1" applyBorder="1" applyAlignment="1">
      <alignment horizontal="center" vertical="center"/>
    </xf>
    <xf numFmtId="10" fontId="0" fillId="4" borderId="54" xfId="0" applyNumberFormat="1" applyFill="1" applyBorder="1" applyAlignment="1">
      <alignment vertical="center"/>
    </xf>
    <xf numFmtId="164" fontId="0" fillId="4" borderId="5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0" fillId="4" borderId="46" xfId="0" applyNumberFormat="1" applyFill="1" applyBorder="1" applyAlignment="1">
      <alignment horizontal="center" vertical="center"/>
    </xf>
    <xf numFmtId="3" fontId="0" fillId="4" borderId="41" xfId="0" applyNumberFormat="1" applyFill="1" applyBorder="1" applyAlignment="1">
      <alignment horizontal="center" vertical="center"/>
    </xf>
    <xf numFmtId="10" fontId="0" fillId="4" borderId="55" xfId="0" applyNumberFormat="1" applyFill="1" applyBorder="1" applyAlignment="1">
      <alignment vertical="center"/>
    </xf>
    <xf numFmtId="164" fontId="0" fillId="4" borderId="42" xfId="0" applyNumberFormat="1" applyFill="1" applyBorder="1" applyAlignment="1">
      <alignment horizontal="center" vertical="center"/>
    </xf>
    <xf numFmtId="3" fontId="0" fillId="4" borderId="50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47" xfId="0" applyNumberFormat="1" applyFill="1" applyBorder="1" applyAlignment="1">
      <alignment horizontal="center" vertical="center"/>
    </xf>
    <xf numFmtId="3" fontId="0" fillId="4" borderId="43" xfId="0" applyNumberFormat="1" applyFill="1" applyBorder="1" applyAlignment="1">
      <alignment horizontal="center" vertical="center"/>
    </xf>
    <xf numFmtId="166" fontId="0" fillId="0" borderId="13" xfId="2" applyNumberFormat="1" applyFont="1" applyFill="1" applyBorder="1" applyAlignment="1">
      <alignment horizontal="center" vertical="center"/>
    </xf>
    <xf numFmtId="166" fontId="0" fillId="0" borderId="32" xfId="2" applyNumberFormat="1" applyFont="1" applyFill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7" fontId="0" fillId="0" borderId="32" xfId="0" applyNumberFormat="1" applyBorder="1" applyAlignment="1">
      <alignment horizontal="center" vertical="center"/>
    </xf>
    <xf numFmtId="166" fontId="0" fillId="0" borderId="26" xfId="2" applyNumberFormat="1" applyFont="1" applyFill="1" applyBorder="1" applyAlignment="1">
      <alignment horizontal="center" vertical="center"/>
    </xf>
    <xf numFmtId="166" fontId="0" fillId="0" borderId="31" xfId="2" applyNumberFormat="1" applyFont="1" applyFill="1" applyBorder="1" applyAlignment="1">
      <alignment horizontal="center" vertical="center"/>
    </xf>
    <xf numFmtId="167" fontId="0" fillId="0" borderId="26" xfId="0" applyNumberFormat="1" applyBorder="1" applyAlignment="1">
      <alignment horizontal="center" vertical="center"/>
    </xf>
    <xf numFmtId="167" fontId="0" fillId="0" borderId="31" xfId="0" applyNumberFormat="1" applyBorder="1" applyAlignment="1">
      <alignment horizontal="center" vertical="center"/>
    </xf>
    <xf numFmtId="166" fontId="0" fillId="0" borderId="28" xfId="2" applyNumberFormat="1" applyFont="1" applyFill="1" applyBorder="1" applyAlignment="1">
      <alignment horizontal="center" vertical="center"/>
    </xf>
    <xf numFmtId="166" fontId="0" fillId="0" borderId="30" xfId="2" applyNumberFormat="1" applyFont="1" applyFill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167" fontId="0" fillId="0" borderId="30" xfId="0" applyNumberFormat="1" applyBorder="1" applyAlignment="1">
      <alignment horizontal="center" vertical="center"/>
    </xf>
    <xf numFmtId="166" fontId="0" fillId="2" borderId="0" xfId="2" applyNumberFormat="1" applyFont="1" applyFill="1" applyBorder="1" applyAlignment="1">
      <alignment horizontal="center" vertical="center"/>
    </xf>
    <xf numFmtId="166" fontId="0" fillId="2" borderId="35" xfId="2" applyNumberFormat="1" applyFont="1" applyFill="1" applyBorder="1" applyAlignment="1">
      <alignment horizontal="center" vertical="center"/>
    </xf>
    <xf numFmtId="167" fontId="0" fillId="2" borderId="35" xfId="0" applyNumberFormat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right" vertical="center" indent="1"/>
    </xf>
    <xf numFmtId="0" fontId="0" fillId="4" borderId="45" xfId="0" applyFill="1" applyBorder="1" applyAlignment="1">
      <alignment horizontal="right" vertical="center" indent="1"/>
    </xf>
    <xf numFmtId="0" fontId="0" fillId="4" borderId="46" xfId="0" applyFill="1" applyBorder="1" applyAlignment="1">
      <alignment horizontal="right" vertical="center" indent="1"/>
    </xf>
    <xf numFmtId="0" fontId="0" fillId="4" borderId="47" xfId="0" applyFill="1" applyBorder="1" applyAlignment="1">
      <alignment horizontal="right" vertical="center" indent="1"/>
    </xf>
    <xf numFmtId="0" fontId="0" fillId="0" borderId="56" xfId="0" applyBorder="1" applyAlignment="1">
      <alignment vertical="center"/>
    </xf>
    <xf numFmtId="166" fontId="0" fillId="0" borderId="57" xfId="0" applyNumberFormat="1" applyBorder="1" applyAlignment="1">
      <alignment horizontal="center" vertical="center"/>
    </xf>
    <xf numFmtId="167" fontId="0" fillId="0" borderId="57" xfId="0" applyNumberFormat="1" applyBorder="1" applyAlignment="1">
      <alignment horizontal="center" vertical="center"/>
    </xf>
    <xf numFmtId="167" fontId="0" fillId="0" borderId="58" xfId="0" applyNumberFormat="1" applyBorder="1" applyAlignment="1">
      <alignment horizontal="center" vertical="center"/>
    </xf>
    <xf numFmtId="0" fontId="0" fillId="0" borderId="59" xfId="0" applyBorder="1" applyAlignment="1">
      <alignment vertical="center"/>
    </xf>
    <xf numFmtId="166" fontId="0" fillId="0" borderId="60" xfId="0" applyNumberFormat="1" applyBorder="1" applyAlignment="1">
      <alignment horizontal="center" vertical="center"/>
    </xf>
    <xf numFmtId="167" fontId="0" fillId="0" borderId="60" xfId="0" applyNumberFormat="1" applyBorder="1" applyAlignment="1">
      <alignment horizontal="center" vertical="center"/>
    </xf>
    <xf numFmtId="167" fontId="0" fillId="0" borderId="61" xfId="0" applyNumberFormat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0" fontId="14" fillId="2" borderId="62" xfId="0" applyFont="1" applyFill="1" applyBorder="1" applyAlignment="1">
      <alignment horizontal="center" vertical="center"/>
    </xf>
    <xf numFmtId="3" fontId="14" fillId="2" borderId="63" xfId="0" applyNumberFormat="1" applyFont="1" applyFill="1" applyBorder="1" applyAlignment="1">
      <alignment horizontal="center" vertical="center"/>
    </xf>
    <xf numFmtId="3" fontId="14" fillId="2" borderId="64" xfId="0" applyNumberFormat="1" applyFont="1" applyFill="1" applyBorder="1" applyAlignment="1">
      <alignment horizontal="center" vertical="center"/>
    </xf>
    <xf numFmtId="4" fontId="14" fillId="6" borderId="65" xfId="0" applyNumberFormat="1" applyFont="1" applyFill="1" applyBorder="1" applyAlignment="1">
      <alignment horizontal="center" vertical="center"/>
    </xf>
    <xf numFmtId="3" fontId="14" fillId="6" borderId="66" xfId="0" applyNumberFormat="1" applyFont="1" applyFill="1" applyBorder="1" applyAlignment="1">
      <alignment horizontal="center" vertical="center"/>
    </xf>
    <xf numFmtId="3" fontId="14" fillId="6" borderId="67" xfId="0" applyNumberFormat="1" applyFont="1" applyFill="1" applyBorder="1" applyAlignment="1">
      <alignment horizontal="center" vertical="center"/>
    </xf>
    <xf numFmtId="14" fontId="0" fillId="2" borderId="22" xfId="0" applyNumberFormat="1" applyFill="1" applyBorder="1" applyAlignment="1">
      <alignment horizontal="right" vertical="center"/>
    </xf>
    <xf numFmtId="14" fontId="0" fillId="2" borderId="3" xfId="0" applyNumberFormat="1" applyFill="1" applyBorder="1" applyAlignment="1">
      <alignment horizontal="center" vertical="center"/>
    </xf>
    <xf numFmtId="3" fontId="0" fillId="4" borderId="74" xfId="0" applyNumberFormat="1" applyFill="1" applyBorder="1" applyAlignment="1">
      <alignment horizontal="center" vertical="center"/>
    </xf>
    <xf numFmtId="3" fontId="0" fillId="4" borderId="70" xfId="0" applyNumberFormat="1" applyFill="1" applyBorder="1" applyAlignment="1">
      <alignment horizontal="center" vertical="center"/>
    </xf>
    <xf numFmtId="3" fontId="0" fillId="2" borderId="75" xfId="0" applyNumberFormat="1" applyFill="1" applyBorder="1" applyAlignment="1">
      <alignment horizontal="center" vertical="center"/>
    </xf>
    <xf numFmtId="3" fontId="0" fillId="2" borderId="71" xfId="0" applyNumberFormat="1" applyFill="1" applyBorder="1" applyAlignment="1">
      <alignment horizontal="center" vertical="center"/>
    </xf>
    <xf numFmtId="3" fontId="0" fillId="2" borderId="76" xfId="0" applyNumberFormat="1" applyFill="1" applyBorder="1" applyAlignment="1">
      <alignment horizontal="center" vertical="center"/>
    </xf>
    <xf numFmtId="3" fontId="0" fillId="2" borderId="73" xfId="0" applyNumberFormat="1" applyFill="1" applyBorder="1" applyAlignment="1">
      <alignment horizontal="center" vertical="center"/>
    </xf>
    <xf numFmtId="3" fontId="0" fillId="2" borderId="72" xfId="0" applyNumberFormat="1" applyFill="1" applyBorder="1" applyAlignment="1">
      <alignment horizontal="center" vertical="center"/>
    </xf>
    <xf numFmtId="1" fontId="3" fillId="8" borderId="0" xfId="0" applyNumberFormat="1" applyFont="1" applyFill="1" applyAlignment="1">
      <alignment vertical="center"/>
    </xf>
    <xf numFmtId="167" fontId="0" fillId="7" borderId="26" xfId="0" applyNumberFormat="1" applyFill="1" applyBorder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167" fontId="0" fillId="7" borderId="27" xfId="0" applyNumberFormat="1" applyFill="1" applyBorder="1" applyAlignment="1">
      <alignment horizontal="center" vertical="center"/>
    </xf>
    <xf numFmtId="167" fontId="0" fillId="2" borderId="28" xfId="0" applyNumberFormat="1" applyFill="1" applyBorder="1" applyAlignment="1">
      <alignment horizontal="center" vertical="center"/>
    </xf>
    <xf numFmtId="167" fontId="0" fillId="2" borderId="77" xfId="0" applyNumberFormat="1" applyFill="1" applyBorder="1" applyAlignment="1">
      <alignment horizontal="center" vertical="center"/>
    </xf>
    <xf numFmtId="167" fontId="0" fillId="2" borderId="29" xfId="0" applyNumberFormat="1" applyFill="1" applyBorder="1" applyAlignment="1">
      <alignment horizontal="center" vertical="center"/>
    </xf>
    <xf numFmtId="167" fontId="0" fillId="2" borderId="81" xfId="0" applyNumberFormat="1" applyFill="1" applyBorder="1" applyAlignment="1">
      <alignment horizontal="center" vertical="center"/>
    </xf>
    <xf numFmtId="167" fontId="0" fillId="2" borderId="82" xfId="0" applyNumberFormat="1" applyFill="1" applyBorder="1" applyAlignment="1">
      <alignment horizontal="center" vertical="center"/>
    </xf>
    <xf numFmtId="167" fontId="0" fillId="2" borderId="83" xfId="0" applyNumberFormat="1" applyFill="1" applyBorder="1" applyAlignment="1">
      <alignment horizontal="center" vertical="center"/>
    </xf>
    <xf numFmtId="167" fontId="0" fillId="7" borderId="78" xfId="0" applyNumberFormat="1" applyFill="1" applyBorder="1" applyAlignment="1">
      <alignment horizontal="center" vertical="center"/>
    </xf>
    <xf numFmtId="167" fontId="0" fillId="7" borderId="79" xfId="0" applyNumberFormat="1" applyFill="1" applyBorder="1" applyAlignment="1">
      <alignment horizontal="center" vertical="center"/>
    </xf>
    <xf numFmtId="167" fontId="0" fillId="7" borderId="80" xfId="0" applyNumberFormat="1" applyFill="1" applyBorder="1" applyAlignment="1">
      <alignment horizontal="center" vertical="center"/>
    </xf>
    <xf numFmtId="3" fontId="0" fillId="2" borderId="26" xfId="0" applyNumberFormat="1" applyFill="1" applyBorder="1" applyAlignment="1">
      <alignment vertical="center"/>
    </xf>
    <xf numFmtId="1" fontId="3" fillId="8" borderId="26" xfId="0" applyNumberFormat="1" applyFont="1" applyFill="1" applyBorder="1" applyAlignment="1">
      <alignment horizontal="center" vertical="center"/>
    </xf>
    <xf numFmtId="3" fontId="0" fillId="6" borderId="26" xfId="0" applyNumberFormat="1" applyFill="1" applyBorder="1" applyAlignment="1">
      <alignment vertical="center"/>
    </xf>
    <xf numFmtId="164" fontId="0" fillId="2" borderId="11" xfId="0" applyNumberFormat="1" applyFill="1" applyBorder="1" applyAlignment="1">
      <alignment horizontal="center" vertical="center"/>
    </xf>
    <xf numFmtId="3" fontId="0" fillId="2" borderId="84" xfId="0" applyNumberFormat="1" applyFill="1" applyBorder="1" applyAlignment="1">
      <alignment horizontal="center" vertical="center"/>
    </xf>
    <xf numFmtId="3" fontId="0" fillId="2" borderId="85" xfId="0" applyNumberFormat="1" applyFill="1" applyBorder="1" applyAlignment="1">
      <alignment horizontal="center" vertical="center"/>
    </xf>
    <xf numFmtId="0" fontId="0" fillId="2" borderId="86" xfId="0" applyFill="1" applyBorder="1" applyAlignment="1">
      <alignment horizontal="center" vertical="center"/>
    </xf>
    <xf numFmtId="3" fontId="0" fillId="4" borderId="68" xfId="0" applyNumberFormat="1" applyFill="1" applyBorder="1" applyAlignment="1">
      <alignment horizontal="center" vertical="center"/>
    </xf>
    <xf numFmtId="3" fontId="0" fillId="4" borderId="69" xfId="0" applyNumberFormat="1" applyFill="1" applyBorder="1" applyAlignment="1">
      <alignment horizontal="center" vertical="center"/>
    </xf>
    <xf numFmtId="3" fontId="0" fillId="2" borderId="86" xfId="0" applyNumberFormat="1" applyFill="1" applyBorder="1" applyAlignment="1">
      <alignment horizontal="center" vertical="center"/>
    </xf>
    <xf numFmtId="0" fontId="0" fillId="4" borderId="69" xfId="0" applyFill="1" applyBorder="1" applyAlignment="1">
      <alignment vertical="center"/>
    </xf>
    <xf numFmtId="0" fontId="0" fillId="2" borderId="71" xfId="0" applyFill="1" applyBorder="1" applyAlignment="1">
      <alignment vertical="center"/>
    </xf>
    <xf numFmtId="0" fontId="0" fillId="4" borderId="70" xfId="0" applyFill="1" applyBorder="1" applyAlignment="1">
      <alignment vertical="center"/>
    </xf>
    <xf numFmtId="0" fontId="0" fillId="2" borderId="83" xfId="0" applyFill="1" applyBorder="1" applyAlignment="1">
      <alignment vertical="center"/>
    </xf>
    <xf numFmtId="164" fontId="0" fillId="4" borderId="74" xfId="0" applyNumberFormat="1" applyFill="1" applyBorder="1" applyAlignment="1">
      <alignment horizontal="center" vertical="center"/>
    </xf>
    <xf numFmtId="164" fontId="0" fillId="4" borderId="70" xfId="0" applyNumberFormat="1" applyFill="1" applyBorder="1" applyAlignment="1">
      <alignment horizontal="center" vertical="center"/>
    </xf>
    <xf numFmtId="164" fontId="0" fillId="2" borderId="71" xfId="0" applyNumberFormat="1" applyFill="1" applyBorder="1" applyAlignment="1">
      <alignment horizontal="center" vertical="center"/>
    </xf>
    <xf numFmtId="164" fontId="0" fillId="2" borderId="76" xfId="0" applyNumberFormat="1" applyFill="1" applyBorder="1" applyAlignment="1">
      <alignment horizontal="center" vertical="center"/>
    </xf>
    <xf numFmtId="164" fontId="0" fillId="2" borderId="72" xfId="0" applyNumberFormat="1" applyFill="1" applyBorder="1" applyAlignment="1">
      <alignment horizontal="center" vertical="center"/>
    </xf>
    <xf numFmtId="164" fontId="0" fillId="2" borderId="73" xfId="0" applyNumberFormat="1" applyFill="1" applyBorder="1" applyAlignment="1">
      <alignment horizontal="center" vertical="center"/>
    </xf>
    <xf numFmtId="164" fontId="0" fillId="4" borderId="68" xfId="0" applyNumberFormat="1" applyFill="1" applyBorder="1" applyAlignment="1">
      <alignment horizontal="center" vertical="center"/>
    </xf>
    <xf numFmtId="164" fontId="0" fillId="4" borderId="69" xfId="0" applyNumberFormat="1" applyFill="1" applyBorder="1" applyAlignment="1">
      <alignment horizontal="center" vertical="center"/>
    </xf>
    <xf numFmtId="164" fontId="0" fillId="3" borderId="75" xfId="0" applyNumberForma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" fontId="3" fillId="5" borderId="13" xfId="0" applyNumberFormat="1" applyFont="1" applyFill="1" applyBorder="1" applyAlignment="1">
      <alignment horizontal="center" vertical="center"/>
    </xf>
    <xf numFmtId="1" fontId="3" fillId="5" borderId="15" xfId="0" applyNumberFormat="1" applyFont="1" applyFill="1" applyBorder="1" applyAlignment="1">
      <alignment horizontal="center" vertical="center"/>
    </xf>
    <xf numFmtId="1" fontId="3" fillId="5" borderId="14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35EF5890-8843-2249-B2E9-07876A0801C3}"/>
    <cellStyle name="Per 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113392</xdr:colOff>
      <xdr:row>1</xdr:row>
      <xdr:rowOff>68035</xdr:rowOff>
    </xdr:from>
    <xdr:to>
      <xdr:col>35</xdr:col>
      <xdr:colOff>501649</xdr:colOff>
      <xdr:row>31</xdr:row>
      <xdr:rowOff>13628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9D1A8E-E3C0-FA12-4B24-50A7CE17B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0535" y="249464"/>
          <a:ext cx="7736114" cy="5502750"/>
        </a:xfrm>
        <a:prstGeom prst="rect">
          <a:avLst/>
        </a:prstGeom>
      </xdr:spPr>
    </xdr:pic>
    <xdr:clientData/>
  </xdr:twoCellAnchor>
  <xdr:twoCellAnchor editAs="oneCell">
    <xdr:from>
      <xdr:col>9</xdr:col>
      <xdr:colOff>444500</xdr:colOff>
      <xdr:row>1</xdr:row>
      <xdr:rowOff>50800</xdr:rowOff>
    </xdr:from>
    <xdr:to>
      <xdr:col>10</xdr:col>
      <xdr:colOff>292100</xdr:colOff>
      <xdr:row>2</xdr:row>
      <xdr:rowOff>115049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99E2CC-DD65-DB97-96C2-536106288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1100" y="241300"/>
          <a:ext cx="762000" cy="3690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444500</xdr:colOff>
      <xdr:row>1</xdr:row>
      <xdr:rowOff>50800</xdr:rowOff>
    </xdr:from>
    <xdr:to>
      <xdr:col>10</xdr:col>
      <xdr:colOff>382935</xdr:colOff>
      <xdr:row>2</xdr:row>
      <xdr:rowOff>112686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94241-3063-1C48-AD26-8B135E582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1100" y="241300"/>
          <a:ext cx="762000" cy="369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view="pageBreakPreview" topLeftCell="A13" zoomScaleNormal="69" zoomScaleSheetLayoutView="100" workbookViewId="0">
      <selection activeCell="C28" sqref="C28"/>
    </sheetView>
  </sheetViews>
  <sheetFormatPr baseColWidth="10" defaultColWidth="10.83203125" defaultRowHeight="15" customHeight="1" x14ac:dyDescent="0.2"/>
  <cols>
    <col min="1" max="1" width="5.83203125" customWidth="1"/>
    <col min="2" max="2" width="20.83203125" customWidth="1"/>
    <col min="3" max="8" width="11" bestFit="1" customWidth="1"/>
    <col min="9" max="11" width="12" bestFit="1" customWidth="1"/>
    <col min="12" max="12" width="5.83203125" customWidth="1"/>
    <col min="13" max="13" width="2.83203125" customWidth="1"/>
    <col min="20" max="20" width="2.83203125" customWidth="1"/>
  </cols>
  <sheetData>
    <row r="1" spans="1:26" ht="15" customHeight="1" x14ac:dyDescent="0.2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26" ht="24" x14ac:dyDescent="0.25">
      <c r="A2" s="33"/>
      <c r="B2" s="35" t="s">
        <v>153</v>
      </c>
      <c r="C2" s="33"/>
      <c r="E2" s="33"/>
      <c r="F2" s="33"/>
      <c r="G2" s="33"/>
      <c r="H2" s="34" t="s">
        <v>40</v>
      </c>
      <c r="J2" s="33"/>
      <c r="K2" s="33"/>
      <c r="L2" s="33"/>
      <c r="N2" s="6" t="s">
        <v>7</v>
      </c>
      <c r="P2" s="8"/>
      <c r="U2" s="6" t="s">
        <v>90</v>
      </c>
      <c r="V2" s="8"/>
      <c r="W2" s="7"/>
    </row>
    <row r="3" spans="1:26" ht="15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N3" t="s">
        <v>41</v>
      </c>
      <c r="O3">
        <v>2019</v>
      </c>
      <c r="P3">
        <v>2020</v>
      </c>
      <c r="Q3">
        <v>2021</v>
      </c>
      <c r="R3">
        <v>2022</v>
      </c>
      <c r="S3" t="s">
        <v>0</v>
      </c>
      <c r="U3" t="s">
        <v>41</v>
      </c>
      <c r="V3">
        <v>2019</v>
      </c>
      <c r="W3">
        <v>2020</v>
      </c>
      <c r="X3">
        <v>2021</v>
      </c>
      <c r="Y3">
        <v>2022</v>
      </c>
      <c r="Z3" t="s">
        <v>0</v>
      </c>
    </row>
    <row r="4" spans="1:26" ht="15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N4" t="s">
        <v>42</v>
      </c>
      <c r="O4">
        <v>176249</v>
      </c>
      <c r="P4">
        <v>119704</v>
      </c>
      <c r="Q4">
        <v>184634</v>
      </c>
      <c r="R4">
        <v>263310</v>
      </c>
      <c r="S4">
        <v>238682</v>
      </c>
      <c r="U4" t="s">
        <v>91</v>
      </c>
      <c r="V4">
        <v>24685</v>
      </c>
      <c r="W4">
        <v>14803</v>
      </c>
      <c r="X4">
        <v>30410</v>
      </c>
      <c r="Y4">
        <v>47367</v>
      </c>
      <c r="Z4">
        <v>38499</v>
      </c>
    </row>
    <row r="5" spans="1:26" ht="15" customHeight="1" x14ac:dyDescent="0.2">
      <c r="A5" s="33"/>
      <c r="B5" s="33"/>
      <c r="C5" s="33"/>
      <c r="D5" s="33"/>
      <c r="E5" s="33"/>
      <c r="F5" s="33"/>
      <c r="G5" s="33"/>
      <c r="H5" s="36">
        <v>1</v>
      </c>
      <c r="I5" s="36">
        <f>H5+1</f>
        <v>2</v>
      </c>
      <c r="J5" s="36">
        <f>I5+1</f>
        <v>3</v>
      </c>
      <c r="K5" s="36">
        <f>J5+1</f>
        <v>4</v>
      </c>
      <c r="L5" s="33"/>
      <c r="N5" t="s">
        <v>68</v>
      </c>
      <c r="O5">
        <v>200316</v>
      </c>
      <c r="P5">
        <v>140685</v>
      </c>
      <c r="Q5">
        <v>205863</v>
      </c>
      <c r="R5">
        <v>280999</v>
      </c>
      <c r="S5">
        <v>256493</v>
      </c>
      <c r="U5" t="s">
        <v>92</v>
      </c>
      <c r="V5">
        <v>24685</v>
      </c>
      <c r="W5">
        <v>14803</v>
      </c>
      <c r="X5">
        <v>30410</v>
      </c>
      <c r="Y5">
        <v>47367</v>
      </c>
      <c r="Z5">
        <v>38499</v>
      </c>
    </row>
    <row r="6" spans="1:26" ht="15" customHeight="1" thickBot="1" x14ac:dyDescent="0.25">
      <c r="A6" s="33"/>
      <c r="B6" s="4" t="s">
        <v>89</v>
      </c>
      <c r="C6" s="4">
        <v>2019</v>
      </c>
      <c r="D6" s="4">
        <v>2020</v>
      </c>
      <c r="E6" s="4">
        <v>2021</v>
      </c>
      <c r="F6" s="4">
        <v>2022</v>
      </c>
      <c r="G6" s="4">
        <v>2023</v>
      </c>
      <c r="H6" s="4">
        <v>2024</v>
      </c>
      <c r="I6" s="4">
        <v>2025</v>
      </c>
      <c r="J6" s="4">
        <v>2026</v>
      </c>
      <c r="K6" s="4">
        <v>2027</v>
      </c>
      <c r="L6" s="33"/>
      <c r="N6" t="s">
        <v>69</v>
      </c>
      <c r="O6">
        <v>24067</v>
      </c>
      <c r="P6">
        <v>20981</v>
      </c>
      <c r="Q6">
        <v>21229</v>
      </c>
      <c r="R6">
        <v>17689</v>
      </c>
      <c r="S6">
        <v>17811</v>
      </c>
      <c r="U6" t="s">
        <v>93</v>
      </c>
      <c r="V6">
        <v>11438</v>
      </c>
      <c r="W6">
        <v>-7336</v>
      </c>
      <c r="X6">
        <v>16366</v>
      </c>
      <c r="Y6">
        <v>21044</v>
      </c>
      <c r="Z6">
        <v>19972</v>
      </c>
    </row>
    <row r="7" spans="1:26" ht="15" customHeight="1" x14ac:dyDescent="0.2">
      <c r="A7" s="33"/>
      <c r="B7" s="5" t="s">
        <v>8</v>
      </c>
      <c r="C7" s="9">
        <f>O4</f>
        <v>176249</v>
      </c>
      <c r="D7" s="9">
        <f>P4</f>
        <v>119704</v>
      </c>
      <c r="E7" s="9">
        <f>Q4</f>
        <v>184634</v>
      </c>
      <c r="F7" s="9">
        <f>R4</f>
        <v>263310</v>
      </c>
      <c r="G7" s="10">
        <f>S4</f>
        <v>238682</v>
      </c>
      <c r="H7" s="9">
        <f>G7*(1+H8)</f>
        <v>271750.38576907571</v>
      </c>
      <c r="I7" s="9">
        <f t="shared" ref="I7:K7" si="0">H7*(1+I8)</f>
        <v>314427.16688310832</v>
      </c>
      <c r="J7" s="9">
        <f t="shared" si="0"/>
        <v>335604.62258556869</v>
      </c>
      <c r="K7" s="9">
        <f t="shared" si="0"/>
        <v>376206.33133002545</v>
      </c>
      <c r="L7" s="33"/>
      <c r="N7" t="s">
        <v>43</v>
      </c>
      <c r="O7">
        <v>131952</v>
      </c>
      <c r="P7">
        <v>99750</v>
      </c>
      <c r="Q7">
        <v>132178</v>
      </c>
      <c r="R7">
        <v>181669</v>
      </c>
      <c r="S7">
        <v>168610</v>
      </c>
      <c r="U7" t="s">
        <v>94</v>
      </c>
      <c r="V7">
        <v>-1697</v>
      </c>
      <c r="W7">
        <v>39</v>
      </c>
      <c r="X7">
        <v>-1121</v>
      </c>
      <c r="Y7">
        <v>6426</v>
      </c>
      <c r="Z7">
        <v>3055</v>
      </c>
    </row>
    <row r="8" spans="1:26" ht="15" customHeight="1" thickBot="1" x14ac:dyDescent="0.25">
      <c r="A8" s="33"/>
      <c r="B8" s="2" t="s">
        <v>9</v>
      </c>
      <c r="C8" s="1"/>
      <c r="D8" s="1">
        <f>D7/C7-1</f>
        <v>-0.32082451531639899</v>
      </c>
      <c r="E8" s="1">
        <f t="shared" ref="E8" si="1">E7/D7-1</f>
        <v>0.54242130588785664</v>
      </c>
      <c r="F8" s="1">
        <f t="shared" ref="F8" si="2">F7/E7-1</f>
        <v>0.42611869969778038</v>
      </c>
      <c r="G8" s="3">
        <f t="shared" ref="G8" si="3">G7/F7-1</f>
        <v>-9.3532338308457752E-2</v>
      </c>
      <c r="H8" s="1">
        <f>AVERAGE(D8:G8)</f>
        <v>0.13854578799019507</v>
      </c>
      <c r="I8" s="1">
        <f>AVERAGE(F8:H8)</f>
        <v>0.15704404979317257</v>
      </c>
      <c r="J8" s="1">
        <f>AVERAGE(G8:I8)</f>
        <v>6.7352499824969964E-2</v>
      </c>
      <c r="K8" s="1">
        <f>AVERAGE(H8:J8)</f>
        <v>0.12098077920277921</v>
      </c>
      <c r="L8" s="33"/>
      <c r="N8" t="s">
        <v>44</v>
      </c>
      <c r="O8">
        <v>44297</v>
      </c>
      <c r="P8">
        <v>19954</v>
      </c>
      <c r="Q8">
        <v>52456</v>
      </c>
      <c r="R8">
        <v>81641</v>
      </c>
      <c r="S8">
        <v>70072</v>
      </c>
      <c r="U8" t="s">
        <v>95</v>
      </c>
      <c r="V8">
        <v>-1083</v>
      </c>
      <c r="W8">
        <v>948</v>
      </c>
      <c r="X8">
        <v>-667</v>
      </c>
      <c r="Y8">
        <v>6057</v>
      </c>
      <c r="Z8">
        <v>2830</v>
      </c>
    </row>
    <row r="9" spans="1:26" ht="15" customHeight="1" x14ac:dyDescent="0.2">
      <c r="A9" s="33"/>
      <c r="B9" s="5" t="s">
        <v>10</v>
      </c>
      <c r="C9" s="9">
        <f>O44</f>
        <v>19662</v>
      </c>
      <c r="D9" s="9">
        <f t="shared" ref="D9:G9" si="4">P44</f>
        <v>-4871</v>
      </c>
      <c r="E9" s="9">
        <f t="shared" si="4"/>
        <v>27857</v>
      </c>
      <c r="F9" s="9">
        <f t="shared" si="4"/>
        <v>45672</v>
      </c>
      <c r="G9" s="10">
        <f t="shared" si="4"/>
        <v>41160</v>
      </c>
      <c r="H9" s="9">
        <f>H10*H7</f>
        <v>44999.801790965059</v>
      </c>
      <c r="I9" s="9">
        <f>I10*I7</f>
        <v>53609.074953558149</v>
      </c>
      <c r="J9" s="9">
        <f>J10*J7</f>
        <v>56889.125540541761</v>
      </c>
      <c r="K9" s="9">
        <f>K10*K7</f>
        <v>63403.601258834075</v>
      </c>
      <c r="L9" s="33"/>
      <c r="N9" t="s">
        <v>45</v>
      </c>
      <c r="O9">
        <v>28040</v>
      </c>
      <c r="P9">
        <v>26269</v>
      </c>
      <c r="Q9">
        <v>27634</v>
      </c>
      <c r="R9">
        <v>31088</v>
      </c>
      <c r="S9">
        <v>30721</v>
      </c>
      <c r="U9" t="s">
        <v>70</v>
      </c>
      <c r="V9">
        <v>16401</v>
      </c>
      <c r="W9">
        <v>22861</v>
      </c>
      <c r="X9">
        <v>14343</v>
      </c>
      <c r="Y9">
        <v>13680</v>
      </c>
      <c r="Z9">
        <v>12163</v>
      </c>
    </row>
    <row r="10" spans="1:26" ht="15" customHeight="1" thickBot="1" x14ac:dyDescent="0.25">
      <c r="A10" s="33"/>
      <c r="B10" s="2" t="s">
        <v>11</v>
      </c>
      <c r="C10" s="1">
        <f>C9/C7</f>
        <v>0.11155807976215468</v>
      </c>
      <c r="D10" s="1">
        <f>D9/D7</f>
        <v>-4.069204036623672E-2</v>
      </c>
      <c r="E10" s="1">
        <f>E9/E7</f>
        <v>0.15087686991561683</v>
      </c>
      <c r="F10" s="1">
        <f>F9/F7</f>
        <v>0.17345334396718698</v>
      </c>
      <c r="G10" s="3">
        <f>G9/G7</f>
        <v>0.17244702156006736</v>
      </c>
      <c r="H10" s="1">
        <f>AVERAGE(E10:G10)</f>
        <v>0.16559241181429038</v>
      </c>
      <c r="I10" s="1">
        <f t="shared" ref="I10:K10" si="5">AVERAGE(F10:H10)</f>
        <v>0.17049759244718157</v>
      </c>
      <c r="J10" s="1">
        <f t="shared" si="5"/>
        <v>0.16951234194051309</v>
      </c>
      <c r="K10" s="1">
        <f t="shared" si="5"/>
        <v>0.16853411540066168</v>
      </c>
      <c r="L10" s="33"/>
      <c r="N10" t="s">
        <v>70</v>
      </c>
      <c r="O10">
        <v>266</v>
      </c>
      <c r="P10" t="s">
        <v>33</v>
      </c>
      <c r="Q10" t="s">
        <v>33</v>
      </c>
      <c r="R10" t="s">
        <v>33</v>
      </c>
      <c r="S10">
        <v>266</v>
      </c>
      <c r="U10" t="s">
        <v>71</v>
      </c>
      <c r="V10">
        <v>16401</v>
      </c>
      <c r="W10">
        <v>22861</v>
      </c>
      <c r="X10">
        <v>14343</v>
      </c>
      <c r="Y10" t="s">
        <v>33</v>
      </c>
      <c r="Z10" t="s">
        <v>33</v>
      </c>
    </row>
    <row r="11" spans="1:26" ht="15" customHeight="1" x14ac:dyDescent="0.2">
      <c r="A11" s="33"/>
      <c r="B11" s="5" t="s">
        <v>12</v>
      </c>
      <c r="C11" s="9">
        <f>O27</f>
        <v>5872</v>
      </c>
      <c r="D11" s="9">
        <f t="shared" ref="D11:G11" si="6">P27</f>
        <v>318</v>
      </c>
      <c r="E11" s="9">
        <f t="shared" si="6"/>
        <v>9587</v>
      </c>
      <c r="F11" s="9">
        <f t="shared" si="6"/>
        <v>22242</v>
      </c>
      <c r="G11" s="10">
        <f t="shared" si="6"/>
        <v>18712</v>
      </c>
      <c r="H11" s="9">
        <f>H9*H12</f>
        <v>19286.327569845074</v>
      </c>
      <c r="I11" s="9">
        <f t="shared" ref="I11:K11" si="7">I9*I12</f>
        <v>24485.003193343393</v>
      </c>
      <c r="J11" s="9">
        <f t="shared" si="7"/>
        <v>25409.253134592524</v>
      </c>
      <c r="K11" s="9">
        <f t="shared" si="7"/>
        <v>28150.44967366827</v>
      </c>
      <c r="L11" s="33"/>
      <c r="N11" t="s">
        <v>71</v>
      </c>
      <c r="O11">
        <v>266</v>
      </c>
      <c r="P11" t="s">
        <v>33</v>
      </c>
      <c r="Q11" t="s">
        <v>33</v>
      </c>
      <c r="R11" t="s">
        <v>33</v>
      </c>
      <c r="S11">
        <v>266</v>
      </c>
      <c r="U11" t="s">
        <v>96</v>
      </c>
      <c r="V11">
        <v>16401</v>
      </c>
      <c r="W11">
        <v>22861</v>
      </c>
      <c r="X11">
        <v>14343</v>
      </c>
      <c r="Y11" t="s">
        <v>33</v>
      </c>
      <c r="Z11" t="s">
        <v>33</v>
      </c>
    </row>
    <row r="12" spans="1:26" ht="15" customHeight="1" x14ac:dyDescent="0.2">
      <c r="A12" s="33"/>
      <c r="B12" s="2" t="s">
        <v>13</v>
      </c>
      <c r="C12" s="1">
        <f>C11/C9</f>
        <v>0.2986471366086868</v>
      </c>
      <c r="D12" s="1">
        <f>D11/D9</f>
        <v>-6.5284335865325394E-2</v>
      </c>
      <c r="E12" s="1">
        <f>E11/E9</f>
        <v>0.34415048282298882</v>
      </c>
      <c r="F12" s="1">
        <f>F11/F9</f>
        <v>0.48699421965317918</v>
      </c>
      <c r="G12" s="3">
        <f>G11/G9</f>
        <v>0.45461613216715258</v>
      </c>
      <c r="H12" s="1">
        <f>AVERAGE(E12:G12)</f>
        <v>0.42858694488110682</v>
      </c>
      <c r="I12" s="1">
        <f t="shared" ref="I12:K12" si="8">AVERAGE(F12:H12)</f>
        <v>0.45673243223381288</v>
      </c>
      <c r="J12" s="1">
        <f t="shared" si="8"/>
        <v>0.44664516976069074</v>
      </c>
      <c r="K12" s="1">
        <f t="shared" si="8"/>
        <v>0.44398818229187015</v>
      </c>
      <c r="L12" s="33"/>
      <c r="N12" t="s">
        <v>72</v>
      </c>
      <c r="O12">
        <v>266</v>
      </c>
      <c r="P12" t="s">
        <v>33</v>
      </c>
      <c r="Q12" t="s">
        <v>33</v>
      </c>
      <c r="R12" t="s">
        <v>33</v>
      </c>
      <c r="S12">
        <v>266</v>
      </c>
      <c r="U12" t="s">
        <v>97</v>
      </c>
      <c r="V12">
        <v>-461</v>
      </c>
      <c r="W12">
        <v>-2132</v>
      </c>
      <c r="X12">
        <v>1429</v>
      </c>
      <c r="Y12">
        <v>2417</v>
      </c>
      <c r="Z12" t="s">
        <v>33</v>
      </c>
    </row>
    <row r="13" spans="1:26" ht="15" customHeight="1" thickBot="1" x14ac:dyDescent="0.25">
      <c r="A13" s="33"/>
      <c r="B13" s="2" t="s">
        <v>88</v>
      </c>
      <c r="C13" s="11">
        <f>C9-C11</f>
        <v>13790</v>
      </c>
      <c r="D13" s="11">
        <f t="shared" ref="D13:F13" si="9">D9-D11</f>
        <v>-5189</v>
      </c>
      <c r="E13" s="11">
        <f t="shared" si="9"/>
        <v>18270</v>
      </c>
      <c r="F13" s="11">
        <f t="shared" si="9"/>
        <v>23430</v>
      </c>
      <c r="G13" s="12">
        <f>G9-G11</f>
        <v>22448</v>
      </c>
      <c r="H13" s="11">
        <f>H9-H11</f>
        <v>25713.474221119985</v>
      </c>
      <c r="I13" s="11">
        <f>I9-I11</f>
        <v>29124.071760214756</v>
      </c>
      <c r="J13" s="11">
        <f>J9-J11</f>
        <v>31479.872405949238</v>
      </c>
      <c r="K13" s="13">
        <f>K9-K11</f>
        <v>35253.151585165804</v>
      </c>
      <c r="L13" s="33"/>
      <c r="N13" t="s">
        <v>73</v>
      </c>
      <c r="O13">
        <v>266</v>
      </c>
      <c r="P13" t="s">
        <v>33</v>
      </c>
      <c r="Q13" t="s">
        <v>33</v>
      </c>
      <c r="R13" t="s">
        <v>33</v>
      </c>
      <c r="S13">
        <v>266</v>
      </c>
      <c r="U13" t="s">
        <v>98</v>
      </c>
      <c r="V13">
        <v>-461</v>
      </c>
      <c r="W13">
        <v>-2132</v>
      </c>
      <c r="X13">
        <v>1429</v>
      </c>
      <c r="Y13">
        <v>2417</v>
      </c>
      <c r="Z13" t="s">
        <v>33</v>
      </c>
    </row>
    <row r="14" spans="1:26" ht="15" customHeight="1" x14ac:dyDescent="0.2">
      <c r="A14" s="33"/>
      <c r="B14" s="5" t="s">
        <v>14</v>
      </c>
      <c r="C14" s="9">
        <f>V9</f>
        <v>16401</v>
      </c>
      <c r="D14" s="9">
        <f t="shared" ref="D14:G14" si="10">W9</f>
        <v>22861</v>
      </c>
      <c r="E14" s="9">
        <f t="shared" si="10"/>
        <v>14343</v>
      </c>
      <c r="F14" s="9">
        <f t="shared" si="10"/>
        <v>13680</v>
      </c>
      <c r="G14" s="10">
        <f t="shared" si="10"/>
        <v>12163</v>
      </c>
      <c r="H14" s="9">
        <f>H15*H7</f>
        <v>16359.047496638013</v>
      </c>
      <c r="I14" s="9">
        <f>I15*I7</f>
        <v>17095.592522817307</v>
      </c>
      <c r="J14" s="9">
        <f>J15*J7</f>
        <v>18517.366988054324</v>
      </c>
      <c r="K14" s="9">
        <f>K15*K7</f>
        <v>21286.448405710333</v>
      </c>
      <c r="L14" s="33"/>
      <c r="N14" t="s">
        <v>74</v>
      </c>
      <c r="O14">
        <v>28040</v>
      </c>
      <c r="P14">
        <v>26269</v>
      </c>
      <c r="Q14">
        <v>27634</v>
      </c>
      <c r="R14">
        <v>31088</v>
      </c>
      <c r="S14">
        <v>30721</v>
      </c>
      <c r="U14" t="s">
        <v>99</v>
      </c>
      <c r="V14">
        <v>403</v>
      </c>
      <c r="W14">
        <v>350</v>
      </c>
      <c r="X14">
        <v>-467</v>
      </c>
      <c r="Y14">
        <v>2177</v>
      </c>
      <c r="Z14" t="s">
        <v>33</v>
      </c>
    </row>
    <row r="15" spans="1:26" ht="15" customHeight="1" thickBot="1" x14ac:dyDescent="0.25">
      <c r="A15" s="33"/>
      <c r="B15" s="2" t="s">
        <v>11</v>
      </c>
      <c r="C15" s="1">
        <f>C14/C7</f>
        <v>9.3055847125373764E-2</v>
      </c>
      <c r="D15" s="1">
        <f>D14/D7</f>
        <v>0.19097941589253492</v>
      </c>
      <c r="E15" s="1">
        <f>E14/E7</f>
        <v>7.7683416922127019E-2</v>
      </c>
      <c r="F15" s="1">
        <f>F14/F7</f>
        <v>5.1953970604990317E-2</v>
      </c>
      <c r="G15" s="3">
        <f>G14/G7</f>
        <v>5.0959016599492209E-2</v>
      </c>
      <c r="H15" s="1">
        <f>AVERAGE(E15:G15)</f>
        <v>6.0198801375536515E-2</v>
      </c>
      <c r="I15" s="1">
        <f t="shared" ref="I15" si="11">AVERAGE(F15:H15)</f>
        <v>5.4370596193339678E-2</v>
      </c>
      <c r="J15" s="1">
        <f t="shared" ref="J15" si="12">AVERAGE(G15:I15)</f>
        <v>5.5176138056122793E-2</v>
      </c>
      <c r="K15" s="1">
        <f t="shared" ref="K15" si="13">AVERAGE(H15:J15)</f>
        <v>5.6581845208332988E-2</v>
      </c>
      <c r="L15" s="33"/>
      <c r="N15" t="s">
        <v>35</v>
      </c>
      <c r="O15">
        <v>16257.000000000002</v>
      </c>
      <c r="P15">
        <v>-6315</v>
      </c>
      <c r="Q15">
        <v>24822</v>
      </c>
      <c r="R15">
        <v>50553</v>
      </c>
      <c r="S15">
        <v>39351</v>
      </c>
      <c r="U15" t="s">
        <v>100</v>
      </c>
      <c r="V15">
        <v>261</v>
      </c>
      <c r="W15">
        <v>-2630</v>
      </c>
      <c r="X15">
        <v>1438</v>
      </c>
      <c r="Y15">
        <v>5026</v>
      </c>
      <c r="Z15">
        <v>-3607</v>
      </c>
    </row>
    <row r="16" spans="1:26" ht="15" customHeight="1" x14ac:dyDescent="0.2">
      <c r="A16" s="33"/>
      <c r="B16" s="5" t="s">
        <v>15</v>
      </c>
      <c r="C16" s="9">
        <f>-V30</f>
        <v>11810</v>
      </c>
      <c r="D16" s="9">
        <f t="shared" ref="D16:G16" si="14">-W30</f>
        <v>10764</v>
      </c>
      <c r="E16" s="9">
        <f t="shared" si="14"/>
        <v>12343</v>
      </c>
      <c r="F16" s="9">
        <f t="shared" si="14"/>
        <v>15690</v>
      </c>
      <c r="G16" s="10">
        <f t="shared" si="14"/>
        <v>15921</v>
      </c>
      <c r="H16" s="9">
        <f>H17*H7</f>
        <v>17495.520764675013</v>
      </c>
      <c r="I16" s="9">
        <f>I17*I7</f>
        <v>19984.175657699092</v>
      </c>
      <c r="J16" s="9">
        <f>J17*J7</f>
        <v>21774.259778684936</v>
      </c>
      <c r="K16" s="9">
        <f>K17*K7</f>
        <v>24179.903067276045</v>
      </c>
      <c r="L16" s="33"/>
      <c r="N16" t="s">
        <v>46</v>
      </c>
      <c r="O16">
        <v>-2324</v>
      </c>
      <c r="P16">
        <v>-1886</v>
      </c>
      <c r="Q16">
        <v>-1302</v>
      </c>
      <c r="R16">
        <v>-880</v>
      </c>
      <c r="S16">
        <v>-413</v>
      </c>
      <c r="U16" t="s">
        <v>101</v>
      </c>
      <c r="V16">
        <v>-1718</v>
      </c>
      <c r="W16">
        <v>1869</v>
      </c>
      <c r="X16">
        <v>-616</v>
      </c>
      <c r="Y16">
        <v>1191</v>
      </c>
      <c r="Z16">
        <v>2322</v>
      </c>
    </row>
    <row r="17" spans="1:26" ht="15" customHeight="1" thickBot="1" x14ac:dyDescent="0.25">
      <c r="A17" s="33"/>
      <c r="B17" s="2" t="s">
        <v>11</v>
      </c>
      <c r="C17" s="1">
        <f>C16/C7</f>
        <v>6.7007472382822036E-2</v>
      </c>
      <c r="D17" s="1">
        <f>D16/D7</f>
        <v>8.9921807124239791E-2</v>
      </c>
      <c r="E17" s="1">
        <f>E16/E7</f>
        <v>6.6851175839769489E-2</v>
      </c>
      <c r="F17" s="1">
        <f>F16/F7</f>
        <v>5.9587558391249858E-2</v>
      </c>
      <c r="G17" s="3">
        <f>G16/G7</f>
        <v>6.6703815118023146E-2</v>
      </c>
      <c r="H17" s="1">
        <f>AVERAGE(E17:G17)</f>
        <v>6.4380849783014157E-2</v>
      </c>
      <c r="I17" s="1">
        <f t="shared" ref="I17" si="15">AVERAGE(F17:H17)</f>
        <v>6.3557407764095727E-2</v>
      </c>
      <c r="J17" s="1">
        <f t="shared" ref="J17" si="16">AVERAGE(G17:I17)</f>
        <v>6.4880690888377682E-2</v>
      </c>
      <c r="K17" s="1">
        <f t="shared" ref="K17" si="17">AVERAGE(H17:J17)</f>
        <v>6.4272982811829193E-2</v>
      </c>
      <c r="L17" s="33"/>
      <c r="N17" t="s">
        <v>75</v>
      </c>
      <c r="O17" t="s">
        <v>33</v>
      </c>
      <c r="P17">
        <v>37</v>
      </c>
      <c r="Q17">
        <v>379</v>
      </c>
      <c r="R17">
        <v>1143</v>
      </c>
      <c r="S17">
        <v>1587</v>
      </c>
      <c r="U17" t="s">
        <v>102</v>
      </c>
      <c r="V17">
        <v>-933</v>
      </c>
      <c r="W17">
        <v>4818</v>
      </c>
      <c r="X17">
        <v>-6788</v>
      </c>
      <c r="Y17">
        <v>-3272</v>
      </c>
      <c r="Z17" t="s">
        <v>33</v>
      </c>
    </row>
    <row r="18" spans="1:26" ht="15" customHeight="1" x14ac:dyDescent="0.2">
      <c r="A18" s="33"/>
      <c r="B18" s="5" t="s">
        <v>16</v>
      </c>
      <c r="C18" s="9">
        <f>V16</f>
        <v>-1718</v>
      </c>
      <c r="D18" s="9">
        <f t="shared" ref="D18:G18" si="18">W16</f>
        <v>1869</v>
      </c>
      <c r="E18" s="9">
        <f t="shared" si="18"/>
        <v>-616</v>
      </c>
      <c r="F18" s="9">
        <f t="shared" si="18"/>
        <v>1191</v>
      </c>
      <c r="G18" s="10">
        <f t="shared" si="18"/>
        <v>2322</v>
      </c>
      <c r="H18" s="9">
        <f>H19*H7</f>
        <v>988.74390588876997</v>
      </c>
      <c r="I18" s="9">
        <f>I19*I7</f>
        <v>1875.0379605545863</v>
      </c>
      <c r="J18" s="9">
        <f>J19*J7</f>
        <v>2162.4346073714596</v>
      </c>
      <c r="K18" s="9">
        <f>K19*K7</f>
        <v>2012.0984482012884</v>
      </c>
      <c r="L18" s="33"/>
      <c r="N18" t="s">
        <v>76</v>
      </c>
      <c r="O18">
        <v>2352</v>
      </c>
      <c r="P18">
        <v>2147</v>
      </c>
      <c r="Q18">
        <v>1904</v>
      </c>
      <c r="R18">
        <v>2386</v>
      </c>
      <c r="S18">
        <v>2476</v>
      </c>
      <c r="U18" t="s">
        <v>103</v>
      </c>
      <c r="V18">
        <v>-933</v>
      </c>
      <c r="W18">
        <v>4818</v>
      </c>
      <c r="X18">
        <v>-6788</v>
      </c>
      <c r="Y18">
        <v>-3272</v>
      </c>
      <c r="Z18" t="s">
        <v>33</v>
      </c>
    </row>
    <row r="19" spans="1:26" ht="15" customHeight="1" thickBot="1" x14ac:dyDescent="0.25">
      <c r="A19" s="33"/>
      <c r="B19" s="2" t="s">
        <v>11</v>
      </c>
      <c r="C19" s="1">
        <f>C18/C7</f>
        <v>-9.7475730358753815E-3</v>
      </c>
      <c r="D19" s="1">
        <f>D18/D7</f>
        <v>1.5613513332887789E-2</v>
      </c>
      <c r="E19" s="1">
        <f>E18/E7</f>
        <v>-3.3363302533661191E-3</v>
      </c>
      <c r="F19" s="1">
        <f>F18/F7</f>
        <v>4.5231855987239375E-3</v>
      </c>
      <c r="G19" s="3">
        <f>G18/G7</f>
        <v>9.7284252687676494E-3</v>
      </c>
      <c r="H19" s="1">
        <f>AVERAGE(E19:G19)</f>
        <v>3.6384268713751562E-3</v>
      </c>
      <c r="I19" s="1">
        <f t="shared" ref="I19" si="19">AVERAGE(F19:H19)</f>
        <v>5.963345912955581E-3</v>
      </c>
      <c r="J19" s="1">
        <f t="shared" ref="J19" si="20">AVERAGE(G19:I19)</f>
        <v>6.4433993510327955E-3</v>
      </c>
      <c r="K19" s="1">
        <f t="shared" ref="K19" si="21">AVERAGE(H19:J19)</f>
        <v>5.3483907117878446E-3</v>
      </c>
      <c r="L19" s="33"/>
      <c r="N19" t="s">
        <v>77</v>
      </c>
      <c r="O19">
        <v>-28</v>
      </c>
      <c r="P19">
        <v>-224</v>
      </c>
      <c r="Q19">
        <v>-223</v>
      </c>
      <c r="R19">
        <v>-363</v>
      </c>
      <c r="S19">
        <v>-476</v>
      </c>
      <c r="U19" t="s">
        <v>104</v>
      </c>
      <c r="V19">
        <v>-2071</v>
      </c>
      <c r="W19">
        <v>2274</v>
      </c>
      <c r="X19">
        <v>-5903</v>
      </c>
      <c r="Y19">
        <v>-3805</v>
      </c>
      <c r="Z19" t="s">
        <v>33</v>
      </c>
    </row>
    <row r="20" spans="1:26" ht="15" customHeight="1" x14ac:dyDescent="0.2">
      <c r="A20" s="33"/>
      <c r="B20" s="5" t="s">
        <v>17</v>
      </c>
      <c r="C20" s="9">
        <f t="shared" ref="C20:G20" si="22">C13+C14-C16-C18</f>
        <v>20099</v>
      </c>
      <c r="D20" s="9">
        <f t="shared" si="22"/>
        <v>5039</v>
      </c>
      <c r="E20" s="9">
        <f t="shared" si="22"/>
        <v>20886</v>
      </c>
      <c r="F20" s="9">
        <f t="shared" si="22"/>
        <v>20229</v>
      </c>
      <c r="G20" s="10">
        <f t="shared" si="22"/>
        <v>16368</v>
      </c>
      <c r="H20" s="9">
        <f>H13+H14-H16-H18</f>
        <v>23588.257047194216</v>
      </c>
      <c r="I20" s="9">
        <f>I13+I14-I16-I18</f>
        <v>24360.450664778386</v>
      </c>
      <c r="J20" s="9">
        <f>J13+J14-J16-J18</f>
        <v>26060.545007947167</v>
      </c>
      <c r="K20" s="9">
        <f>K13+K14-K16-K18</f>
        <v>30347.598475398801</v>
      </c>
      <c r="L20" s="33"/>
      <c r="N20" t="s">
        <v>47</v>
      </c>
      <c r="O20">
        <v>3377</v>
      </c>
      <c r="P20">
        <v>1183</v>
      </c>
      <c r="Q20">
        <v>2433</v>
      </c>
      <c r="R20">
        <v>-6387</v>
      </c>
      <c r="S20">
        <v>-254</v>
      </c>
      <c r="U20" t="s">
        <v>105</v>
      </c>
      <c r="V20">
        <v>3287</v>
      </c>
      <c r="W20">
        <v>-8597</v>
      </c>
      <c r="X20">
        <v>33101</v>
      </c>
      <c r="Y20">
        <v>11791</v>
      </c>
      <c r="Z20" t="s">
        <v>33</v>
      </c>
    </row>
    <row r="21" spans="1:26" ht="15" customHeight="1" x14ac:dyDescent="0.2">
      <c r="A21" s="33"/>
      <c r="B21" s="2" t="s">
        <v>1</v>
      </c>
      <c r="C21" s="1"/>
      <c r="D21" s="1"/>
      <c r="E21" s="1"/>
      <c r="F21" s="1"/>
      <c r="G21" s="3"/>
      <c r="H21" s="11">
        <f>H20/(1+C42)^H5</f>
        <v>20797.308058277595</v>
      </c>
      <c r="I21" s="11">
        <f>I20/(1+C42)^I5</f>
        <v>18936.855469558483</v>
      </c>
      <c r="J21" s="11">
        <f>J20/(1+C42)^J5</f>
        <v>17861.474715198827</v>
      </c>
      <c r="K21" s="11">
        <f>K20/(1+C42)^K5</f>
        <v>18338.736973346193</v>
      </c>
      <c r="L21" s="33"/>
      <c r="N21" t="s">
        <v>78</v>
      </c>
      <c r="O21">
        <v>-47</v>
      </c>
      <c r="P21">
        <v>586</v>
      </c>
      <c r="Q21">
        <v>-272</v>
      </c>
      <c r="R21">
        <v>-485</v>
      </c>
      <c r="S21" t="s">
        <v>33</v>
      </c>
      <c r="U21" t="s">
        <v>106</v>
      </c>
      <c r="V21">
        <v>3287</v>
      </c>
      <c r="W21">
        <v>-8597</v>
      </c>
      <c r="X21">
        <v>33101</v>
      </c>
      <c r="Y21">
        <v>11791</v>
      </c>
      <c r="Z21" t="s">
        <v>33</v>
      </c>
    </row>
    <row r="22" spans="1:26" ht="15" customHeight="1" x14ac:dyDescent="0.2">
      <c r="A22" s="33"/>
      <c r="B22" s="2" t="s">
        <v>9</v>
      </c>
      <c r="C22" s="1"/>
      <c r="D22" s="31" t="s">
        <v>150</v>
      </c>
      <c r="E22" s="1">
        <f>E20/C20-1</f>
        <v>3.9156176924225017E-2</v>
      </c>
      <c r="F22" s="1">
        <f>F20/E20-1</f>
        <v>-3.1456478023556445E-2</v>
      </c>
      <c r="G22" s="3">
        <f>G20/F20-1</f>
        <v>-0.19086460032626429</v>
      </c>
      <c r="H22" s="1">
        <f t="shared" ref="H22:K22" si="23">H20/G20-1</f>
        <v>0.44112029858224688</v>
      </c>
      <c r="I22" s="1">
        <f t="shared" si="23"/>
        <v>3.2736357588405207E-2</v>
      </c>
      <c r="J22" s="1">
        <f t="shared" si="23"/>
        <v>6.9789117063703054E-2</v>
      </c>
      <c r="K22" s="1">
        <f t="shared" si="23"/>
        <v>0.16450359983432028</v>
      </c>
      <c r="L22" s="33"/>
      <c r="N22" t="s">
        <v>79</v>
      </c>
      <c r="O22">
        <v>3406</v>
      </c>
      <c r="P22">
        <v>452</v>
      </c>
      <c r="Q22">
        <v>3438</v>
      </c>
      <c r="R22">
        <v>-1892</v>
      </c>
      <c r="S22">
        <v>838</v>
      </c>
      <c r="U22" t="s">
        <v>107</v>
      </c>
      <c r="V22">
        <v>1998</v>
      </c>
      <c r="W22">
        <v>-5355</v>
      </c>
      <c r="X22">
        <v>12073</v>
      </c>
      <c r="Y22">
        <v>5313</v>
      </c>
      <c r="Z22" t="s">
        <v>33</v>
      </c>
    </row>
    <row r="23" spans="1:26" ht="15" customHeight="1" x14ac:dyDescent="0.2">
      <c r="A23" s="33"/>
      <c r="B23" s="33"/>
      <c r="C23" s="33"/>
      <c r="D23" s="33"/>
      <c r="E23" s="40" t="s">
        <v>151</v>
      </c>
      <c r="F23" s="33"/>
      <c r="G23" s="33"/>
      <c r="H23" s="33"/>
      <c r="I23" s="33"/>
      <c r="J23" s="33"/>
      <c r="K23" s="33"/>
      <c r="L23" s="33"/>
      <c r="N23" t="s">
        <v>80</v>
      </c>
      <c r="O23">
        <v>614</v>
      </c>
      <c r="P23">
        <v>909</v>
      </c>
      <c r="Q23">
        <v>454</v>
      </c>
      <c r="R23">
        <v>-369</v>
      </c>
      <c r="S23" t="s">
        <v>33</v>
      </c>
      <c r="U23" t="s">
        <v>108</v>
      </c>
      <c r="V23">
        <v>1289</v>
      </c>
      <c r="W23" t="s">
        <v>33</v>
      </c>
      <c r="X23" t="s">
        <v>33</v>
      </c>
      <c r="Y23" t="s">
        <v>33</v>
      </c>
      <c r="Z23">
        <v>1289</v>
      </c>
    </row>
    <row r="24" spans="1:26" ht="15" customHeight="1" x14ac:dyDescent="0.2">
      <c r="A24" s="33"/>
      <c r="B24" s="14" t="s">
        <v>18</v>
      </c>
      <c r="C24" s="15">
        <f>(K20*(1+C43))/(C42-C43)</f>
        <v>255961.69518322399</v>
      </c>
      <c r="D24" s="33"/>
      <c r="E24" s="33"/>
      <c r="F24" s="33"/>
      <c r="G24" s="33"/>
      <c r="H24" s="33"/>
      <c r="I24" s="33"/>
      <c r="J24" s="33"/>
      <c r="K24" s="33"/>
      <c r="L24" s="33"/>
      <c r="N24" t="s">
        <v>81</v>
      </c>
      <c r="O24">
        <v>614</v>
      </c>
      <c r="P24">
        <v>909</v>
      </c>
      <c r="Q24">
        <v>454</v>
      </c>
      <c r="R24">
        <v>-369</v>
      </c>
      <c r="S24" t="s">
        <v>33</v>
      </c>
      <c r="U24" t="s">
        <v>109</v>
      </c>
      <c r="V24">
        <v>-2001</v>
      </c>
      <c r="W24">
        <v>3374</v>
      </c>
      <c r="X24">
        <v>-21026</v>
      </c>
      <c r="Y24">
        <v>-3523</v>
      </c>
      <c r="Z24" t="s">
        <v>33</v>
      </c>
    </row>
    <row r="25" spans="1:26" ht="15" customHeight="1" x14ac:dyDescent="0.2">
      <c r="A25" s="33"/>
      <c r="B25" s="16" t="s">
        <v>19</v>
      </c>
      <c r="C25" s="17">
        <f>C24/(1+C42)^K5</f>
        <v>154674.98052678362</v>
      </c>
      <c r="D25" s="33"/>
      <c r="E25" s="33"/>
      <c r="F25" s="33"/>
      <c r="G25" s="33"/>
      <c r="H25" s="33"/>
      <c r="I25" s="33"/>
      <c r="J25" s="33"/>
      <c r="K25" s="33"/>
      <c r="L25" s="33"/>
      <c r="N25" t="s">
        <v>82</v>
      </c>
      <c r="O25">
        <v>-29</v>
      </c>
      <c r="P25">
        <v>731</v>
      </c>
      <c r="Q25">
        <v>-1004.9999999999999</v>
      </c>
      <c r="R25">
        <v>-4495</v>
      </c>
      <c r="S25">
        <v>-238</v>
      </c>
      <c r="U25" t="s">
        <v>110</v>
      </c>
      <c r="V25">
        <v>-1718</v>
      </c>
      <c r="W25">
        <v>1869</v>
      </c>
      <c r="X25">
        <v>-616</v>
      </c>
      <c r="Y25">
        <v>1191</v>
      </c>
      <c r="Z25" t="s">
        <v>33</v>
      </c>
    </row>
    <row r="26" spans="1:26" ht="15" customHeight="1" x14ac:dyDescent="0.2">
      <c r="A26" s="33"/>
      <c r="B26" s="16" t="s">
        <v>20</v>
      </c>
      <c r="C26" s="17">
        <f>SUM(H21:K21,C25)</f>
        <v>230609.35574316472</v>
      </c>
      <c r="D26" s="33"/>
      <c r="E26" s="33"/>
      <c r="F26" s="33"/>
      <c r="G26" s="33"/>
      <c r="H26" s="33"/>
      <c r="I26" s="33"/>
      <c r="J26" s="33"/>
      <c r="K26" s="33"/>
      <c r="L26" s="33"/>
      <c r="N26" t="s">
        <v>37</v>
      </c>
      <c r="O26">
        <v>17310</v>
      </c>
      <c r="P26">
        <v>-7018</v>
      </c>
      <c r="Q26">
        <v>25953</v>
      </c>
      <c r="R26">
        <v>43286</v>
      </c>
      <c r="S26">
        <v>38684</v>
      </c>
      <c r="U26" t="s">
        <v>111</v>
      </c>
      <c r="V26">
        <v>-17177</v>
      </c>
      <c r="W26">
        <v>-13079</v>
      </c>
      <c r="X26">
        <v>-13656</v>
      </c>
      <c r="Y26">
        <v>-15116</v>
      </c>
      <c r="Z26">
        <v>-18591</v>
      </c>
    </row>
    <row r="27" spans="1:26" ht="15" customHeight="1" x14ac:dyDescent="0.2">
      <c r="A27" s="33"/>
      <c r="B27" s="16" t="s">
        <v>86</v>
      </c>
      <c r="C27" s="17">
        <v>41772</v>
      </c>
      <c r="D27" s="33"/>
      <c r="E27" s="33"/>
      <c r="F27" s="33"/>
      <c r="G27" s="33"/>
      <c r="H27" s="33"/>
      <c r="I27" s="33"/>
      <c r="J27" s="33"/>
      <c r="K27" s="33"/>
      <c r="L27" s="33"/>
      <c r="N27" t="s">
        <v>48</v>
      </c>
      <c r="O27">
        <v>5872</v>
      </c>
      <c r="P27">
        <v>318</v>
      </c>
      <c r="Q27">
        <v>9587</v>
      </c>
      <c r="R27">
        <v>22242</v>
      </c>
      <c r="S27">
        <v>18712</v>
      </c>
      <c r="U27" t="s">
        <v>112</v>
      </c>
      <c r="V27">
        <v>-17177</v>
      </c>
      <c r="W27">
        <v>-13079</v>
      </c>
      <c r="X27">
        <v>-13656</v>
      </c>
      <c r="Y27">
        <v>-15116</v>
      </c>
      <c r="Z27">
        <v>-18591</v>
      </c>
    </row>
    <row r="28" spans="1:26" ht="15" customHeight="1" x14ac:dyDescent="0.2">
      <c r="A28" s="33"/>
      <c r="B28" s="16" t="s">
        <v>87</v>
      </c>
      <c r="C28" s="17">
        <v>60766</v>
      </c>
      <c r="D28" s="33"/>
      <c r="E28" s="33"/>
      <c r="F28" s="33"/>
      <c r="G28" s="33"/>
      <c r="H28" s="33"/>
      <c r="I28" s="33"/>
      <c r="J28" s="33"/>
      <c r="K28" s="33"/>
      <c r="L28" s="33"/>
      <c r="N28" t="s">
        <v>49</v>
      </c>
      <c r="O28">
        <v>11267</v>
      </c>
      <c r="P28">
        <v>-7242</v>
      </c>
      <c r="Q28">
        <v>16032</v>
      </c>
      <c r="R28">
        <v>20526</v>
      </c>
      <c r="S28">
        <v>19535</v>
      </c>
      <c r="U28" t="s">
        <v>113</v>
      </c>
      <c r="V28">
        <v>-11810</v>
      </c>
      <c r="W28">
        <v>-10764</v>
      </c>
      <c r="X28" t="s">
        <v>33</v>
      </c>
      <c r="Y28" t="s">
        <v>33</v>
      </c>
      <c r="Z28" t="s">
        <v>33</v>
      </c>
    </row>
    <row r="29" spans="1:26" ht="15" customHeight="1" x14ac:dyDescent="0.2">
      <c r="A29" s="33"/>
      <c r="B29" s="16" t="s">
        <v>21</v>
      </c>
      <c r="C29" s="17">
        <f>C26+C27-C28</f>
        <v>211615.35574316472</v>
      </c>
      <c r="D29" s="33"/>
      <c r="E29" s="33"/>
      <c r="F29" s="33"/>
      <c r="G29" s="33"/>
      <c r="H29" s="33"/>
      <c r="I29" s="33"/>
      <c r="J29" s="33"/>
      <c r="K29" s="33"/>
      <c r="L29" s="33"/>
      <c r="N29" t="s">
        <v>38</v>
      </c>
      <c r="O29">
        <v>11267</v>
      </c>
      <c r="P29">
        <v>-7242</v>
      </c>
      <c r="Q29">
        <v>16032</v>
      </c>
      <c r="R29">
        <v>20526</v>
      </c>
      <c r="S29">
        <v>19535</v>
      </c>
      <c r="U29" t="s">
        <v>114</v>
      </c>
      <c r="V29">
        <v>-11283</v>
      </c>
      <c r="W29">
        <v>-10024</v>
      </c>
      <c r="X29">
        <v>-11573</v>
      </c>
      <c r="Y29">
        <v>-15150</v>
      </c>
      <c r="Z29">
        <v>-15612</v>
      </c>
    </row>
    <row r="30" spans="1:26" ht="15" customHeight="1" x14ac:dyDescent="0.2">
      <c r="A30" s="33"/>
      <c r="B30" s="16" t="s">
        <v>22</v>
      </c>
      <c r="C30" s="17">
        <v>2390</v>
      </c>
      <c r="D30" s="33"/>
      <c r="E30" s="33"/>
      <c r="F30" s="33"/>
      <c r="G30" s="33"/>
      <c r="H30" s="33"/>
      <c r="I30" s="33"/>
      <c r="J30" s="33"/>
      <c r="K30" s="33"/>
      <c r="L30" s="33"/>
      <c r="N30" t="s">
        <v>83</v>
      </c>
      <c r="O30">
        <v>11438</v>
      </c>
      <c r="P30">
        <v>-7336</v>
      </c>
      <c r="Q30">
        <v>16366</v>
      </c>
      <c r="R30">
        <v>21044</v>
      </c>
      <c r="S30">
        <v>19972</v>
      </c>
      <c r="U30" t="s">
        <v>115</v>
      </c>
      <c r="V30">
        <v>-11810</v>
      </c>
      <c r="W30">
        <v>-10764</v>
      </c>
      <c r="X30">
        <v>-12343</v>
      </c>
      <c r="Y30">
        <v>-15690</v>
      </c>
      <c r="Z30">
        <v>-15921</v>
      </c>
    </row>
    <row r="31" spans="1:26" ht="15" customHeight="1" x14ac:dyDescent="0.2">
      <c r="A31" s="33"/>
      <c r="B31" s="18" t="s">
        <v>23</v>
      </c>
      <c r="C31" s="19">
        <f>C29/C30</f>
        <v>88.541989850696538</v>
      </c>
      <c r="D31" s="33"/>
      <c r="E31" s="27" t="s">
        <v>152</v>
      </c>
      <c r="F31" s="32">
        <v>45205</v>
      </c>
      <c r="G31" s="28">
        <v>60.34</v>
      </c>
      <c r="H31" s="33"/>
      <c r="I31" s="37" t="s">
        <v>5</v>
      </c>
      <c r="J31" s="38"/>
      <c r="K31" s="39">
        <f>C31/G31-1</f>
        <v>0.46738465115506345</v>
      </c>
      <c r="L31" s="33"/>
      <c r="N31" t="s">
        <v>84</v>
      </c>
      <c r="O31">
        <v>11438</v>
      </c>
      <c r="P31">
        <v>-7336</v>
      </c>
      <c r="Q31">
        <v>16366</v>
      </c>
      <c r="R31">
        <v>21044</v>
      </c>
      <c r="S31">
        <v>19972</v>
      </c>
      <c r="U31" t="s">
        <v>116</v>
      </c>
      <c r="V31">
        <v>527</v>
      </c>
      <c r="W31">
        <v>740</v>
      </c>
      <c r="X31">
        <v>770</v>
      </c>
      <c r="Y31">
        <v>540</v>
      </c>
      <c r="Z31">
        <v>309</v>
      </c>
    </row>
    <row r="32" spans="1:26" ht="15" customHeight="1" x14ac:dyDescent="0.2">
      <c r="A32" s="33"/>
      <c r="B32" s="16" t="s">
        <v>25</v>
      </c>
      <c r="C32" s="21">
        <f>C28/C41</f>
        <v>0.32711045078216683</v>
      </c>
      <c r="D32" s="33"/>
      <c r="E32" s="33"/>
      <c r="F32" s="33"/>
      <c r="G32" s="33"/>
      <c r="H32" s="33"/>
      <c r="I32" s="33"/>
      <c r="J32" s="33"/>
      <c r="K32" s="33"/>
      <c r="L32" s="33"/>
      <c r="N32" t="s">
        <v>85</v>
      </c>
      <c r="O32">
        <v>-171</v>
      </c>
      <c r="P32">
        <v>94</v>
      </c>
      <c r="Q32">
        <v>-334</v>
      </c>
      <c r="R32">
        <v>-518</v>
      </c>
      <c r="S32">
        <v>-437</v>
      </c>
      <c r="U32" t="s">
        <v>117</v>
      </c>
      <c r="V32">
        <v>-6208</v>
      </c>
      <c r="W32">
        <v>-2804</v>
      </c>
      <c r="X32">
        <v>-2730</v>
      </c>
      <c r="Y32">
        <v>-2301</v>
      </c>
      <c r="Z32">
        <v>-4008</v>
      </c>
    </row>
    <row r="33" spans="1:26" ht="15" customHeight="1" x14ac:dyDescent="0.2">
      <c r="A33" s="33"/>
      <c r="B33" s="16" t="s">
        <v>26</v>
      </c>
      <c r="C33" s="21">
        <v>0.02</v>
      </c>
      <c r="D33" s="33"/>
      <c r="E33" s="33"/>
      <c r="F33" s="33"/>
      <c r="G33" s="33"/>
      <c r="H33" s="33"/>
      <c r="I33" s="33"/>
      <c r="J33" s="33"/>
      <c r="K33" s="33"/>
      <c r="L33" s="33"/>
      <c r="N33" t="s">
        <v>50</v>
      </c>
      <c r="O33">
        <v>11267</v>
      </c>
      <c r="P33">
        <v>-7242</v>
      </c>
      <c r="Q33">
        <v>16032</v>
      </c>
      <c r="R33">
        <v>20526</v>
      </c>
      <c r="S33">
        <v>19535</v>
      </c>
      <c r="U33" t="s">
        <v>118</v>
      </c>
      <c r="V33">
        <v>-6366</v>
      </c>
      <c r="W33">
        <v>-3086</v>
      </c>
      <c r="X33">
        <v>-2999</v>
      </c>
      <c r="Y33">
        <v>-3136</v>
      </c>
      <c r="Z33">
        <v>-4913</v>
      </c>
    </row>
    <row r="34" spans="1:26" ht="15" customHeight="1" x14ac:dyDescent="0.2">
      <c r="A34" s="33"/>
      <c r="B34" s="16" t="s">
        <v>27</v>
      </c>
      <c r="C34" s="21">
        <v>0.21</v>
      </c>
      <c r="D34" s="33"/>
      <c r="E34" s="33"/>
      <c r="F34" s="33"/>
      <c r="G34" s="33"/>
      <c r="H34" s="33"/>
      <c r="I34" s="33"/>
      <c r="J34" s="33"/>
      <c r="K34" s="33"/>
      <c r="L34" s="33"/>
      <c r="N34" t="s">
        <v>51</v>
      </c>
      <c r="O34">
        <v>42</v>
      </c>
      <c r="P34">
        <v>-29</v>
      </c>
      <c r="Q34">
        <v>595</v>
      </c>
      <c r="R34">
        <v>791</v>
      </c>
      <c r="S34" t="s">
        <v>33</v>
      </c>
      <c r="U34" t="s">
        <v>119</v>
      </c>
      <c r="V34">
        <v>158</v>
      </c>
      <c r="W34">
        <v>282</v>
      </c>
      <c r="X34">
        <v>269</v>
      </c>
      <c r="Y34">
        <v>835</v>
      </c>
      <c r="Z34">
        <v>905</v>
      </c>
    </row>
    <row r="35" spans="1:26" ht="15" customHeight="1" x14ac:dyDescent="0.2">
      <c r="A35" s="33"/>
      <c r="B35" s="16" t="s">
        <v>21</v>
      </c>
      <c r="C35" s="22">
        <v>125000</v>
      </c>
      <c r="D35" s="33"/>
      <c r="E35" s="33"/>
      <c r="F35" s="33"/>
      <c r="G35" s="33"/>
      <c r="H35" s="33"/>
      <c r="I35" s="33"/>
      <c r="J35" s="33"/>
      <c r="K35" s="33"/>
      <c r="L35" s="33"/>
      <c r="N35" t="s">
        <v>52</v>
      </c>
      <c r="O35">
        <v>417</v>
      </c>
      <c r="P35">
        <v>-29</v>
      </c>
      <c r="Q35">
        <v>592</v>
      </c>
      <c r="R35">
        <v>785</v>
      </c>
      <c r="S35" t="s">
        <v>33</v>
      </c>
      <c r="U35" t="s">
        <v>120</v>
      </c>
      <c r="V35">
        <v>349</v>
      </c>
      <c r="W35">
        <v>578</v>
      </c>
      <c r="X35">
        <v>722</v>
      </c>
      <c r="Y35">
        <v>577</v>
      </c>
      <c r="Z35">
        <v>509</v>
      </c>
    </row>
    <row r="36" spans="1:26" ht="15" customHeight="1" x14ac:dyDescent="0.2">
      <c r="A36" s="33"/>
      <c r="B36" s="16" t="s">
        <v>28</v>
      </c>
      <c r="C36" s="21">
        <f>C35/C41</f>
        <v>0.67288954921783317</v>
      </c>
      <c r="D36" s="33"/>
      <c r="E36" s="33"/>
      <c r="F36" s="33"/>
      <c r="G36" s="33"/>
      <c r="H36" s="33"/>
      <c r="I36" s="33"/>
      <c r="J36" s="33"/>
      <c r="K36" s="33"/>
      <c r="L36" s="33"/>
      <c r="N36" t="s">
        <v>53</v>
      </c>
      <c r="O36">
        <v>2601622</v>
      </c>
      <c r="P36">
        <v>2602027</v>
      </c>
      <c r="Q36">
        <v>2631423</v>
      </c>
      <c r="R36">
        <v>2554707</v>
      </c>
      <c r="S36" t="s">
        <v>33</v>
      </c>
      <c r="U36" t="s">
        <v>121</v>
      </c>
      <c r="V36">
        <v>349</v>
      </c>
      <c r="W36">
        <v>578</v>
      </c>
      <c r="X36">
        <v>722</v>
      </c>
      <c r="Y36">
        <v>577</v>
      </c>
      <c r="Z36">
        <v>509</v>
      </c>
    </row>
    <row r="37" spans="1:26" ht="15" customHeight="1" x14ac:dyDescent="0.2">
      <c r="A37" s="33"/>
      <c r="B37" s="26" t="s">
        <v>149</v>
      </c>
      <c r="C37" s="21">
        <f>C38+C39*C40</f>
        <v>0.19175400000000004</v>
      </c>
      <c r="D37" s="33"/>
      <c r="E37" s="33"/>
      <c r="F37" s="33"/>
      <c r="G37" s="33"/>
      <c r="H37" s="33"/>
      <c r="I37" s="33"/>
      <c r="J37" s="33"/>
      <c r="K37" s="33"/>
      <c r="L37" s="33"/>
      <c r="N37" t="s">
        <v>54</v>
      </c>
      <c r="O37">
        <v>2618008</v>
      </c>
      <c r="P37">
        <v>2602027</v>
      </c>
      <c r="Q37">
        <v>2647468</v>
      </c>
      <c r="R37">
        <v>2572182</v>
      </c>
      <c r="S37" t="s">
        <v>33</v>
      </c>
      <c r="U37" t="s">
        <v>122</v>
      </c>
      <c r="V37">
        <v>-35</v>
      </c>
      <c r="W37">
        <v>-829</v>
      </c>
      <c r="X37">
        <v>-75</v>
      </c>
      <c r="Y37">
        <v>1758</v>
      </c>
      <c r="Z37">
        <v>520</v>
      </c>
    </row>
    <row r="38" spans="1:26" ht="15" customHeight="1" x14ac:dyDescent="0.2">
      <c r="A38" s="33"/>
      <c r="B38" s="16" t="s">
        <v>29</v>
      </c>
      <c r="C38" s="21">
        <v>4.02E-2</v>
      </c>
      <c r="D38" s="41"/>
      <c r="E38" s="42"/>
      <c r="F38" s="33"/>
      <c r="G38" s="33"/>
      <c r="H38" s="33"/>
      <c r="I38" s="33"/>
      <c r="J38" s="33"/>
      <c r="K38" s="33"/>
      <c r="L38" s="33"/>
      <c r="N38" t="s">
        <v>55</v>
      </c>
      <c r="O38">
        <v>159992</v>
      </c>
      <c r="P38">
        <v>126019</v>
      </c>
      <c r="Q38">
        <v>159812</v>
      </c>
      <c r="R38">
        <v>212757</v>
      </c>
      <c r="S38">
        <v>199331</v>
      </c>
      <c r="U38" t="s">
        <v>123</v>
      </c>
      <c r="V38">
        <v>-7709</v>
      </c>
      <c r="W38">
        <v>1398</v>
      </c>
      <c r="X38">
        <v>-25497</v>
      </c>
      <c r="Y38">
        <v>-19272</v>
      </c>
      <c r="Z38">
        <v>-27536</v>
      </c>
    </row>
    <row r="39" spans="1:26" ht="15" customHeight="1" x14ac:dyDescent="0.2">
      <c r="A39" s="33"/>
      <c r="B39" s="16" t="s">
        <v>30</v>
      </c>
      <c r="C39" s="23">
        <v>0.87</v>
      </c>
      <c r="D39" s="33"/>
      <c r="E39" s="42" t="s">
        <v>177</v>
      </c>
      <c r="F39" s="45"/>
      <c r="G39" s="33"/>
      <c r="H39" s="33"/>
      <c r="I39" s="33"/>
      <c r="J39" s="33"/>
      <c r="K39" s="33"/>
      <c r="L39" s="33"/>
      <c r="N39" t="s">
        <v>56</v>
      </c>
      <c r="O39" t="s">
        <v>33</v>
      </c>
      <c r="P39">
        <v>37</v>
      </c>
      <c r="Q39">
        <v>379</v>
      </c>
      <c r="R39">
        <v>1143</v>
      </c>
      <c r="S39">
        <v>1587</v>
      </c>
      <c r="U39" t="s">
        <v>124</v>
      </c>
      <c r="V39">
        <v>-7709</v>
      </c>
      <c r="W39">
        <v>1398</v>
      </c>
      <c r="X39">
        <v>-25497</v>
      </c>
      <c r="Y39">
        <v>-19272</v>
      </c>
      <c r="Z39">
        <v>-27536</v>
      </c>
    </row>
    <row r="40" spans="1:26" ht="15" customHeight="1" x14ac:dyDescent="0.2">
      <c r="A40" s="33"/>
      <c r="B40" s="16" t="s">
        <v>31</v>
      </c>
      <c r="C40" s="21">
        <f>E40-C38</f>
        <v>0.17420000000000002</v>
      </c>
      <c r="E40" s="47">
        <v>0.21440000000000001</v>
      </c>
      <c r="F40" s="45"/>
      <c r="G40" s="33"/>
      <c r="H40" s="33"/>
      <c r="I40" s="33"/>
      <c r="J40" s="33"/>
      <c r="K40" s="33"/>
      <c r="L40" s="33"/>
      <c r="N40" t="s">
        <v>36</v>
      </c>
      <c r="O40">
        <v>2352</v>
      </c>
      <c r="P40">
        <v>2147</v>
      </c>
      <c r="Q40">
        <v>1904</v>
      </c>
      <c r="R40">
        <v>2386</v>
      </c>
      <c r="S40">
        <v>2476</v>
      </c>
      <c r="U40" t="s">
        <v>125</v>
      </c>
      <c r="V40">
        <v>1931</v>
      </c>
      <c r="W40">
        <v>9315</v>
      </c>
      <c r="X40">
        <v>-8280</v>
      </c>
      <c r="Y40">
        <v>-5304</v>
      </c>
      <c r="Z40">
        <v>-10126</v>
      </c>
    </row>
    <row r="41" spans="1:26" ht="15" customHeight="1" x14ac:dyDescent="0.2">
      <c r="A41" s="33"/>
      <c r="B41" s="16" t="s">
        <v>32</v>
      </c>
      <c r="C41" s="24">
        <f>C28+C35</f>
        <v>185766</v>
      </c>
      <c r="D41" s="33"/>
      <c r="E41" s="33"/>
      <c r="F41" s="46"/>
      <c r="G41" s="33"/>
      <c r="H41" s="33"/>
      <c r="I41" s="33"/>
      <c r="J41" s="33"/>
      <c r="K41" s="33"/>
      <c r="L41" s="33"/>
      <c r="N41" t="s">
        <v>57</v>
      </c>
      <c r="O41">
        <v>-2324</v>
      </c>
      <c r="P41">
        <v>-1886</v>
      </c>
      <c r="Q41">
        <v>-1302</v>
      </c>
      <c r="R41">
        <v>-880</v>
      </c>
      <c r="S41">
        <v>-413</v>
      </c>
      <c r="U41" t="s">
        <v>126</v>
      </c>
      <c r="V41">
        <v>7760</v>
      </c>
      <c r="W41">
        <v>15816</v>
      </c>
      <c r="X41">
        <v>2576</v>
      </c>
      <c r="Y41">
        <v>769</v>
      </c>
      <c r="Z41">
        <v>-714</v>
      </c>
    </row>
    <row r="42" spans="1:26" ht="15" customHeight="1" x14ac:dyDescent="0.2">
      <c r="A42" s="33"/>
      <c r="B42" s="25" t="s">
        <v>148</v>
      </c>
      <c r="C42" s="30">
        <f>(C32*C33*(1-C34))+(C36*C37)</f>
        <v>0.13419760774307463</v>
      </c>
      <c r="D42" s="33"/>
      <c r="E42" s="33"/>
      <c r="F42" s="33"/>
      <c r="G42" s="33"/>
      <c r="H42" s="33"/>
      <c r="I42" s="33"/>
      <c r="J42" s="33"/>
      <c r="K42" s="33"/>
      <c r="L42" s="33"/>
      <c r="N42" t="s">
        <v>58</v>
      </c>
      <c r="O42">
        <v>11267</v>
      </c>
      <c r="P42">
        <v>-7242</v>
      </c>
      <c r="Q42">
        <v>16032</v>
      </c>
      <c r="R42">
        <v>20526</v>
      </c>
      <c r="S42">
        <v>19535</v>
      </c>
      <c r="U42" t="s">
        <v>127</v>
      </c>
      <c r="V42">
        <v>8131</v>
      </c>
      <c r="W42">
        <v>16131</v>
      </c>
      <c r="X42">
        <v>3248</v>
      </c>
      <c r="Y42">
        <v>1108</v>
      </c>
      <c r="Z42">
        <v>670</v>
      </c>
    </row>
    <row r="43" spans="1:26" ht="15" customHeight="1" x14ac:dyDescent="0.2">
      <c r="A43" s="33"/>
      <c r="B43" s="18" t="s">
        <v>6</v>
      </c>
      <c r="C43" s="29">
        <f>AVERAGE(E22:G22,I22:K22)</f>
        <v>1.3977362176805471E-2</v>
      </c>
      <c r="D43" s="33"/>
      <c r="E43" s="33"/>
      <c r="F43" s="33"/>
      <c r="G43" s="33"/>
      <c r="H43" s="33"/>
      <c r="I43" s="33"/>
      <c r="J43" s="33"/>
      <c r="K43" s="33"/>
      <c r="L43" s="33"/>
      <c r="N43" t="s">
        <v>59</v>
      </c>
      <c r="O43">
        <v>11267</v>
      </c>
      <c r="P43">
        <v>-7242</v>
      </c>
      <c r="Q43">
        <v>16032</v>
      </c>
      <c r="R43">
        <v>20526</v>
      </c>
      <c r="S43">
        <v>200474</v>
      </c>
      <c r="U43" t="s">
        <v>128</v>
      </c>
      <c r="V43">
        <v>-371</v>
      </c>
      <c r="W43">
        <v>-315</v>
      </c>
      <c r="X43">
        <v>-672</v>
      </c>
      <c r="Y43">
        <v>-339</v>
      </c>
      <c r="Z43">
        <v>-1384</v>
      </c>
    </row>
    <row r="44" spans="1:26" ht="15" customHeight="1" x14ac:dyDescent="0.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N44" t="s">
        <v>10</v>
      </c>
      <c r="O44">
        <v>19662</v>
      </c>
      <c r="P44">
        <v>-4871</v>
      </c>
      <c r="Q44">
        <v>27857</v>
      </c>
      <c r="R44">
        <v>45672</v>
      </c>
      <c r="S44">
        <v>41160</v>
      </c>
      <c r="U44" t="s">
        <v>129</v>
      </c>
      <c r="V44">
        <v>-5829</v>
      </c>
      <c r="W44">
        <v>-6501</v>
      </c>
      <c r="X44">
        <v>-10856</v>
      </c>
      <c r="Y44">
        <v>-6073</v>
      </c>
      <c r="Z44">
        <v>-9412</v>
      </c>
    </row>
    <row r="45" spans="1:26" ht="15" customHeight="1" x14ac:dyDescent="0.2">
      <c r="A45" s="33"/>
      <c r="F45" s="33"/>
      <c r="G45" s="33"/>
      <c r="H45" s="33"/>
      <c r="I45" s="33"/>
      <c r="J45" s="33"/>
      <c r="K45" s="33"/>
      <c r="L45" s="33"/>
      <c r="N45" t="s">
        <v>34</v>
      </c>
      <c r="O45">
        <v>36063</v>
      </c>
      <c r="P45">
        <v>17990</v>
      </c>
      <c r="Q45">
        <v>42200</v>
      </c>
      <c r="R45">
        <v>59352</v>
      </c>
      <c r="S45">
        <v>53323</v>
      </c>
      <c r="U45" t="s">
        <v>130</v>
      </c>
      <c r="V45">
        <v>-2358</v>
      </c>
      <c r="W45">
        <v>-237</v>
      </c>
      <c r="X45">
        <v>-1442</v>
      </c>
      <c r="Y45">
        <v>-7341</v>
      </c>
      <c r="Z45">
        <v>-8270</v>
      </c>
    </row>
    <row r="46" spans="1:26" ht="15" customHeight="1" x14ac:dyDescent="0.2">
      <c r="C46" s="20"/>
      <c r="N46" t="s">
        <v>60</v>
      </c>
      <c r="O46">
        <v>131952</v>
      </c>
      <c r="P46">
        <v>99750</v>
      </c>
      <c r="Q46">
        <v>132178</v>
      </c>
      <c r="R46">
        <v>181669</v>
      </c>
      <c r="S46">
        <v>168610</v>
      </c>
      <c r="U46" t="s">
        <v>131</v>
      </c>
      <c r="V46">
        <v>452</v>
      </c>
      <c r="W46">
        <v>374</v>
      </c>
      <c r="X46">
        <v>381</v>
      </c>
      <c r="Y46">
        <v>370</v>
      </c>
      <c r="Z46">
        <v>382</v>
      </c>
    </row>
    <row r="47" spans="1:26" ht="15" customHeight="1" x14ac:dyDescent="0.2">
      <c r="N47" t="s">
        <v>61</v>
      </c>
      <c r="O47">
        <v>16401</v>
      </c>
      <c r="P47">
        <v>22861</v>
      </c>
      <c r="Q47">
        <v>14343</v>
      </c>
      <c r="R47">
        <v>13680</v>
      </c>
      <c r="S47">
        <v>12163</v>
      </c>
      <c r="U47" t="s">
        <v>132</v>
      </c>
      <c r="V47">
        <v>-2810</v>
      </c>
      <c r="W47">
        <v>-611</v>
      </c>
      <c r="X47">
        <v>-1823</v>
      </c>
      <c r="Y47">
        <v>-7711</v>
      </c>
      <c r="Z47">
        <v>-8652</v>
      </c>
    </row>
    <row r="48" spans="1:26" ht="15" customHeight="1" x14ac:dyDescent="0.2">
      <c r="N48" t="s">
        <v>62</v>
      </c>
      <c r="O48">
        <v>11267</v>
      </c>
      <c r="P48">
        <v>-7242</v>
      </c>
      <c r="Q48">
        <v>16032</v>
      </c>
      <c r="R48">
        <v>20526</v>
      </c>
      <c r="S48">
        <v>19535</v>
      </c>
      <c r="U48" t="s">
        <v>133</v>
      </c>
      <c r="V48">
        <v>-6641</v>
      </c>
      <c r="W48">
        <v>-6688</v>
      </c>
      <c r="X48">
        <v>-8228</v>
      </c>
      <c r="Y48">
        <v>-9986</v>
      </c>
      <c r="Z48">
        <v>-9919</v>
      </c>
    </row>
    <row r="49" spans="14:26" ht="15" customHeight="1" x14ac:dyDescent="0.2">
      <c r="N49" t="s">
        <v>63</v>
      </c>
      <c r="O49">
        <v>567</v>
      </c>
      <c r="P49">
        <v>1495</v>
      </c>
      <c r="Q49">
        <v>182</v>
      </c>
      <c r="R49">
        <v>-854</v>
      </c>
      <c r="S49">
        <v>-854</v>
      </c>
      <c r="U49" t="s">
        <v>134</v>
      </c>
      <c r="V49">
        <v>-6641</v>
      </c>
      <c r="W49">
        <v>-6688</v>
      </c>
      <c r="X49" t="s">
        <v>33</v>
      </c>
      <c r="Y49">
        <v>-9986</v>
      </c>
      <c r="Z49">
        <v>-9919</v>
      </c>
    </row>
    <row r="50" spans="14:26" ht="15" customHeight="1" x14ac:dyDescent="0.2">
      <c r="N50" t="s">
        <v>64</v>
      </c>
      <c r="O50">
        <v>567</v>
      </c>
      <c r="P50">
        <v>1495</v>
      </c>
      <c r="Q50">
        <v>182</v>
      </c>
      <c r="R50">
        <v>-854</v>
      </c>
      <c r="S50">
        <v>-854</v>
      </c>
      <c r="U50" t="s">
        <v>135</v>
      </c>
      <c r="V50">
        <v>-641</v>
      </c>
      <c r="W50">
        <v>-992</v>
      </c>
      <c r="X50">
        <v>-7547</v>
      </c>
      <c r="Y50">
        <v>3359</v>
      </c>
      <c r="Z50">
        <v>779</v>
      </c>
    </row>
    <row r="51" spans="14:26" ht="15" customHeight="1" x14ac:dyDescent="0.2">
      <c r="N51" t="s">
        <v>65</v>
      </c>
      <c r="O51">
        <v>36063</v>
      </c>
      <c r="P51">
        <v>17990</v>
      </c>
      <c r="Q51">
        <v>42200</v>
      </c>
      <c r="R51">
        <v>59352</v>
      </c>
      <c r="S51">
        <v>54177</v>
      </c>
      <c r="U51" t="s">
        <v>136</v>
      </c>
      <c r="V51">
        <v>27352</v>
      </c>
      <c r="W51">
        <v>31268</v>
      </c>
      <c r="X51">
        <v>21342</v>
      </c>
      <c r="Y51">
        <v>33026</v>
      </c>
      <c r="Z51">
        <v>25220</v>
      </c>
    </row>
    <row r="52" spans="14:26" ht="15" customHeight="1" x14ac:dyDescent="0.2">
      <c r="N52" t="s">
        <v>66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137</v>
      </c>
      <c r="V52">
        <v>-201</v>
      </c>
      <c r="W52">
        <v>3122</v>
      </c>
      <c r="X52">
        <v>-8743</v>
      </c>
      <c r="Y52">
        <v>12979</v>
      </c>
      <c r="Z52">
        <v>-7628</v>
      </c>
    </row>
    <row r="53" spans="14:26" ht="15" customHeight="1" x14ac:dyDescent="0.2">
      <c r="N53" t="s">
        <v>67</v>
      </c>
      <c r="O53">
        <v>0</v>
      </c>
      <c r="P53">
        <v>0</v>
      </c>
      <c r="Q53">
        <v>0</v>
      </c>
      <c r="R53">
        <v>0</v>
      </c>
      <c r="S53">
        <v>-3416</v>
      </c>
      <c r="U53" t="s">
        <v>138</v>
      </c>
      <c r="V53">
        <v>-354</v>
      </c>
      <c r="W53">
        <v>794</v>
      </c>
      <c r="X53">
        <v>-1183</v>
      </c>
      <c r="Y53">
        <v>-1295</v>
      </c>
      <c r="Z53">
        <v>352</v>
      </c>
    </row>
    <row r="54" spans="14:26" ht="15" customHeight="1" x14ac:dyDescent="0.2">
      <c r="U54" t="s">
        <v>139</v>
      </c>
      <c r="V54">
        <v>27907</v>
      </c>
      <c r="W54">
        <v>27352</v>
      </c>
      <c r="X54">
        <v>31268</v>
      </c>
      <c r="Y54">
        <v>21342</v>
      </c>
      <c r="Z54">
        <v>32848</v>
      </c>
    </row>
    <row r="55" spans="14:26" ht="15" customHeight="1" x14ac:dyDescent="0.2">
      <c r="U55" t="s">
        <v>140</v>
      </c>
      <c r="V55" t="s">
        <v>33</v>
      </c>
      <c r="W55" t="s">
        <v>33</v>
      </c>
      <c r="X55">
        <v>4508</v>
      </c>
      <c r="Y55">
        <v>14486</v>
      </c>
      <c r="Z55" t="s">
        <v>33</v>
      </c>
    </row>
    <row r="56" spans="14:26" ht="15" customHeight="1" x14ac:dyDescent="0.2">
      <c r="U56" t="s">
        <v>141</v>
      </c>
      <c r="V56" t="s">
        <v>33</v>
      </c>
      <c r="W56" t="s">
        <v>33</v>
      </c>
      <c r="X56">
        <v>1886</v>
      </c>
      <c r="Y56">
        <v>2292</v>
      </c>
      <c r="Z56" t="s">
        <v>33</v>
      </c>
    </row>
    <row r="57" spans="14:26" ht="15" customHeight="1" x14ac:dyDescent="0.2">
      <c r="U57" t="s">
        <v>142</v>
      </c>
      <c r="V57">
        <v>-11810</v>
      </c>
      <c r="W57">
        <v>-10764</v>
      </c>
      <c r="X57">
        <v>-12343</v>
      </c>
      <c r="Y57">
        <v>-15690</v>
      </c>
      <c r="Z57">
        <v>-15921</v>
      </c>
    </row>
    <row r="58" spans="14:26" ht="15" customHeight="1" x14ac:dyDescent="0.2">
      <c r="U58" t="s">
        <v>143</v>
      </c>
      <c r="V58">
        <v>452</v>
      </c>
      <c r="W58">
        <v>374</v>
      </c>
      <c r="X58">
        <v>381</v>
      </c>
      <c r="Y58">
        <v>370</v>
      </c>
      <c r="Z58">
        <v>382</v>
      </c>
    </row>
    <row r="59" spans="14:26" ht="15" customHeight="1" x14ac:dyDescent="0.2">
      <c r="U59" t="s">
        <v>144</v>
      </c>
      <c r="V59">
        <v>8131</v>
      </c>
      <c r="W59">
        <v>16131</v>
      </c>
      <c r="X59">
        <v>3248</v>
      </c>
      <c r="Y59">
        <v>1108</v>
      </c>
      <c r="Z59">
        <v>670</v>
      </c>
    </row>
    <row r="60" spans="14:26" ht="15" customHeight="1" x14ac:dyDescent="0.2">
      <c r="U60" t="s">
        <v>145</v>
      </c>
      <c r="V60">
        <v>-371</v>
      </c>
      <c r="W60">
        <v>-315</v>
      </c>
      <c r="X60">
        <v>-672</v>
      </c>
      <c r="Y60">
        <v>-339</v>
      </c>
      <c r="Z60">
        <v>-1384</v>
      </c>
    </row>
    <row r="61" spans="14:26" ht="15" customHeight="1" x14ac:dyDescent="0.2">
      <c r="U61" t="s">
        <v>146</v>
      </c>
      <c r="V61">
        <v>-2810</v>
      </c>
      <c r="W61">
        <v>-611</v>
      </c>
      <c r="X61">
        <v>-1823</v>
      </c>
      <c r="Y61">
        <v>-7711</v>
      </c>
      <c r="Z61">
        <v>-8652</v>
      </c>
    </row>
    <row r="62" spans="14:26" ht="15" customHeight="1" x14ac:dyDescent="0.2">
      <c r="U62" t="s">
        <v>147</v>
      </c>
      <c r="V62">
        <v>12875</v>
      </c>
      <c r="W62">
        <v>4039</v>
      </c>
      <c r="X62">
        <v>18067</v>
      </c>
      <c r="Y62">
        <v>31677</v>
      </c>
      <c r="Z62">
        <v>22578</v>
      </c>
    </row>
  </sheetData>
  <pageMargins left="0.7" right="0.7" top="0.75" bottom="0.75" header="0.3" footer="0.3"/>
  <pageSetup paperSize="9" scale="55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FF04-4261-40E9-8867-CFBF0DCA1268}">
  <dimension ref="A1:AE34"/>
  <sheetViews>
    <sheetView tabSelected="1" view="pageBreakPreview" zoomScaleNormal="94" zoomScaleSheetLayoutView="100" workbookViewId="0">
      <selection activeCell="S32" sqref="S32"/>
    </sheetView>
  </sheetViews>
  <sheetFormatPr baseColWidth="10" defaultColWidth="10.83203125" defaultRowHeight="15" customHeight="1" x14ac:dyDescent="0.2"/>
  <cols>
    <col min="1" max="1" width="5.83203125" style="33" customWidth="1"/>
    <col min="2" max="14" width="10.83203125" style="33" customWidth="1"/>
    <col min="15" max="15" width="5.83203125" style="33" customWidth="1"/>
    <col min="16" max="16384" width="10.83203125" style="33"/>
  </cols>
  <sheetData>
    <row r="1" spans="1:17" ht="15" customHeight="1" x14ac:dyDescent="0.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7" ht="24" x14ac:dyDescent="0.2">
      <c r="A2" s="43"/>
      <c r="B2" s="35" t="s">
        <v>178</v>
      </c>
      <c r="C2" s="43"/>
      <c r="D2" s="43"/>
      <c r="E2" s="43"/>
      <c r="F2" s="43"/>
      <c r="G2" s="43"/>
      <c r="H2" s="34" t="s">
        <v>40</v>
      </c>
      <c r="I2" s="43"/>
      <c r="J2" s="43"/>
      <c r="K2" s="43"/>
      <c r="L2" s="43"/>
      <c r="M2" s="43"/>
      <c r="N2" s="43"/>
      <c r="O2" s="43"/>
      <c r="P2" s="43"/>
    </row>
    <row r="3" spans="1:17" ht="15" customHeight="1" x14ac:dyDescent="0.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</row>
    <row r="4" spans="1:17" ht="15" customHeight="1" x14ac:dyDescent="0.2">
      <c r="A4" s="43"/>
      <c r="B4" s="43"/>
      <c r="C4" s="43"/>
      <c r="D4" s="43"/>
      <c r="E4" s="110" t="s">
        <v>164</v>
      </c>
      <c r="F4" s="111" t="s">
        <v>165</v>
      </c>
      <c r="G4" s="112" t="s">
        <v>24</v>
      </c>
      <c r="H4" s="43"/>
      <c r="I4" s="43"/>
      <c r="J4" s="43"/>
      <c r="K4" s="43"/>
      <c r="L4" s="43"/>
      <c r="M4" s="43"/>
      <c r="N4" s="43"/>
      <c r="O4" s="43"/>
      <c r="P4" s="43"/>
    </row>
    <row r="5" spans="1:17" ht="15" customHeight="1" thickBot="1" x14ac:dyDescent="0.25">
      <c r="A5" s="44"/>
      <c r="B5" s="117">
        <v>45205</v>
      </c>
      <c r="C5" s="116" t="s">
        <v>182</v>
      </c>
      <c r="D5" s="96">
        <f>D8</f>
        <v>60.34</v>
      </c>
      <c r="E5" s="113">
        <v>7.69</v>
      </c>
      <c r="F5" s="114">
        <v>41772</v>
      </c>
      <c r="G5" s="115">
        <v>60766</v>
      </c>
      <c r="H5" s="43"/>
      <c r="I5" s="43"/>
      <c r="J5" s="43"/>
      <c r="K5" s="43"/>
      <c r="L5" s="43"/>
      <c r="M5" s="43"/>
      <c r="N5" s="43"/>
      <c r="O5" s="43"/>
      <c r="P5" s="43"/>
    </row>
    <row r="6" spans="1:17" ht="15" customHeight="1" thickBot="1" x14ac:dyDescent="0.25">
      <c r="A6" s="44"/>
      <c r="B6" s="43"/>
      <c r="C6" s="43"/>
      <c r="D6" s="44"/>
      <c r="E6" s="44"/>
      <c r="F6" s="44"/>
      <c r="G6" s="44"/>
      <c r="H6" s="165" t="s">
        <v>183</v>
      </c>
      <c r="I6" s="166"/>
      <c r="J6" s="167"/>
      <c r="K6" s="165" t="s">
        <v>184</v>
      </c>
      <c r="L6" s="167"/>
      <c r="M6" s="165" t="s">
        <v>185</v>
      </c>
      <c r="N6" s="167"/>
      <c r="O6" s="43"/>
      <c r="P6" s="43"/>
    </row>
    <row r="7" spans="1:17" ht="16" thickBot="1" x14ac:dyDescent="0.25">
      <c r="A7" s="44"/>
      <c r="B7" s="50" t="s">
        <v>2</v>
      </c>
      <c r="C7" s="51" t="s">
        <v>180</v>
      </c>
      <c r="D7" s="52" t="s">
        <v>23</v>
      </c>
      <c r="E7" s="52" t="s">
        <v>181</v>
      </c>
      <c r="F7" s="52" t="s">
        <v>20</v>
      </c>
      <c r="G7" s="52" t="s">
        <v>179</v>
      </c>
      <c r="H7" s="53">
        <v>2021</v>
      </c>
      <c r="I7" s="52">
        <v>2022</v>
      </c>
      <c r="J7" s="54">
        <v>2023</v>
      </c>
      <c r="K7" s="53">
        <v>2022</v>
      </c>
      <c r="L7" s="54">
        <v>2023</v>
      </c>
      <c r="M7" s="52">
        <v>2022</v>
      </c>
      <c r="N7" s="54">
        <v>2023</v>
      </c>
      <c r="O7" s="43"/>
      <c r="P7" s="43"/>
    </row>
    <row r="8" spans="1:17" ht="15" customHeight="1" thickBot="1" x14ac:dyDescent="0.25">
      <c r="A8" s="44"/>
      <c r="B8" s="97" t="s">
        <v>3</v>
      </c>
      <c r="C8" s="55" t="s">
        <v>39</v>
      </c>
      <c r="D8" s="56">
        <v>60.34</v>
      </c>
      <c r="E8" s="57">
        <v>2412</v>
      </c>
      <c r="F8" s="58">
        <v>308585</v>
      </c>
      <c r="G8" s="58">
        <v>147610</v>
      </c>
      <c r="H8" s="59">
        <v>184634</v>
      </c>
      <c r="I8" s="58">
        <v>263310</v>
      </c>
      <c r="J8" s="60">
        <v>238682</v>
      </c>
      <c r="K8" s="59">
        <v>59352</v>
      </c>
      <c r="L8" s="60">
        <v>53323</v>
      </c>
      <c r="M8" s="58">
        <v>19535</v>
      </c>
      <c r="N8" s="60">
        <v>20526</v>
      </c>
      <c r="O8" s="43"/>
      <c r="P8" s="43"/>
    </row>
    <row r="9" spans="1:17" ht="15" customHeight="1" x14ac:dyDescent="0.2">
      <c r="A9" s="44"/>
      <c r="B9" s="98" t="s">
        <v>173</v>
      </c>
      <c r="C9" s="61" t="s">
        <v>168</v>
      </c>
      <c r="D9" s="62">
        <v>107.27</v>
      </c>
      <c r="E9" s="63">
        <v>3990</v>
      </c>
      <c r="F9" s="64">
        <v>436490</v>
      </c>
      <c r="G9" s="64">
        <v>424520</v>
      </c>
      <c r="H9" s="65">
        <v>285640</v>
      </c>
      <c r="I9" s="64">
        <v>398675</v>
      </c>
      <c r="J9" s="66">
        <v>364115</v>
      </c>
      <c r="K9" s="65">
        <v>102591</v>
      </c>
      <c r="L9" s="66">
        <v>92739</v>
      </c>
      <c r="M9" s="64">
        <v>55740</v>
      </c>
      <c r="N9" s="66">
        <v>51720</v>
      </c>
      <c r="O9" s="43"/>
      <c r="P9" s="43"/>
    </row>
    <row r="10" spans="1:17" ht="15" customHeight="1" x14ac:dyDescent="0.2">
      <c r="A10" s="44"/>
      <c r="B10" s="99" t="s">
        <v>174</v>
      </c>
      <c r="C10" s="67" t="s">
        <v>169</v>
      </c>
      <c r="D10" s="68">
        <v>66.36</v>
      </c>
      <c r="E10" s="69">
        <v>3320</v>
      </c>
      <c r="F10" s="70">
        <v>254730</v>
      </c>
      <c r="G10" s="70">
        <v>215460</v>
      </c>
      <c r="H10" s="71">
        <v>261504</v>
      </c>
      <c r="I10" s="70">
        <v>381314</v>
      </c>
      <c r="J10" s="72">
        <v>358589</v>
      </c>
      <c r="K10" s="71">
        <v>70480</v>
      </c>
      <c r="L10" s="72">
        <v>90388</v>
      </c>
      <c r="M10" s="70">
        <v>42309</v>
      </c>
      <c r="N10" s="72">
        <v>28996</v>
      </c>
      <c r="O10" s="43"/>
      <c r="P10" s="43"/>
    </row>
    <row r="11" spans="1:17" ht="15" customHeight="1" x14ac:dyDescent="0.2">
      <c r="A11" s="44"/>
      <c r="B11" s="99" t="s">
        <v>175</v>
      </c>
      <c r="C11" s="67" t="s">
        <v>170</v>
      </c>
      <c r="D11" s="68">
        <v>161.93</v>
      </c>
      <c r="E11" s="69">
        <v>1910</v>
      </c>
      <c r="F11" s="70">
        <v>319220</v>
      </c>
      <c r="G11" s="70">
        <v>307310</v>
      </c>
      <c r="H11" s="71">
        <v>155606</v>
      </c>
      <c r="I11" s="70">
        <v>235717</v>
      </c>
      <c r="J11" s="72">
        <v>214089</v>
      </c>
      <c r="K11" s="71">
        <v>66490</v>
      </c>
      <c r="L11" s="72">
        <v>51683</v>
      </c>
      <c r="M11" s="70">
        <v>35465</v>
      </c>
      <c r="N11" s="72">
        <v>30168</v>
      </c>
      <c r="O11" s="43"/>
      <c r="P11" s="43"/>
    </row>
    <row r="12" spans="1:17" ht="15" customHeight="1" x14ac:dyDescent="0.2">
      <c r="A12" s="44"/>
      <c r="B12" s="99" t="s">
        <v>171</v>
      </c>
      <c r="C12" s="67" t="s">
        <v>171</v>
      </c>
      <c r="D12" s="68">
        <v>39.15</v>
      </c>
      <c r="E12" s="69">
        <v>2850</v>
      </c>
      <c r="F12" s="70">
        <v>140360</v>
      </c>
      <c r="G12" s="70">
        <v>109240</v>
      </c>
      <c r="H12" s="71">
        <v>157739</v>
      </c>
      <c r="I12" s="70">
        <v>241392</v>
      </c>
      <c r="J12" s="72">
        <v>228988</v>
      </c>
      <c r="K12" s="71">
        <v>32811</v>
      </c>
      <c r="L12" s="72">
        <v>52493</v>
      </c>
      <c r="M12" s="70">
        <v>-2487</v>
      </c>
      <c r="N12" s="72">
        <v>18650</v>
      </c>
      <c r="O12" s="43"/>
      <c r="P12" s="43"/>
    </row>
    <row r="13" spans="1:17" ht="15" customHeight="1" thickBot="1" x14ac:dyDescent="0.25">
      <c r="A13" s="44"/>
      <c r="B13" s="100" t="s">
        <v>176</v>
      </c>
      <c r="C13" s="73" t="s">
        <v>172</v>
      </c>
      <c r="D13" s="74">
        <v>32.159999999999997</v>
      </c>
      <c r="E13" s="75">
        <v>1630</v>
      </c>
      <c r="F13" s="76">
        <v>66890</v>
      </c>
      <c r="G13" s="76">
        <v>52300</v>
      </c>
      <c r="H13" s="77">
        <v>76575</v>
      </c>
      <c r="I13" s="76">
        <v>133440</v>
      </c>
      <c r="J13" s="78">
        <v>115603</v>
      </c>
      <c r="K13" s="77">
        <v>32207</v>
      </c>
      <c r="L13" s="78">
        <v>32004</v>
      </c>
      <c r="M13" s="76">
        <v>13887</v>
      </c>
      <c r="N13" s="78">
        <v>9171</v>
      </c>
      <c r="O13" s="43"/>
      <c r="P13" s="43"/>
    </row>
    <row r="14" spans="1:17" ht="15" customHeight="1" thickBot="1" x14ac:dyDescent="0.25">
      <c r="A14" s="44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95"/>
      <c r="N14" s="95"/>
      <c r="O14" s="43"/>
      <c r="P14" s="43"/>
    </row>
    <row r="15" spans="1:17" ht="15" customHeight="1" x14ac:dyDescent="0.2">
      <c r="A15" s="44"/>
      <c r="B15" s="44"/>
      <c r="C15" s="165" t="s">
        <v>154</v>
      </c>
      <c r="D15" s="167"/>
      <c r="E15" s="165" t="s">
        <v>155</v>
      </c>
      <c r="F15" s="167"/>
      <c r="G15" s="165" t="s">
        <v>156</v>
      </c>
      <c r="H15" s="167"/>
      <c r="I15" s="165" t="s">
        <v>157</v>
      </c>
      <c r="J15" s="167"/>
      <c r="K15" s="165" t="s">
        <v>158</v>
      </c>
      <c r="L15" s="167"/>
      <c r="M15" s="165" t="s">
        <v>159</v>
      </c>
      <c r="N15" s="167"/>
      <c r="O15" s="43"/>
      <c r="P15" s="43"/>
    </row>
    <row r="16" spans="1:17" ht="15" customHeight="1" thickBot="1" x14ac:dyDescent="0.25">
      <c r="A16" s="44"/>
      <c r="B16" s="44"/>
      <c r="C16" s="48">
        <v>2022</v>
      </c>
      <c r="D16" s="49">
        <v>2023</v>
      </c>
      <c r="E16" s="48">
        <v>2022</v>
      </c>
      <c r="F16" s="49">
        <v>2023</v>
      </c>
      <c r="G16" s="48">
        <v>2022</v>
      </c>
      <c r="H16" s="49">
        <v>2023</v>
      </c>
      <c r="I16" s="48">
        <v>2022</v>
      </c>
      <c r="J16" s="49">
        <v>2023</v>
      </c>
      <c r="K16" s="48">
        <v>2022</v>
      </c>
      <c r="L16" s="49">
        <v>2023</v>
      </c>
      <c r="M16" s="48">
        <v>2022</v>
      </c>
      <c r="N16" s="49">
        <v>2023</v>
      </c>
      <c r="O16" s="43"/>
      <c r="P16" s="43"/>
      <c r="Q16" s="47"/>
    </row>
    <row r="17" spans="1:31" ht="15" customHeight="1" thickBot="1" x14ac:dyDescent="0.25">
      <c r="A17" s="44"/>
      <c r="B17" s="97" t="s">
        <v>3</v>
      </c>
      <c r="C17" s="79">
        <f t="shared" ref="C17:D22" si="0">I8/H8-1</f>
        <v>0.42611869969778038</v>
      </c>
      <c r="D17" s="80">
        <f t="shared" si="0"/>
        <v>-9.3532338308457752E-2</v>
      </c>
      <c r="E17" s="79">
        <f t="shared" ref="E17:F22" si="1">K8/I8</f>
        <v>0.22540731457217728</v>
      </c>
      <c r="F17" s="80">
        <f t="shared" si="1"/>
        <v>0.22340603815955959</v>
      </c>
      <c r="G17" s="79">
        <f t="shared" ref="G17:H22" si="2">M8/I8</f>
        <v>7.4190118111731415E-2</v>
      </c>
      <c r="H17" s="80">
        <f t="shared" si="2"/>
        <v>8.599726833192281E-2</v>
      </c>
      <c r="I17" s="81">
        <f t="shared" ref="I17:L22" si="3">$F8/I8</f>
        <v>1.1719456154342789</v>
      </c>
      <c r="J17" s="82">
        <f t="shared" si="3"/>
        <v>1.2928708490795284</v>
      </c>
      <c r="K17" s="81">
        <f t="shared" si="3"/>
        <v>5.1992350721121445</v>
      </c>
      <c r="L17" s="82">
        <f t="shared" si="3"/>
        <v>5.7870899986872457</v>
      </c>
      <c r="M17" s="81">
        <f t="shared" ref="M17:N22" si="4">$G8/M8</f>
        <v>7.556181213207064</v>
      </c>
      <c r="N17" s="82">
        <f t="shared" si="4"/>
        <v>7.1913670466725126</v>
      </c>
      <c r="O17" s="44"/>
      <c r="P17" s="44"/>
      <c r="Q17" s="161"/>
      <c r="R17" s="4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</row>
    <row r="18" spans="1:31" ht="15" customHeight="1" x14ac:dyDescent="0.2">
      <c r="A18" s="44"/>
      <c r="B18" s="98" t="s">
        <v>173</v>
      </c>
      <c r="C18" s="83">
        <f t="shared" si="0"/>
        <v>0.39572538860103634</v>
      </c>
      <c r="D18" s="84">
        <f t="shared" si="0"/>
        <v>-8.6687151188311273E-2</v>
      </c>
      <c r="E18" s="83">
        <f t="shared" si="1"/>
        <v>0.25732990531134381</v>
      </c>
      <c r="F18" s="84">
        <f t="shared" si="1"/>
        <v>0.25469700506708043</v>
      </c>
      <c r="G18" s="83">
        <f t="shared" si="2"/>
        <v>0.13981313099642567</v>
      </c>
      <c r="H18" s="84">
        <f t="shared" si="2"/>
        <v>0.14204303585405709</v>
      </c>
      <c r="I18" s="85">
        <f t="shared" si="3"/>
        <v>1.0948516962438075</v>
      </c>
      <c r="J18" s="86">
        <f t="shared" si="3"/>
        <v>1.1987696194883484</v>
      </c>
      <c r="K18" s="85">
        <f t="shared" si="3"/>
        <v>4.2546617149652501</v>
      </c>
      <c r="L18" s="86">
        <f t="shared" si="3"/>
        <v>4.7066498452646677</v>
      </c>
      <c r="M18" s="85">
        <f t="shared" si="4"/>
        <v>7.616074632221026</v>
      </c>
      <c r="N18" s="86">
        <f t="shared" si="4"/>
        <v>8.2080433101314778</v>
      </c>
      <c r="O18" s="43"/>
      <c r="P18" s="43"/>
      <c r="S18" s="44"/>
      <c r="T18" s="44"/>
      <c r="U18" s="44"/>
      <c r="AE18" s="94"/>
    </row>
    <row r="19" spans="1:31" ht="15" customHeight="1" x14ac:dyDescent="0.2">
      <c r="A19" s="44"/>
      <c r="B19" s="99" t="s">
        <v>174</v>
      </c>
      <c r="C19" s="83">
        <f t="shared" si="0"/>
        <v>0.45815742780225155</v>
      </c>
      <c r="D19" s="84">
        <f t="shared" si="0"/>
        <v>-5.959655297209121E-2</v>
      </c>
      <c r="E19" s="83">
        <f t="shared" si="1"/>
        <v>0.18483454580739234</v>
      </c>
      <c r="F19" s="84">
        <f t="shared" si="1"/>
        <v>0.25206573542412064</v>
      </c>
      <c r="G19" s="83">
        <f t="shared" si="2"/>
        <v>0.11095580020665384</v>
      </c>
      <c r="H19" s="84">
        <f t="shared" si="2"/>
        <v>8.0861376115831773E-2</v>
      </c>
      <c r="I19" s="85">
        <f t="shared" si="3"/>
        <v>0.66803212050960625</v>
      </c>
      <c r="J19" s="86">
        <f t="shared" si="3"/>
        <v>0.71036757959669705</v>
      </c>
      <c r="K19" s="85">
        <f t="shared" si="3"/>
        <v>3.6142167990919409</v>
      </c>
      <c r="L19" s="86">
        <f t="shared" si="3"/>
        <v>2.8181838297119088</v>
      </c>
      <c r="M19" s="85">
        <f t="shared" si="4"/>
        <v>5.0925335035098911</v>
      </c>
      <c r="N19" s="86">
        <f t="shared" si="4"/>
        <v>7.4306800938060418</v>
      </c>
      <c r="O19" s="43"/>
      <c r="P19" s="43"/>
      <c r="T19" s="44"/>
      <c r="U19" s="44"/>
    </row>
    <row r="20" spans="1:31" ht="15" customHeight="1" x14ac:dyDescent="0.2">
      <c r="A20" s="44"/>
      <c r="B20" s="99" t="s">
        <v>175</v>
      </c>
      <c r="C20" s="83">
        <f t="shared" si="0"/>
        <v>0.51483233294345987</v>
      </c>
      <c r="D20" s="84">
        <f t="shared" si="0"/>
        <v>-9.1754094952846033E-2</v>
      </c>
      <c r="E20" s="83">
        <f t="shared" si="1"/>
        <v>0.28207553973620908</v>
      </c>
      <c r="F20" s="84">
        <f t="shared" si="1"/>
        <v>0.24140894674644658</v>
      </c>
      <c r="G20" s="83">
        <f t="shared" si="2"/>
        <v>0.15045584323574457</v>
      </c>
      <c r="H20" s="84">
        <f t="shared" si="2"/>
        <v>0.1409133584630691</v>
      </c>
      <c r="I20" s="85">
        <f t="shared" si="3"/>
        <v>1.35425107226038</v>
      </c>
      <c r="J20" s="86">
        <f t="shared" si="3"/>
        <v>1.4910621283671743</v>
      </c>
      <c r="K20" s="85">
        <f t="shared" si="3"/>
        <v>4.8010227101819822</v>
      </c>
      <c r="L20" s="86">
        <f t="shared" si="3"/>
        <v>6.1764990422382597</v>
      </c>
      <c r="M20" s="85">
        <f t="shared" si="4"/>
        <v>8.665162836599464</v>
      </c>
      <c r="N20" s="86">
        <f t="shared" si="4"/>
        <v>10.186621585786263</v>
      </c>
      <c r="O20" s="43"/>
      <c r="P20" s="43"/>
      <c r="T20" s="94"/>
      <c r="U20" s="94"/>
    </row>
    <row r="21" spans="1:31" ht="15" customHeight="1" x14ac:dyDescent="0.2">
      <c r="A21" s="44"/>
      <c r="B21" s="99" t="s">
        <v>171</v>
      </c>
      <c r="C21" s="83">
        <f t="shared" si="0"/>
        <v>0.53032541096368058</v>
      </c>
      <c r="D21" s="84">
        <f t="shared" si="0"/>
        <v>-5.1385298601444918E-2</v>
      </c>
      <c r="E21" s="83">
        <f t="shared" si="1"/>
        <v>0.13592413998806921</v>
      </c>
      <c r="F21" s="84">
        <f t="shared" si="1"/>
        <v>0.22923908676437194</v>
      </c>
      <c r="G21" s="83">
        <f t="shared" si="2"/>
        <v>-1.0302744084310997E-2</v>
      </c>
      <c r="H21" s="84">
        <f t="shared" si="2"/>
        <v>8.1445315911750832E-2</v>
      </c>
      <c r="I21" s="85">
        <f t="shared" si="3"/>
        <v>0.58146086034334199</v>
      </c>
      <c r="J21" s="86">
        <f t="shared" si="3"/>
        <v>0.61295788425594355</v>
      </c>
      <c r="K21" s="85">
        <f t="shared" si="3"/>
        <v>4.2778336533479626</v>
      </c>
      <c r="L21" s="86">
        <f t="shared" si="3"/>
        <v>2.6738803269007296</v>
      </c>
      <c r="M21" s="85">
        <f t="shared" si="4"/>
        <v>-43.924406915963004</v>
      </c>
      <c r="N21" s="86">
        <f t="shared" si="4"/>
        <v>5.8573726541554958</v>
      </c>
      <c r="O21" s="43"/>
      <c r="P21" s="43"/>
      <c r="T21" s="94"/>
      <c r="U21" s="94"/>
    </row>
    <row r="22" spans="1:31" ht="15" customHeight="1" thickBot="1" x14ac:dyDescent="0.25">
      <c r="A22" s="44"/>
      <c r="B22" s="100" t="s">
        <v>176</v>
      </c>
      <c r="C22" s="87">
        <f t="shared" si="0"/>
        <v>0.74260528893241928</v>
      </c>
      <c r="D22" s="88">
        <f t="shared" si="0"/>
        <v>-0.13367056354916063</v>
      </c>
      <c r="E22" s="87">
        <f t="shared" si="1"/>
        <v>0.24135941247002399</v>
      </c>
      <c r="F22" s="88">
        <f t="shared" si="1"/>
        <v>0.27684402653910367</v>
      </c>
      <c r="G22" s="87">
        <f t="shared" si="2"/>
        <v>0.10406924460431655</v>
      </c>
      <c r="H22" s="88">
        <f t="shared" si="2"/>
        <v>7.933185124953504E-2</v>
      </c>
      <c r="I22" s="89">
        <f t="shared" si="3"/>
        <v>0.50127398081534769</v>
      </c>
      <c r="J22" s="90">
        <f t="shared" si="3"/>
        <v>0.57861820194977642</v>
      </c>
      <c r="K22" s="89">
        <f t="shared" si="3"/>
        <v>2.0768776973949761</v>
      </c>
      <c r="L22" s="90">
        <f t="shared" si="3"/>
        <v>2.0900512435945506</v>
      </c>
      <c r="M22" s="89">
        <f t="shared" si="4"/>
        <v>3.7661121912580109</v>
      </c>
      <c r="N22" s="90">
        <f t="shared" si="4"/>
        <v>5.7027586958892158</v>
      </c>
      <c r="O22" s="43"/>
      <c r="P22" s="43"/>
      <c r="T22" s="94"/>
      <c r="U22" s="94"/>
    </row>
    <row r="23" spans="1:31" ht="15" customHeight="1" x14ac:dyDescent="0.2">
      <c r="A23" s="44"/>
      <c r="B23" s="91"/>
      <c r="C23" s="92"/>
      <c r="D23" s="92"/>
      <c r="E23" s="92"/>
      <c r="F23" s="92"/>
      <c r="G23" s="92"/>
      <c r="H23" s="92"/>
      <c r="I23" s="93"/>
      <c r="J23" s="93"/>
      <c r="K23" s="93"/>
      <c r="L23" s="93"/>
      <c r="M23" s="93"/>
      <c r="N23" s="93"/>
      <c r="O23" s="43"/>
      <c r="P23" s="43"/>
      <c r="T23" s="94"/>
      <c r="U23" s="94"/>
    </row>
    <row r="24" spans="1:31" ht="15" customHeight="1" x14ac:dyDescent="0.2">
      <c r="A24" s="43"/>
      <c r="B24" s="101" t="s">
        <v>160</v>
      </c>
      <c r="C24" s="102">
        <f t="shared" ref="C24:N24" si="5">AVERAGE(C18:C22)</f>
        <v>0.52832916984856948</v>
      </c>
      <c r="D24" s="102">
        <f t="shared" si="5"/>
        <v>-8.4618732252770806E-2</v>
      </c>
      <c r="E24" s="102">
        <f t="shared" si="5"/>
        <v>0.22030470866260768</v>
      </c>
      <c r="F24" s="102">
        <f t="shared" si="5"/>
        <v>0.25085096010822461</v>
      </c>
      <c r="G24" s="102">
        <f t="shared" si="5"/>
        <v>9.8998254991765927E-2</v>
      </c>
      <c r="H24" s="102">
        <f t="shared" si="5"/>
        <v>0.10491898751884876</v>
      </c>
      <c r="I24" s="103">
        <f t="shared" si="5"/>
        <v>0.8399739460344966</v>
      </c>
      <c r="J24" s="103">
        <f t="shared" si="5"/>
        <v>0.91835508273158806</v>
      </c>
      <c r="K24" s="103">
        <f t="shared" si="5"/>
        <v>3.8049225149964223</v>
      </c>
      <c r="L24" s="103">
        <f t="shared" si="5"/>
        <v>3.6930528575420234</v>
      </c>
      <c r="M24" s="103">
        <f t="shared" si="5"/>
        <v>-3.7569047504749227</v>
      </c>
      <c r="N24" s="104">
        <f t="shared" si="5"/>
        <v>7.4770952679536986</v>
      </c>
      <c r="O24" s="43"/>
      <c r="P24" s="43"/>
    </row>
    <row r="25" spans="1:31" ht="15" customHeight="1" x14ac:dyDescent="0.2">
      <c r="A25" s="43"/>
      <c r="B25" s="105" t="s">
        <v>161</v>
      </c>
      <c r="C25" s="106">
        <f t="shared" ref="C25:N25" si="6">MEDIAN(C18:C22)</f>
        <v>0.51483233294345987</v>
      </c>
      <c r="D25" s="106">
        <f t="shared" si="6"/>
        <v>-8.6687151188311273E-2</v>
      </c>
      <c r="E25" s="106">
        <f t="shared" si="6"/>
        <v>0.24135941247002399</v>
      </c>
      <c r="F25" s="106">
        <f t="shared" si="6"/>
        <v>0.25206573542412064</v>
      </c>
      <c r="G25" s="106">
        <f t="shared" si="6"/>
        <v>0.11095580020665384</v>
      </c>
      <c r="H25" s="106">
        <f t="shared" si="6"/>
        <v>8.1445315911750832E-2</v>
      </c>
      <c r="I25" s="107">
        <f t="shared" si="6"/>
        <v>0.66803212050960625</v>
      </c>
      <c r="J25" s="107">
        <f t="shared" si="6"/>
        <v>0.71036757959669705</v>
      </c>
      <c r="K25" s="107">
        <f t="shared" si="6"/>
        <v>4.2546617149652501</v>
      </c>
      <c r="L25" s="107">
        <f t="shared" si="6"/>
        <v>2.8181838297119088</v>
      </c>
      <c r="M25" s="107">
        <f t="shared" si="6"/>
        <v>5.0925335035098911</v>
      </c>
      <c r="N25" s="108">
        <f t="shared" si="6"/>
        <v>7.4306800938060418</v>
      </c>
      <c r="O25" s="43"/>
      <c r="P25" s="43"/>
    </row>
    <row r="26" spans="1:31" ht="15" customHeight="1" thickBo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31" ht="15" customHeight="1" thickBot="1" x14ac:dyDescent="0.25">
      <c r="A27" s="43"/>
      <c r="B27" s="125"/>
      <c r="C27" s="162" t="s">
        <v>162</v>
      </c>
      <c r="D27" s="164"/>
      <c r="E27" s="163"/>
      <c r="F27" s="162" t="s">
        <v>20</v>
      </c>
      <c r="G27" s="163"/>
      <c r="H27" s="164" t="s">
        <v>21</v>
      </c>
      <c r="I27" s="164"/>
      <c r="J27" s="163"/>
      <c r="K27" s="139"/>
      <c r="L27" s="162" t="s">
        <v>4</v>
      </c>
      <c r="M27" s="164"/>
      <c r="N27" s="163"/>
      <c r="O27" s="43"/>
      <c r="P27" s="43"/>
      <c r="Q27" s="43"/>
    </row>
    <row r="28" spans="1:31" ht="15" customHeight="1" x14ac:dyDescent="0.2">
      <c r="A28" s="43"/>
      <c r="B28" s="43"/>
      <c r="C28" s="142" t="s">
        <v>8</v>
      </c>
      <c r="D28" s="143" t="s">
        <v>34</v>
      </c>
      <c r="E28" s="144" t="s">
        <v>163</v>
      </c>
      <c r="F28" s="142" t="s">
        <v>8</v>
      </c>
      <c r="G28" s="147" t="s">
        <v>34</v>
      </c>
      <c r="H28" s="143" t="s">
        <v>8</v>
      </c>
      <c r="I28" s="143" t="s">
        <v>34</v>
      </c>
      <c r="J28" s="147" t="s">
        <v>38</v>
      </c>
      <c r="K28" s="138"/>
      <c r="L28" s="142" t="s">
        <v>8</v>
      </c>
      <c r="M28" s="143" t="s">
        <v>34</v>
      </c>
      <c r="N28" s="147" t="s">
        <v>38</v>
      </c>
      <c r="O28" s="43"/>
      <c r="P28" s="43"/>
      <c r="Q28" s="43"/>
    </row>
    <row r="29" spans="1:31" ht="15" customHeight="1" thickBot="1" x14ac:dyDescent="0.25">
      <c r="A29" s="43"/>
      <c r="B29" s="148" t="s">
        <v>166</v>
      </c>
      <c r="C29" s="126">
        <f>MIN(J18:J22)</f>
        <v>0.57861820194977642</v>
      </c>
      <c r="D29" s="127">
        <f>MIN(L18:L22)</f>
        <v>2.0900512435945506</v>
      </c>
      <c r="E29" s="128">
        <f>MIN(N18:N22)</f>
        <v>5.7027586958892158</v>
      </c>
      <c r="F29" s="145">
        <f>C29*$J$8</f>
        <v>138105.74967777653</v>
      </c>
      <c r="G29" s="146">
        <f>D29*$L$8</f>
        <v>111447.80246219222</v>
      </c>
      <c r="H29" s="64">
        <f>F29+F$5-G$5</f>
        <v>119111.74967777653</v>
      </c>
      <c r="I29" s="64">
        <f>G29+G$5-F$5</f>
        <v>130441.80246219222</v>
      </c>
      <c r="J29" s="146">
        <f>E$5*E$8*E29</f>
        <v>105776.36506378803</v>
      </c>
      <c r="K29" s="140"/>
      <c r="L29" s="158">
        <f>H29/E$8</f>
        <v>49.382980795098064</v>
      </c>
      <c r="M29" s="62">
        <f>I29/E$8</f>
        <v>54.08034927951585</v>
      </c>
      <c r="N29" s="159">
        <f>J29/E$8</f>
        <v>43.854214371388075</v>
      </c>
      <c r="O29" s="43"/>
      <c r="P29" s="43"/>
      <c r="Q29" s="43"/>
    </row>
    <row r="30" spans="1:31" ht="15" customHeight="1" x14ac:dyDescent="0.2">
      <c r="A30" s="43"/>
      <c r="B30" s="149" t="s">
        <v>160</v>
      </c>
      <c r="C30" s="132">
        <f>J24</f>
        <v>0.91835508273158806</v>
      </c>
      <c r="D30" s="133">
        <f>L24</f>
        <v>3.6930528575420234</v>
      </c>
      <c r="E30" s="134">
        <f>N24</f>
        <v>7.4770952679536986</v>
      </c>
      <c r="F30" s="120">
        <f t="shared" ref="F30:F32" si="7">C30*$J$8</f>
        <v>219194.82785654091</v>
      </c>
      <c r="G30" s="121">
        <f t="shared" ref="G30:G32" si="8">D30*$L$8</f>
        <v>196924.6575227133</v>
      </c>
      <c r="H30" s="109">
        <f>F30+F$5-G$5</f>
        <v>200200.82785654091</v>
      </c>
      <c r="I30" s="109">
        <f>G30+G$5-F$5</f>
        <v>215918.6575227133</v>
      </c>
      <c r="J30" s="121">
        <f>E$5*E$8*E30</f>
        <v>138687.25661668024</v>
      </c>
      <c r="K30" s="138"/>
      <c r="L30" s="160">
        <f t="shared" ref="L30:L32" si="9">H30/E$8</f>
        <v>83.002001598897564</v>
      </c>
      <c r="M30" s="141">
        <f t="shared" ref="M30:M32" si="10">I30/E$8</f>
        <v>89.51851472749307</v>
      </c>
      <c r="N30" s="154">
        <f t="shared" ref="N30:N32" si="11">J30/E$8</f>
        <v>57.498862610563947</v>
      </c>
      <c r="O30" s="43"/>
      <c r="P30" s="43"/>
      <c r="Q30" s="43"/>
    </row>
    <row r="31" spans="1:31" ht="15" customHeight="1" thickBot="1" x14ac:dyDescent="0.25">
      <c r="A31" s="43"/>
      <c r="B31" s="150" t="s">
        <v>161</v>
      </c>
      <c r="C31" s="135">
        <f>J25</f>
        <v>0.71036757959669705</v>
      </c>
      <c r="D31" s="136">
        <f>L25</f>
        <v>2.8181838297119088</v>
      </c>
      <c r="E31" s="137">
        <f>N25</f>
        <v>7.4306800938060418</v>
      </c>
      <c r="F31" s="118">
        <f t="shared" si="7"/>
        <v>169551.95463329885</v>
      </c>
      <c r="G31" s="119">
        <f t="shared" si="8"/>
        <v>150274.01635172812</v>
      </c>
      <c r="H31" s="70">
        <f>F31+F$5-G$5</f>
        <v>150557.95463329885</v>
      </c>
      <c r="I31" s="70">
        <f>G31+G$5-F$5</f>
        <v>169268.01635172812</v>
      </c>
      <c r="J31" s="119">
        <f>E$5*E$8*E31</f>
        <v>137826.33497034074</v>
      </c>
      <c r="K31" s="140"/>
      <c r="L31" s="152">
        <f t="shared" si="9"/>
        <v>62.420379201201847</v>
      </c>
      <c r="M31" s="68">
        <f t="shared" si="10"/>
        <v>70.177452882142674</v>
      </c>
      <c r="N31" s="153">
        <f t="shared" si="11"/>
        <v>57.141929921368465</v>
      </c>
      <c r="O31" s="43"/>
      <c r="P31" s="43"/>
      <c r="Q31" s="43"/>
    </row>
    <row r="32" spans="1:31" ht="15" customHeight="1" thickBot="1" x14ac:dyDescent="0.25">
      <c r="A32" s="43"/>
      <c r="B32" s="151" t="s">
        <v>167</v>
      </c>
      <c r="C32" s="129">
        <f>MAX(J18:J22)</f>
        <v>1.4910621283671743</v>
      </c>
      <c r="D32" s="130">
        <f>MAX(L18:L22)</f>
        <v>6.1764990422382597</v>
      </c>
      <c r="E32" s="131">
        <f>MAX(N18:N22)</f>
        <v>10.186621585786263</v>
      </c>
      <c r="F32" s="122">
        <f t="shared" si="7"/>
        <v>355889.69092293392</v>
      </c>
      <c r="G32" s="123">
        <f t="shared" si="8"/>
        <v>329349.45842927071</v>
      </c>
      <c r="H32" s="124">
        <f>F32+F$5-G$5</f>
        <v>336895.69092293392</v>
      </c>
      <c r="I32" s="124">
        <f>G32+G$5-F$5</f>
        <v>348343.45842927071</v>
      </c>
      <c r="J32" s="123">
        <f>E$5*E$8*E32</f>
        <v>188944.30942720766</v>
      </c>
      <c r="K32" s="138"/>
      <c r="L32" s="155">
        <f t="shared" si="9"/>
        <v>139.67483039922632</v>
      </c>
      <c r="M32" s="156">
        <f t="shared" si="10"/>
        <v>144.42100266553513</v>
      </c>
      <c r="N32" s="157">
        <f t="shared" si="11"/>
        <v>78.33511999469637</v>
      </c>
      <c r="O32" s="43"/>
      <c r="P32" s="43"/>
      <c r="Q32" s="43"/>
    </row>
    <row r="33" spans="1:16" ht="15" customHeight="1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</row>
    <row r="34" spans="1:16" ht="15" customHeight="1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</sheetData>
  <mergeCells count="13">
    <mergeCell ref="F27:G27"/>
    <mergeCell ref="C27:E27"/>
    <mergeCell ref="H27:J27"/>
    <mergeCell ref="L27:N27"/>
    <mergeCell ref="H6:J6"/>
    <mergeCell ref="K6:L6"/>
    <mergeCell ref="M6:N6"/>
    <mergeCell ref="C15:D15"/>
    <mergeCell ref="E15:F15"/>
    <mergeCell ref="G15:H15"/>
    <mergeCell ref="I15:J15"/>
    <mergeCell ref="K15:L15"/>
    <mergeCell ref="M15:N15"/>
  </mergeCells>
  <conditionalFormatting sqref="B23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C22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D22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E22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2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2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:H22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:I22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:J22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:K22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:L22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:M22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:N22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scale="51" orientation="portrait" horizontalDpi="0" verticalDpi="0"/>
  <colBreaks count="1" manualBreakCount="1">
    <brk id="15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</vt:lpstr>
      <vt:lpstr>CCA</vt:lpstr>
      <vt:lpstr>CCA!Print_Area</vt:lpstr>
      <vt:lpstr>DCF!Print_Area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Amann, Guillaume J</cp:lastModifiedBy>
  <cp:revision/>
  <dcterms:created xsi:type="dcterms:W3CDTF">2023-10-05T12:49:53Z</dcterms:created>
  <dcterms:modified xsi:type="dcterms:W3CDTF">2023-10-18T13:18:27Z</dcterms:modified>
  <cp:category/>
  <cp:contentStatus/>
</cp:coreProperties>
</file>