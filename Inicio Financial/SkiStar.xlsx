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filterPrivacy="1"/>
  <xr:revisionPtr revIDLastSave="0" documentId="13_ncr:1_{BC534EF4-EFDB-1F4C-9DBB-78BF926820DD}" xr6:coauthVersionLast="47" xr6:coauthVersionMax="47" xr10:uidLastSave="{00000000-0000-0000-0000-000000000000}"/>
  <bookViews>
    <workbookView xWindow="0" yWindow="500" windowWidth="28800" windowHeight="15900" xr2:uid="{A4D559A1-935A-384C-89CE-626CDE6E2AEE}"/>
  </bookViews>
  <sheets>
    <sheet name="Key Stats" sheetId="1" r:id="rId1"/>
    <sheet name="Income Statement" sheetId="2" r:id="rId2"/>
    <sheet name="Balance Sheet" sheetId="3" r:id="rId3"/>
    <sheet name="Cash Flow" sheetId="4" r:id="rId4"/>
    <sheet name="Multiples" sheetId="5" r:id="rId5"/>
    <sheet name="Historical Capitalization" sheetId="6" r:id="rId6"/>
    <sheet name="Capital Structure Summary" sheetId="7" r:id="rId7"/>
    <sheet name="Capital Structure Details" sheetId="8" r:id="rId8"/>
    <sheet name="Ratios" sheetId="9" r:id="rId9"/>
    <sheet name="Supplemental" sheetId="10" r:id="rId10"/>
    <sheet name="Industry Specific" sheetId="11" r:id="rId11"/>
    <sheet name="Pension OPEB" sheetId="12" r:id="rId12"/>
    <sheet name="Segments" sheetId="13" r:id="rId13"/>
  </sheets>
  <definedNames>
    <definedName name="fcff">'Key Stats'!$J$35</definedName>
    <definedName name="_xlnm.Print_Area" localSheetId="0">'Key Stats'!$A$1:$K$69</definedName>
    <definedName name="_xlnm.Print_Titles" localSheetId="2">'Balance Sheet'!$1:$3</definedName>
    <definedName name="_xlnm.Print_Titles" localSheetId="7">'Capital Structure Details'!$1:$3</definedName>
    <definedName name="_xlnm.Print_Titles" localSheetId="6">'Capital Structure Summary'!$1:$3</definedName>
    <definedName name="_xlnm.Print_Titles" localSheetId="3">'Cash Flow'!$1:$3</definedName>
    <definedName name="_xlnm.Print_Titles" localSheetId="5">'Historical Capitalization'!$1:$3</definedName>
    <definedName name="_xlnm.Print_Titles" localSheetId="1">'Income Statement'!$1:$3</definedName>
    <definedName name="_xlnm.Print_Titles" localSheetId="10">'Industry Specific'!$1:$3</definedName>
    <definedName name="_xlnm.Print_Titles" localSheetId="0">'Key Stats'!$2:$4</definedName>
    <definedName name="_xlnm.Print_Titles" localSheetId="4">Multiples!$1:$3</definedName>
    <definedName name="_xlnm.Print_Titles" localSheetId="11">'Pension OPEB'!$1:$3</definedName>
    <definedName name="_xlnm.Print_Titles" localSheetId="8">Ratios!$1:$3</definedName>
    <definedName name="_xlnm.Print_Titles" localSheetId="12">Segments!$1:$3</definedName>
    <definedName name="_xlnm.Print_Titles" localSheetId="9">Supplemental!$1:$3</definedName>
    <definedName name="tgr">'Key Stats'!$J$47</definedName>
    <definedName name="wacc">'Key Stats'!$J$48</definedName>
  </definedNames>
  <calcPr calcId="191029" iterateDelta="9.9999999999994451E-4"/>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2" i="1" l="1"/>
  <c r="J32" i="1" s="1"/>
  <c r="H32" i="1"/>
  <c r="G32" i="1"/>
  <c r="I26" i="1"/>
  <c r="J26" i="1" s="1"/>
  <c r="H26" i="1"/>
  <c r="G26" i="1"/>
  <c r="J24" i="1"/>
  <c r="I24" i="1"/>
  <c r="H24" i="1"/>
  <c r="G23" i="1"/>
  <c r="G24" i="1" s="1"/>
  <c r="H23" i="1"/>
  <c r="I23" i="1" s="1"/>
  <c r="G52" i="1"/>
  <c r="H33" i="1" l="1"/>
  <c r="I33" i="1"/>
  <c r="G33" i="1"/>
  <c r="J33" i="1"/>
  <c r="H27" i="1"/>
  <c r="G27" i="1"/>
  <c r="J23" i="1"/>
  <c r="J27" i="1" l="1"/>
  <c r="I27" i="1"/>
  <c r="G35" i="1"/>
  <c r="C35" i="1" a="1"/>
  <c r="C35" i="1" s="1"/>
  <c r="G55" i="1"/>
  <c r="G54" i="1"/>
  <c r="G51" i="1" s="1"/>
  <c r="G50" i="1"/>
  <c r="G49" i="1"/>
  <c r="G47" i="1"/>
  <c r="G46" i="1"/>
  <c r="H17" i="1"/>
  <c r="I17" i="1"/>
  <c r="J17" i="1" s="1"/>
  <c r="J18" i="1" s="1"/>
  <c r="H18" i="1"/>
  <c r="G17" i="1"/>
  <c r="G18" i="1" s="1"/>
  <c r="H35" i="1" l="1"/>
  <c r="I35" i="1" s="1"/>
  <c r="I18" i="1"/>
  <c r="J48" i="1"/>
  <c r="G57" i="1" s="1"/>
  <c r="G58" i="1" s="1"/>
  <c r="J35" i="1" l="1"/>
  <c r="G59" i="1" s="1"/>
  <c r="G60" i="1" s="1"/>
  <c r="G6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<sst xmlns="http://schemas.openxmlformats.org/spreadsheetml/2006/main" count="1600" uniqueCount="622">
  <si>
    <t>SkiStar AB (publ) (OM:SKIS B) &gt; Financials &gt; Key Stats</t>
  </si>
  <si>
    <t>In Millions of the trading currency, except per share items.</t>
  </si>
  <si>
    <t>Currency:</t>
  </si>
  <si>
    <t>Trading Currency</t>
  </si>
  <si>
    <t> </t>
  </si>
  <si>
    <t>Conversion:</t>
  </si>
  <si>
    <t>Historical</t>
  </si>
  <si>
    <t>Order:</t>
  </si>
  <si>
    <t>Latest on Right</t>
  </si>
  <si>
    <t>Units:</t>
  </si>
  <si>
    <t>S&amp;P Capital IQ (Default)</t>
  </si>
  <si>
    <t>Decimals:</t>
  </si>
  <si>
    <t>Capital IQ (Default)</t>
  </si>
  <si>
    <t>Dilution:</t>
  </si>
  <si>
    <t>Basic</t>
  </si>
  <si>
    <t>Key Financials¹</t>
  </si>
  <si>
    <t xml:space="preserve">For the Fiscal Period Ending
</t>
  </si>
  <si>
    <t>12 months
Aug-31-2020A</t>
  </si>
  <si>
    <t>12 months
Aug-31-2021A</t>
  </si>
  <si>
    <t>12 months
Aug-31-2022A</t>
  </si>
  <si>
    <t>12 months
Aug-31-2023A</t>
  </si>
  <si>
    <t>12 months
Aug-31-2025E</t>
  </si>
  <si>
    <t>12 months
Aug-31-2026E</t>
  </si>
  <si>
    <t>Currency</t>
  </si>
  <si>
    <t>SEK</t>
  </si>
  <si>
    <t>Total Revenue</t>
  </si>
  <si>
    <t xml:space="preserve">  Growth Over Prior Year</t>
  </si>
  <si>
    <t>Gross Profit</t>
  </si>
  <si>
    <t>-</t>
  </si>
  <si>
    <t xml:space="preserve">  Margin %</t>
  </si>
  <si>
    <t>EBITDA</t>
  </si>
  <si>
    <t>EBIT</t>
  </si>
  <si>
    <t>Earnings from Cont. Ops.</t>
  </si>
  <si>
    <t>Net Income</t>
  </si>
  <si>
    <t xml:space="preserve"> </t>
  </si>
  <si>
    <t>¹All results are taken from the most recently filed statement for each period. When there has been more than one, earlier filings can be viewed on the individual statement pages.</t>
  </si>
  <si>
    <t>²Growth rates for the LTM period are calculated against the LTM period ending 12 months before.</t>
  </si>
  <si>
    <t>³All forward period figures are consensus mean estimates provided by the brokers and may not be on a comparable basis as financials.</t>
  </si>
  <si>
    <t>†Growth rates for forward periods are calculated against prior period estimates or actual pro forma results as disclosed on the Estimates Consensus page.</t>
  </si>
  <si>
    <t>Growth Rates are calculated in originally reported currency only and will not reflect any currency conversion selected above.</t>
  </si>
  <si>
    <t>Current Capitalization (Millions of SEK)</t>
  </si>
  <si>
    <t>Share Price</t>
  </si>
  <si>
    <t>Shares Out.</t>
  </si>
  <si>
    <t>Market Capitalization</t>
  </si>
  <si>
    <t>Class B Shares Shares Out</t>
  </si>
  <si>
    <t>* Class B Shares Share Price</t>
  </si>
  <si>
    <t>= Class B Shares Market Capitalization</t>
  </si>
  <si>
    <t>+ Class A Shares Shares Out</t>
  </si>
  <si>
    <t>* Class A Shares Share Price</t>
  </si>
  <si>
    <t>= Class A Shares Market Capitalization</t>
  </si>
  <si>
    <t>- Cash &amp; Short Term Investments</t>
  </si>
  <si>
    <t>+ Total Debt</t>
  </si>
  <si>
    <t>+ Pref. Equity</t>
  </si>
  <si>
    <t>+ Total Minority Interest</t>
  </si>
  <si>
    <t>- Long Term Marketable Securities</t>
  </si>
  <si>
    <t>= Total Enterprise Value (TEV)</t>
  </si>
  <si>
    <t>Book Value of Common Equity</t>
  </si>
  <si>
    <t>= Total Capital</t>
  </si>
  <si>
    <t>**For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</si>
  <si>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Total Liability includes Total Debt, Minority Interest and Pref. Equity.</t>
  </si>
  <si>
    <t>Net Liability includes Total Liability, net of Cash and Short Term Investments.</t>
  </si>
  <si>
    <t>TEV includes Market Cap and Net Liability.</t>
  </si>
  <si>
    <t>Total Capital includes Common Equity and Total Liability.</t>
  </si>
  <si>
    <t>Valuation Multiples based on Current Capitalization</t>
  </si>
  <si>
    <t>LTM
12 months
May-31-2024A</t>
  </si>
  <si>
    <t>12 months
Aug-31-2024E</t>
  </si>
  <si>
    <t>TEV/Total Revenue</t>
  </si>
  <si>
    <t>TEV/EBITDA</t>
  </si>
  <si>
    <t>TEV/EBIT</t>
  </si>
  <si>
    <t>P/Diluted EPS Before Extra</t>
  </si>
  <si>
    <t>P/BV</t>
  </si>
  <si>
    <t>Price/Tang BV</t>
  </si>
  <si>
    <t xml:space="preserve">
               </t>
  </si>
  <si>
    <t>SkiStar AB (publ) (OM:SKIS B) &gt; Financials &gt; Income Statement</t>
  </si>
  <si>
    <t>In Millions of the reported currency, except per share items.</t>
  </si>
  <si>
    <t>Template:</t>
  </si>
  <si>
    <t>Standard</t>
  </si>
  <si>
    <t>Restatement:</t>
  </si>
  <si>
    <t>Latest Filings</t>
  </si>
  <si>
    <t>Period Type:</t>
  </si>
  <si>
    <t>Annual</t>
  </si>
  <si>
    <t>Order:</t>
  </si>
  <si>
    <t>Currency:</t>
  </si>
  <si>
    <t>Reported Currency</t>
  </si>
  <si>
    <t>Conversion:</t>
  </si>
  <si>
    <t>Units:</t>
  </si>
  <si>
    <t>Decimals:</t>
  </si>
  <si>
    <t>Source:</t>
  </si>
  <si>
    <t>Capital IQ &amp; Proprietary Data</t>
  </si>
  <si>
    <t>Income Statement</t>
  </si>
  <si>
    <t>12 months
Aug-31-2019</t>
  </si>
  <si>
    <t>Reclassified
12 months
Aug-31-2020</t>
  </si>
  <si>
    <t>Reclassified
12 months
Aug-31-2021</t>
  </si>
  <si>
    <t>12 months
Aug-31-2022</t>
  </si>
  <si>
    <t>12 months
Aug-31-2023</t>
  </si>
  <si>
    <t>LTM
12 months
May-31-2024</t>
  </si>
  <si>
    <t>Revenue</t>
  </si>
  <si>
    <t>Other Revenue</t>
  </si>
  <si>
    <t xml:space="preserve">  Total Revenue</t>
  </si>
  <si>
    <t>Cost Of Goods Sold</t>
  </si>
  <si>
    <t xml:space="preserve">  Gross Profit</t>
  </si>
  <si>
    <t>Selling General &amp; Admin Exp.</t>
  </si>
  <si>
    <t>R &amp; D Exp.</t>
  </si>
  <si>
    <t>Depreciation &amp; Amort.</t>
  </si>
  <si>
    <t>Other Operating Expense/(Income)</t>
  </si>
  <si>
    <t xml:space="preserve">  Other Operating Exp., Total</t>
  </si>
  <si>
    <t xml:space="preserve">  Operating Income</t>
  </si>
  <si>
    <t>Interest Expense</t>
  </si>
  <si>
    <t>Interest and Invest. Income</t>
  </si>
  <si>
    <t xml:space="preserve">  Net Interest Exp.</t>
  </si>
  <si>
    <t>Income/(Loss) from Affiliates</t>
  </si>
  <si>
    <t>Currency Exchange Gains (Loss)</t>
  </si>
  <si>
    <t>Other Non-Operating Inc. (Exp.)</t>
  </si>
  <si>
    <t xml:space="preserve">  EBT Excl. Unusual Items</t>
  </si>
  <si>
    <t>Impairment of Goodwill</t>
  </si>
  <si>
    <t>Gain (Loss) On Sale Of Invest.</t>
  </si>
  <si>
    <t>Gain (Loss) On Sale Of Assets</t>
  </si>
  <si>
    <t>Asset Writedown</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</si>
  <si>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</si>
  <si>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</si>
  <si>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</si>
  <si>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</si>
  <si>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</si>
  <si>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</si>
  <si>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</si>
  <si>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</si>
  <si>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</si>
  <si>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</si>
  <si>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</si>
  <si>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</si>
  <si>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</si>
  <si>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</si>
  <si>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</si>
  <si>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</si>
  <si>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</si>
  <si>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</si>
  <si>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</si>
  <si>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</si>
  <si>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</si>
  <si>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</si>
  <si>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NA</t>
  </si>
  <si>
    <t>Payout Ratio %</t>
  </si>
  <si>
    <t>Supplemental Items</t>
  </si>
  <si>
    <t>EBITA</t>
  </si>
  <si>
    <t>EBITDAR</t>
  </si>
  <si>
    <t>As Reported Total Revenue*</t>
  </si>
  <si>
    <t>Effective Tax Rate %</t>
  </si>
  <si>
    <t>Total Current Taxes</t>
  </si>
  <si>
    <t>Total Deferred Taxes</t>
  </si>
  <si>
    <t>Normalized Net Income</t>
  </si>
  <si>
    <t>Interest on Long Term Debt</t>
  </si>
  <si>
    <t>Filing Date</t>
  </si>
  <si>
    <t>Restatement Type</t>
  </si>
  <si>
    <t>NC</t>
  </si>
  <si>
    <t>RC</t>
  </si>
  <si>
    <t>O</t>
  </si>
  <si>
    <t>Calculation Type</t>
  </si>
  <si>
    <t>REP</t>
  </si>
  <si>
    <t>LTM</t>
  </si>
  <si>
    <t>Supplemental Operating Expense Items</t>
  </si>
  <si>
    <t>Net Rental Exp.</t>
  </si>
  <si>
    <t>Imputed Oper. Lease Interest Exp.</t>
  </si>
  <si>
    <t>Imputed Oper. Lease Depreciation</t>
  </si>
  <si>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</si>
  <si>
    <t>Note: For multiple class companies, per share items are primary class equivalent, and for foreign companies listed as primary ADRs, per share items are ADR-equivalent.</t>
  </si>
  <si>
    <t>SkiStar AB (publ) (OM:SKIS B) &gt; Financials &gt; Balance Sheet</t>
  </si>
  <si>
    <t>In Millions of the reported currency, except per share items.</t>
  </si>
  <si>
    <t>Template:</t>
  </si>
  <si>
    <t>Restatement:</t>
  </si>
  <si>
    <t>Period Type:</t>
  </si>
  <si>
    <t>Order:</t>
  </si>
  <si>
    <t>Currency:</t>
  </si>
  <si>
    <t>Conversion:</t>
  </si>
  <si>
    <t>Units:</t>
  </si>
  <si>
    <t>Decimals:</t>
  </si>
  <si>
    <t>Source:</t>
  </si>
  <si>
    <t>Balance Sheet</t>
  </si>
  <si>
    <t xml:space="preserve">Balance Sheet as of:
</t>
  </si>
  <si>
    <t>Restated
Aug-31-2020</t>
  </si>
  <si>
    <t>Restated
Aug-31-2021</t>
  </si>
  <si>
    <t>ASSETS</t>
  </si>
  <si>
    <t>Cash And Equivalents</t>
  </si>
  <si>
    <t xml:space="preserve">  Total Cash &amp; ST Investments</t>
  </si>
  <si>
    <t>Accounts Receivable</t>
  </si>
  <si>
    <t>Other Receivables</t>
  </si>
  <si>
    <t>Notes Receivable</t>
  </si>
  <si>
    <t xml:space="preserve">  Total Receivables</t>
  </si>
  <si>
    <t>Inventory</t>
  </si>
  <si>
    <t>Prepaid Exp.</t>
  </si>
  <si>
    <t>Other Current Assets</t>
  </si>
  <si>
    <t xml:space="preserve">  Total Current Assets</t>
  </si>
  <si>
    <t>Gross Property, Plant &amp; Equipment</t>
  </si>
  <si>
    <t>Accumulated Depreciation</t>
  </si>
  <si>
    <t xml:space="preserve">  Net Property, Plant &amp; Equipment</t>
  </si>
  <si>
    <t>Long-term Investments</t>
  </si>
  <si>
    <t>Goodwill</t>
  </si>
  <si>
    <t>Other Intangibles</t>
  </si>
  <si>
    <t>Loans Receivable Long-Term</t>
  </si>
  <si>
    <t>Other Long-Term Assets</t>
  </si>
  <si>
    <t>Total Assets</t>
  </si>
  <si>
    <t>LIABILITIES</t>
  </si>
  <si>
    <t>Accounts Payable</t>
  </si>
  <si>
    <t>Accrued Exp.</t>
  </si>
  <si>
    <t>Curr. Port. of LT Debt</t>
  </si>
  <si>
    <t>Curr. Port. of Leases</t>
  </si>
  <si>
    <t>Curr. Income Taxes Payable</t>
  </si>
  <si>
    <t>Other Current Liabilities</t>
  </si>
  <si>
    <t xml:space="preserve">  Total Current Liabilities</t>
  </si>
  <si>
    <t>Long-Term Debt</t>
  </si>
  <si>
    <t>Long-Term Leases</t>
  </si>
  <si>
    <t>Pension &amp; Other Post-Retire. Benefits</t>
  </si>
  <si>
    <t>Def. Tax Liability, Non-Curr.</t>
  </si>
  <si>
    <t>Other Non-Current Liabilities</t>
  </si>
  <si>
    <t>Total Liabilities</t>
  </si>
  <si>
    <t>Common Stock</t>
  </si>
  <si>
    <t>Additional Paid In Capital</t>
  </si>
  <si>
    <t>Retained Earnings</t>
  </si>
  <si>
    <t>Treasury Stock</t>
  </si>
  <si>
    <t>Comprehensive Inc. and Other</t>
  </si>
  <si>
    <t xml:space="preserve">  Total Common Equity</t>
  </si>
  <si>
    <t>Minority Interest</t>
  </si>
  <si>
    <t>Total Equity</t>
  </si>
  <si>
    <t>Total Liabilities And Equity</t>
  </si>
  <si>
    <t>Total Shares Out. on Filing Date</t>
  </si>
  <si>
    <t>Total Shares Out. on Balance Sheet Date</t>
  </si>
  <si>
    <t>Book Value/Share</t>
  </si>
  <si>
    <t>Tangible Book Value</t>
  </si>
  <si>
    <t>Tangible Book Value/Share</t>
  </si>
  <si>
    <t>Total Debt</t>
  </si>
  <si>
    <t>Net Debt</t>
  </si>
  <si>
    <t>Debt Equiv. of Unfunded Proj. Benefit Obligation</t>
  </si>
  <si>
    <t>Debt Equivalent Oper. Leases</t>
  </si>
  <si>
    <t>Total Minority Interest</t>
  </si>
  <si>
    <t>Equity Method Investments</t>
  </si>
  <si>
    <t>Inventory Method</t>
  </si>
  <si>
    <t>FIFO</t>
  </si>
  <si>
    <t>Finished Goods Inventory</t>
  </si>
  <si>
    <t>Other Inventory Accounts</t>
  </si>
  <si>
    <t>Land</t>
  </si>
  <si>
    <t>Buildings</t>
  </si>
  <si>
    <t>Machinery</t>
  </si>
  <si>
    <t>Construction in Progress</t>
  </si>
  <si>
    <t>Full Time Employees</t>
  </si>
  <si>
    <t>Accum. Allowance for Doubtful Accts</t>
  </si>
  <si>
    <t>RS</t>
  </si>
  <si>
    <t>Note: For multiple class companies, total share counts are primary class equivalent, and for foreign companies listed as primary ADRs, total share counts are ADR-equivalent.</t>
  </si>
  <si>
    <t>SkiStar AB (publ) (OM:SKIS B) &gt; Financials &gt; Cash Flow</t>
  </si>
  <si>
    <t>In Millions of the reported currency, except per share items.</t>
  </si>
  <si>
    <t>Template:</t>
  </si>
  <si>
    <t>Restatement:</t>
  </si>
  <si>
    <t>Period Type:</t>
  </si>
  <si>
    <t>Order:</t>
  </si>
  <si>
    <t>Currency:</t>
  </si>
  <si>
    <t>Conversion:</t>
  </si>
  <si>
    <t>Units:</t>
  </si>
  <si>
    <t>Decimals:</t>
  </si>
  <si>
    <t>Source:</t>
  </si>
  <si>
    <t>Cash Flow</t>
  </si>
  <si>
    <t>12 months
Aug-31-2020</t>
  </si>
  <si>
    <t>12 months
Aug-31-2021</t>
  </si>
  <si>
    <t>Amort. of Goodwill and Intangibles</t>
  </si>
  <si>
    <t>Depreciation &amp; Amort., Total</t>
  </si>
  <si>
    <t>Other Amortization</t>
  </si>
  <si>
    <t>(Gain) Loss From Sale Of Assets</t>
  </si>
  <si>
    <t>Asset Writedown &amp; Restructuring Costs</t>
  </si>
  <si>
    <t>(Income) Loss on Equity Invest.</t>
  </si>
  <si>
    <t>Other Operating Activities</t>
  </si>
  <si>
    <t>Change in Acc. Receivable</t>
  </si>
  <si>
    <t>Change In Inventories</t>
  </si>
  <si>
    <t>Change in Other Net Operating Assets</t>
  </si>
  <si>
    <t xml:space="preserve">  Cash from Ops.</t>
  </si>
  <si>
    <t>Capital Expenditure</t>
  </si>
  <si>
    <t>Sale of Property, Plant, and Equipment</t>
  </si>
  <si>
    <t>Cash Acquisitions</t>
  </si>
  <si>
    <t>Divestitures</t>
  </si>
  <si>
    <t>Sale (Purchase) of Intangible assets</t>
  </si>
  <si>
    <t>Invest. in Marketable &amp; Equity Securt.</t>
  </si>
  <si>
    <t>Net (Inc.) Dec. in Loans Originated/Sold</t>
  </si>
  <si>
    <t>Other Investing Activities</t>
  </si>
  <si>
    <t xml:space="preserve">  Cash from Investing</t>
  </si>
  <si>
    <t>Short Term Debt Issued</t>
  </si>
  <si>
    <t>Long-Term Debt Issued</t>
  </si>
  <si>
    <t>Total Debt Issued</t>
  </si>
  <si>
    <t>Short Term Debt Repaid</t>
  </si>
  <si>
    <t>Long-Term Debt Repaid</t>
  </si>
  <si>
    <t>Total Debt Repaid</t>
  </si>
  <si>
    <t>Common Dividends Paid</t>
  </si>
  <si>
    <t>Total Dividends Paid</t>
  </si>
  <si>
    <t>Special Dividend Paid</t>
  </si>
  <si>
    <t>Other Financing Activities</t>
  </si>
  <si>
    <t xml:space="preserve">  Cash from Financing</t>
  </si>
  <si>
    <t>Foreign Exchange Rate Adj.</t>
  </si>
  <si>
    <t>Misc. Cash Flow Adj.</t>
  </si>
  <si>
    <t xml:space="preserve">  Net Change in Cash</t>
  </si>
  <si>
    <t>Cash Interest Paid</t>
  </si>
  <si>
    <t>Cash Taxes Paid</t>
  </si>
  <si>
    <t>Levered Free Cash Flow</t>
  </si>
  <si>
    <t>Unlevered Free Cash Flow</t>
  </si>
  <si>
    <t>Change in Net Working Capital</t>
  </si>
  <si>
    <t>Net Debt Issued</t>
  </si>
  <si>
    <t>SkiStar AB (publ) (OM:SKIS B) &gt; Financials &gt; Multiples</t>
  </si>
  <si>
    <t>View:</t>
  </si>
  <si>
    <t>Data</t>
  </si>
  <si>
    <t>Frequency:</t>
  </si>
  <si>
    <t>Quarterly</t>
  </si>
  <si>
    <t>Order:</t>
  </si>
  <si>
    <t>Decimals:</t>
  </si>
  <si>
    <t>Dilution:</t>
  </si>
  <si>
    <t>Multiples Detail
                     In Millions of the reported currency, except per share items.</t>
  </si>
  <si>
    <t>For Quarter Ending</t>
  </si>
  <si>
    <t>TEV/LTM Total Revenue</t>
  </si>
  <si>
    <t>Average</t>
  </si>
  <si>
    <t>High</t>
  </si>
  <si>
    <t>Low</t>
  </si>
  <si>
    <t>Close</t>
  </si>
  <si>
    <t>TEV/NTM Total Revenues</t>
  </si>
  <si>
    <t>TEV/LTM EBITDA</t>
  </si>
  <si>
    <t>TEV/NTM EBITDA</t>
  </si>
  <si>
    <t>TEV/LTM EBIT</t>
  </si>
  <si>
    <t>TEV/NTM EBIT</t>
  </si>
  <si>
    <t>P/LTM EPS</t>
  </si>
  <si>
    <t>P/NTM EPS</t>
  </si>
  <si>
    <t>P/LTM Normalized EPS</t>
  </si>
  <si>
    <t>P/Tangible BV</t>
  </si>
  <si>
    <t>TEV/LTM Unlevered FCF</t>
  </si>
  <si>
    <t>Market Cap/LTM Levered FCF</t>
  </si>
  <si>
    <t>Average multiples are calculated using positive close values on each trading day within the frequency periods selected. Negative values are excluded from the calculation. When the Multiples are not meaningful, due to negative values, then they will not be displayed in the chart.</t>
  </si>
  <si>
    <t>When a mismatch exists between the currency of the equity listing and the reported financial results such results are translated into the currency of the listing at the exchange rate applicable on the financial period end date.</t>
  </si>
  <si>
    <t>Historical Equity Pricing Data supplied by Interactive Data Pricing and Reference Data LLC</t>
  </si>
  <si>
    <t>SkiStar AB (publ) (OM:SKIS B) &gt; Financials &gt; Historical Capitalization</t>
  </si>
  <si>
    <t>In Millions of the trading currency, except per share items.</t>
  </si>
  <si>
    <t>Frequency:</t>
  </si>
  <si>
    <t>Order:</t>
  </si>
  <si>
    <t>Currency:</t>
  </si>
  <si>
    <t>Conversion:</t>
  </si>
  <si>
    <t>Units:</t>
  </si>
  <si>
    <t>Decimals:</t>
  </si>
  <si>
    <t>Dilution:</t>
  </si>
  <si>
    <t>Historical Capitalization</t>
  </si>
  <si>
    <t>Pricing as of*</t>
  </si>
  <si>
    <t>Capitalization Detail</t>
  </si>
  <si>
    <t>* Pricing as of the filing date of the balance sheet period end date. For TEV calculation purposes on this page Capital IQ only uses balance sheet components from the original filing that is publicly available as of a given pricing date and does not use restated balance sheet data from a later filing. In the cases where a company did not disclose balance sheet values for a particular period, TEV is calculated using balance sheet components from the last reported balance sheet as of this date. The table above is organized along period end dates.</t>
  </si>
  <si>
    <t>** 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</si>
  <si>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SkiStar AB (publ) (OM:SKIS B) &gt; Financials &gt; Capital Structure Summary</t>
  </si>
  <si>
    <t>In Millions of the reported currency, except ratios and % of Total values.</t>
  </si>
  <si>
    <t>Restatement:</t>
  </si>
  <si>
    <t>Period Type:</t>
  </si>
  <si>
    <t>Currency:</t>
  </si>
  <si>
    <t>Conversion:</t>
  </si>
  <si>
    <t>Units:</t>
  </si>
  <si>
    <t>Decimals:</t>
  </si>
  <si>
    <t>Order:</t>
  </si>
  <si>
    <t>Capital Structure Data</t>
  </si>
  <si>
    <t xml:space="preserve"> For the Fiscal Period Ending
</t>
  </si>
  <si>
    <t xml:space="preserve"> 12 months Aug-31-2022</t>
  </si>
  <si>
    <t xml:space="preserve"> 12 months Aug-31-2023</t>
  </si>
  <si>
    <t xml:space="preserve"> 3 months May-31-2024</t>
  </si>
  <si>
    <t xml:space="preserve"> Currency</t>
  </si>
  <si>
    <t xml:space="preserve"> SEK</t>
  </si>
  <si>
    <t xml:space="preserve"> Units</t>
  </si>
  <si>
    <t xml:space="preserve"> Millions</t>
  </si>
  <si>
    <t>% of Total</t>
  </si>
  <si>
    <t>Total Common Equity</t>
  </si>
  <si>
    <t xml:space="preserve">  Total Capital</t>
  </si>
  <si>
    <t>Debt Summary Data</t>
  </si>
  <si>
    <t>Total Revolving Credit</t>
  </si>
  <si>
    <t>Total Term Loans</t>
  </si>
  <si>
    <t>Total Lease Liabilities</t>
  </si>
  <si>
    <t xml:space="preserve">  Total Principal Due</t>
  </si>
  <si>
    <t>Total Adjustments</t>
  </si>
  <si>
    <t xml:space="preserve">  Total Debt Outstanding</t>
  </si>
  <si>
    <t>Available Credit</t>
  </si>
  <si>
    <t>Undrawn Revolving Credit</t>
  </si>
  <si>
    <t xml:space="preserve">  Total Undrawn Credit</t>
  </si>
  <si>
    <t>Additional Totals</t>
  </si>
  <si>
    <t>Total Cash &amp; ST Investments</t>
  </si>
  <si>
    <t>Total Senior Debt</t>
  </si>
  <si>
    <t>Curr. Port. of LT Debt/Cap. Leases</t>
  </si>
  <si>
    <t>Long-Term Debt (Incl. Cap. Leases)</t>
  </si>
  <si>
    <t>Total Bank Debt</t>
  </si>
  <si>
    <t>Total Secured Debt</t>
  </si>
  <si>
    <t>Senior Secured Loans</t>
  </si>
  <si>
    <t>Total Senior Secured Debt</t>
  </si>
  <si>
    <t>Total Unsecured Debt</t>
  </si>
  <si>
    <t>Variable Rate Debt</t>
  </si>
  <si>
    <t>Hedging Activities</t>
  </si>
  <si>
    <t>Credit Ratios</t>
  </si>
  <si>
    <t>Net Debt/EBITDA</t>
  </si>
  <si>
    <t>Total Debt/EBITDA</t>
  </si>
  <si>
    <t>Total Senior Debt/EBITDA</t>
  </si>
  <si>
    <t>Total Senior Secured/EBITDA</t>
  </si>
  <si>
    <t>Net Debt/(EBITDA-CAPEX)</t>
  </si>
  <si>
    <t>Total Debt/(EBITDA-CAPEX)</t>
  </si>
  <si>
    <t>Total Senior Debt/(EBITDA-CAPEX)</t>
  </si>
  <si>
    <t>Total Senior Secured/(EBITDA-CAPEX)</t>
  </si>
  <si>
    <t>Fixed Payment Schedule</t>
  </si>
  <si>
    <t>LT Debt (Incl. Cap. Leases) Due +1</t>
  </si>
  <si>
    <t>LT Debt (Incl. Cap. Leases) Due +2</t>
  </si>
  <si>
    <t>LT Debt (Incl. Cap. Leases) Due +3</t>
  </si>
  <si>
    <t>LT Debt (Incl. Cap. Leases) Due +4</t>
  </si>
  <si>
    <t>LT Debt (Incl. Cap. Leases) Due +5</t>
  </si>
  <si>
    <t>LT Debt (Incl. Cap. Leases) Due, Next 5 Yrs</t>
  </si>
  <si>
    <t>LT Debt (Incl. Cap. Leases) Due, After 5 Yrs</t>
  </si>
  <si>
    <t>Cap. Lease Payment Due +1</t>
  </si>
  <si>
    <t>Cap. Lease Payment Due +2</t>
  </si>
  <si>
    <t>Cap. Lease Payment Due +3</t>
  </si>
  <si>
    <t>Cap. Lease Payment Due +4</t>
  </si>
  <si>
    <t>Cap. Lease Payment Due +5</t>
  </si>
  <si>
    <t>Cap. Lease Payment Due, Next 5 Yrs</t>
  </si>
  <si>
    <t>Cap. Lease Payment Due, After 5 Yrs</t>
  </si>
  <si>
    <t>Cap. Lease Payment Due (incl. Interest) +1</t>
  </si>
  <si>
    <t>Interest Rate Data</t>
  </si>
  <si>
    <t>W/Avg. Interest Rate - Long-term Debt</t>
  </si>
  <si>
    <t>SkiStar AB (publ) (OM:SKIS B) &gt; Financials &gt; Capital Structure Details</t>
  </si>
  <si>
    <t>Principal Due in Millions of the reported currency.</t>
  </si>
  <si>
    <t>Period Type:</t>
  </si>
  <si>
    <t>Source:</t>
  </si>
  <si>
    <t>A 2023 filed Nov-15-2023</t>
  </si>
  <si>
    <t>Currency:</t>
  </si>
  <si>
    <t>Conversion:</t>
  </si>
  <si>
    <t>Units:</t>
  </si>
  <si>
    <t>Decimals:</t>
  </si>
  <si>
    <t>FY 2023 (Aug-31-2023) Capital Structure As Reported Details</t>
  </si>
  <si>
    <t>Description</t>
  </si>
  <si>
    <t>Type</t>
  </si>
  <si>
    <t>Principal Due (SEK)</t>
  </si>
  <si>
    <t>Coupon/Base Rate</t>
  </si>
  <si>
    <t>Floating Rate</t>
  </si>
  <si>
    <t>Maturity</t>
  </si>
  <si>
    <t>Seniority</t>
  </si>
  <si>
    <t>Secured</t>
  </si>
  <si>
    <t>Convertible</t>
  </si>
  <si>
    <t>Repayment Currency</t>
  </si>
  <si>
    <t>Bank Loan</t>
  </si>
  <si>
    <t>Term Loans</t>
  </si>
  <si>
    <t>Senior</t>
  </si>
  <si>
    <t>No</t>
  </si>
  <si>
    <t>NOK</t>
  </si>
  <si>
    <t>Construction Loan</t>
  </si>
  <si>
    <t>Yes</t>
  </si>
  <si>
    <t>Leasing Liability</t>
  </si>
  <si>
    <t>Capital Lease</t>
  </si>
  <si>
    <t>Overdraft Facilities</t>
  </si>
  <si>
    <t>Revolving Credit</t>
  </si>
  <si>
    <t>FY 2022 (Aug-31-2022) Capital Structure As Reported Details</t>
  </si>
  <si>
    <t>Bank Loan *</t>
  </si>
  <si>
    <t>SkiStar AB (publ) (OM:SKIS B) &gt; Financials &gt; Ratios</t>
  </si>
  <si>
    <t>Restatement:</t>
  </si>
  <si>
    <t>Period Type:</t>
  </si>
  <si>
    <t>Order:</t>
  </si>
  <si>
    <t>Decimals:</t>
  </si>
  <si>
    <t>Source:</t>
  </si>
  <si>
    <t>Ratios</t>
  </si>
  <si>
    <t>Profitability</t>
  </si>
  <si>
    <t xml:space="preserve">  Return on Assets %</t>
  </si>
  <si>
    <t xml:space="preserve">  Return on Capital %</t>
  </si>
  <si>
    <t xml:space="preserve">  Return on Equity %</t>
  </si>
  <si>
    <t xml:space="preserve">  Return on Common Equity %</t>
  </si>
  <si>
    <t>Margin Analysis</t>
  </si>
  <si>
    <t xml:space="preserve">  Gross Margin %</t>
  </si>
  <si>
    <t xml:space="preserve">  SG&amp;A Margin %</t>
  </si>
  <si>
    <t xml:space="preserve">  EBITDA Margin %</t>
  </si>
  <si>
    <t xml:space="preserve">  EBITA Margin %</t>
  </si>
  <si>
    <t xml:space="preserve">  EBIT Margin %</t>
  </si>
  <si>
    <t xml:space="preserve">  Earnings from Cont. Ops Margin %</t>
  </si>
  <si>
    <t xml:space="preserve">  Net Income Margin %</t>
  </si>
  <si>
    <t xml:space="preserve">  Net Income Avail. for Common Margin %</t>
  </si>
  <si>
    <t xml:space="preserve">  Normalized Net Income Margin %</t>
  </si>
  <si>
    <t xml:space="preserve">  Levered Free Cash Flow Margin %</t>
  </si>
  <si>
    <t xml:space="preserve">  Unlevered Free Cash Flow Margin %</t>
  </si>
  <si>
    <t>Asset Turnover</t>
  </si>
  <si>
    <t xml:space="preserve">  Total Asset Turnover</t>
  </si>
  <si>
    <t xml:space="preserve">  Fixed Asset Turnover</t>
  </si>
  <si>
    <t xml:space="preserve">  Accounts Receivable Turnover</t>
  </si>
  <si>
    <t xml:space="preserve">  Inventory Turnover</t>
  </si>
  <si>
    <t>Short Term Liquidity</t>
  </si>
  <si>
    <t xml:space="preserve">  Current Ratio</t>
  </si>
  <si>
    <t xml:space="preserve">  Quick Ratio</t>
  </si>
  <si>
    <t xml:space="preserve">  Cash from Ops. to Curr. Liab.</t>
  </si>
  <si>
    <t xml:space="preserve">  Avg. Days Sales Out.</t>
  </si>
  <si>
    <t xml:space="preserve">  Avg. Days Inventory Out.</t>
  </si>
  <si>
    <t xml:space="preserve">  Avg. Days Payable Out.</t>
  </si>
  <si>
    <t xml:space="preserve">  Avg. Cash Conversion Cycle</t>
  </si>
  <si>
    <t>Long Term Solvency</t>
  </si>
  <si>
    <t xml:space="preserve">  Total Debt/Equity</t>
  </si>
  <si>
    <t xml:space="preserve">  Total Debt/Capital</t>
  </si>
  <si>
    <t xml:space="preserve">  LT Debt/Equity</t>
  </si>
  <si>
    <t xml:space="preserve">  LT Debt/Capital</t>
  </si>
  <si>
    <t xml:space="preserve">  Total Liabilities/Total Assets</t>
  </si>
  <si>
    <t xml:space="preserve">  EBIT / Interest Exp.</t>
  </si>
  <si>
    <t xml:space="preserve">  EBITDA / Interest Exp.</t>
  </si>
  <si>
    <t xml:space="preserve">  (EBITDA-CAPEX) / Interest Exp.</t>
  </si>
  <si>
    <t xml:space="preserve">  Total Debt/EBITDA</t>
  </si>
  <si>
    <t xml:space="preserve">  Net Debt/EBITDA</t>
  </si>
  <si>
    <t xml:space="preserve">  Total Debt/(EBITDA-CAPEX)</t>
  </si>
  <si>
    <t xml:space="preserve">  Net Debt/(EBITDA-CAPEX)</t>
  </si>
  <si>
    <t xml:space="preserve">  Altman Z Score</t>
  </si>
  <si>
    <t>Growth Over Prior Year</t>
  </si>
  <si>
    <t xml:space="preserve">  EBITDA</t>
  </si>
  <si>
    <t xml:space="preserve">  EBITA</t>
  </si>
  <si>
    <t xml:space="preserve">  EBIT</t>
  </si>
  <si>
    <t xml:space="preserve">  Normalized Net Income</t>
  </si>
  <si>
    <t xml:space="preserve">  Diluted EPS before Extra</t>
  </si>
  <si>
    <t xml:space="preserve">  Accounts Receivable</t>
  </si>
  <si>
    <t xml:space="preserve">  Inventory</t>
  </si>
  <si>
    <t xml:space="preserve">  Net PP&amp;E</t>
  </si>
  <si>
    <t xml:space="preserve">  Total Assets</t>
  </si>
  <si>
    <t xml:space="preserve">  Tangible Book Value</t>
  </si>
  <si>
    <t xml:space="preserve">  Common Equity</t>
  </si>
  <si>
    <t xml:space="preserve">  Capital Expenditures</t>
  </si>
  <si>
    <t xml:space="preserve">  Levered Free Cash Flow</t>
  </si>
  <si>
    <t>NM</t>
  </si>
  <si>
    <t xml:space="preserve">  Unlevered Free Cash Flow</t>
  </si>
  <si>
    <t xml:space="preserve">  Dividend per Share</t>
  </si>
  <si>
    <t>Compound Annual Growth Rate Over Two Years</t>
  </si>
  <si>
    <t>Compound Annual Growth Rate Over Three Years</t>
  </si>
  <si>
    <t>Compound Annual Growth Rate Over Five Years</t>
  </si>
  <si>
    <t>SkiStar AB (publ) (OM:SKIS B) &gt; Financials &gt; Supplemental</t>
  </si>
  <si>
    <t>In Millions of the reported currency, except per share items.</t>
  </si>
  <si>
    <t>Restatement:</t>
  </si>
  <si>
    <t>Period Type:</t>
  </si>
  <si>
    <t>Currency:</t>
  </si>
  <si>
    <t>Conversion:</t>
  </si>
  <si>
    <t>Order:</t>
  </si>
  <si>
    <t>Units:</t>
  </si>
  <si>
    <t>Decimals:</t>
  </si>
  <si>
    <t>Source:</t>
  </si>
  <si>
    <t>Supplemental</t>
  </si>
  <si>
    <t>12 months
Aug-31-2018</t>
  </si>
  <si>
    <t>Loss Carry Forward Related Items</t>
  </si>
  <si>
    <t>NOL C/F, After Five Years</t>
  </si>
  <si>
    <t>Total NOL C/F</t>
  </si>
  <si>
    <t>Fair Value Measurements</t>
  </si>
  <si>
    <t>Level 3 Assets - Unobservable Prices</t>
  </si>
  <si>
    <t>Fair Value of Assets</t>
  </si>
  <si>
    <t>SkiStar AB (publ) (OM:SKIS B) &gt; Financials &gt; Industry Specific</t>
  </si>
  <si>
    <t>In Millions of the reported currency, except per share items.</t>
  </si>
  <si>
    <t>Restatement:</t>
  </si>
  <si>
    <t>Period Type:</t>
  </si>
  <si>
    <t>Currency:</t>
  </si>
  <si>
    <t>Conversion:</t>
  </si>
  <si>
    <t>Order:</t>
  </si>
  <si>
    <t>Units:</t>
  </si>
  <si>
    <t>Decimals:</t>
  </si>
  <si>
    <t>Source:</t>
  </si>
  <si>
    <t>Industry Specific</t>
  </si>
  <si>
    <t>No Data Available</t>
  </si>
  <si>
    <t>SkiStar AB (publ) (OM:SKIS B) &gt; Financials &gt; Pension/OPEB</t>
  </si>
  <si>
    <t>In Millions of the reported currency, except per share items.</t>
  </si>
  <si>
    <t>Restatement:</t>
  </si>
  <si>
    <t>Period Type:</t>
  </si>
  <si>
    <t>Currency:</t>
  </si>
  <si>
    <t>Conversion:</t>
  </si>
  <si>
    <t>Order:</t>
  </si>
  <si>
    <t>Units:</t>
  </si>
  <si>
    <t>Decimals:</t>
  </si>
  <si>
    <t>Source:</t>
  </si>
  <si>
    <t>Pension/OPEB</t>
  </si>
  <si>
    <t>Pension Information - Total</t>
  </si>
  <si>
    <t>Defined Benefit Net Periodic Cost</t>
  </si>
  <si>
    <t>Def. Contribution Plan Cost</t>
  </si>
  <si>
    <t>Total Pension Expense</t>
  </si>
  <si>
    <t>Plan Assets</t>
  </si>
  <si>
    <t>Total Plan Assets</t>
  </si>
  <si>
    <t>Adj. for Liability Recognized on Balance Sheet</t>
  </si>
  <si>
    <t>Other Adj. (Net Benefit Asset/Liab.)</t>
  </si>
  <si>
    <t>Net Asset/Liability Recognized on Balance Sheet</t>
  </si>
  <si>
    <t>Consolidated Balance Sheet Amounts</t>
  </si>
  <si>
    <t>Long Term Liabilities</t>
  </si>
  <si>
    <t>Other Pension Related Items</t>
  </si>
  <si>
    <t>Benefit Info Date</t>
  </si>
  <si>
    <t>Pension Information - Foreign</t>
  </si>
  <si>
    <t xml:space="preserve">Total Plan Assets </t>
  </si>
  <si>
    <t xml:space="preserve">Other Adj. (Net Benefit Asset/Liab.) </t>
  </si>
  <si>
    <t xml:space="preserve">Net Asset/Liability Recognized on Balance Sheet </t>
  </si>
  <si>
    <t>SkiStar AB (publ) (OM:SKIS B) &gt; Financials &gt; Segments</t>
  </si>
  <si>
    <t>In Millions of the reported currency.</t>
  </si>
  <si>
    <t>View By:</t>
  </si>
  <si>
    <t>Line Items</t>
  </si>
  <si>
    <t>Restatement:</t>
  </si>
  <si>
    <t>Period Type:</t>
  </si>
  <si>
    <t>Order:</t>
  </si>
  <si>
    <t>Currency:</t>
  </si>
  <si>
    <t>Conversion:</t>
  </si>
  <si>
    <t>Units:</t>
  </si>
  <si>
    <t>Decimals:</t>
  </si>
  <si>
    <t>Business Segments</t>
  </si>
  <si>
    <t>Revenues</t>
  </si>
  <si>
    <t>Operation of Mountain Resorts</t>
  </si>
  <si>
    <t>Property Development &amp; Exploitation</t>
  </si>
  <si>
    <t>Operation of Hotels</t>
  </si>
  <si>
    <t>group elimination</t>
  </si>
  <si>
    <t xml:space="preserve">  Total Revenues</t>
  </si>
  <si>
    <t>Operating Profit Before Tax</t>
  </si>
  <si>
    <t xml:space="preserve">  Total Operating Profit Before Tax</t>
  </si>
  <si>
    <t>Depreciation &amp; Amortization</t>
  </si>
  <si>
    <t xml:space="preserve">  Total Depreciation &amp; Amortization</t>
  </si>
  <si>
    <t>Geographic Segments</t>
  </si>
  <si>
    <t>Sweden</t>
  </si>
  <si>
    <t>Norway</t>
  </si>
  <si>
    <t>Austria</t>
  </si>
  <si>
    <t>Assets</t>
  </si>
  <si>
    <t>% Debt</t>
  </si>
  <si>
    <t>Cost of Debt</t>
  </si>
  <si>
    <t>TGR</t>
  </si>
  <si>
    <t>Tax Rate</t>
  </si>
  <si>
    <t>WACC 
(% Equity x Cost of Equity) + (% Debt x Cost of Debt x (1 -Tax rate))</t>
  </si>
  <si>
    <t>Equity Value</t>
  </si>
  <si>
    <t>% Equity</t>
  </si>
  <si>
    <t>Cost of Equity
Risk Free Rate + (Beta x (Expected Market Return - Risk Free Rate))</t>
  </si>
  <si>
    <t>Risk Free Rate</t>
  </si>
  <si>
    <t>-&gt;</t>
  </si>
  <si>
    <t>€STR</t>
  </si>
  <si>
    <t>Beta</t>
  </si>
  <si>
    <t>Tbill 10Y</t>
  </si>
  <si>
    <t>Market Risk Premium 
= Market return - Risk free return</t>
  </si>
  <si>
    <t>Debt + Equity</t>
  </si>
  <si>
    <t>Terminal Value in Y5</t>
  </si>
  <si>
    <t>Present value of TV</t>
  </si>
  <si>
    <t>Forcasted Share Price</t>
  </si>
  <si>
    <t>Free Cash Flow</t>
  </si>
  <si>
    <t>Upside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</si>
</sst>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_);_(* \(#,##0.0\)_)\ ;_(* 0_)"/>
    <numFmt numFmtId="165" formatCode="_(#,##0.0%_);_(\(#,##0.0%\)_);_(#,##0.0%_)"/>
    <numFmt numFmtId="166" formatCode="_(* #,##0.0#_);_(* \(#,##0.0#\)_)\ ;_(* 0_)"/>
    <numFmt numFmtId="167" formatCode="_(#,##0.00%_);_(\(#,##0.00%\)_);_(#,##0.00%_)"/>
    <numFmt numFmtId="168" formatCode="#,##0.0\x"/>
    <numFmt numFmtId="169" formatCode="#,##0.00\x"/>
    <numFmt numFmtId="170" formatCode="mmm\-dd\-yyyy"/>
    <numFmt numFmtId="171" formatCode="_(* #,##0_);_(* \(#,##0\)_)\ ;_(* 0_)"/>
    <numFmt numFmtId="172" formatCode="_(\ #,##0.0_);_(\ \(#,##0.0\)_);_(\ &quot; - &quot;_)"/>
    <numFmt numFmtId="173" formatCode="_(* #,##0.0##_);_(* \(#,##0.0##\)_)\ ;_(* 0_)"/>
    <numFmt numFmtId="174" formatCode="#,##0.000"/>
    <numFmt numFmtId="175" formatCode="#,##0.0"/>
    <numFmt numFmtId="180" formatCode="_-[$SEK]\ * #,##0.00_-;\-[$SEK]\ * #,##0.00_-;_-[$SEK]\ * &quot;-&quot;??_-;_-@_-"/>
  </numFmts>
  <fonts count="27" x14ac:knownFonts="1">
    <font>
      <sz val="10"/>
      <name val="Arial"/>
    </font>
    <font>
      <sz val="8"/>
      <name val="Arial"/>
      <family val="2"/>
    </font>
    <font>
      <b/>
      <sz val="13"/>
      <color indexed="8"/>
      <name val="Verdana"/>
      <family val="2"/>
    </font>
    <font>
      <b/>
      <sz val="12"/>
      <color indexed="8"/>
      <name val="Verdana"/>
      <family val="2"/>
    </font>
    <font>
      <b/>
      <sz val="10"/>
      <color indexed="9"/>
      <name val="Arial"/>
      <family val="2"/>
    </font>
    <font>
      <b/>
      <u val="singleAccounting"/>
      <sz val="8"/>
      <color indexed="8"/>
      <name val="Verdana"/>
      <family val="2"/>
    </font>
    <font>
      <b/>
      <sz val="8"/>
      <color indexed="9"/>
      <name val="Verdana"/>
      <family val="2"/>
    </font>
    <font>
      <b/>
      <u val="singleAccounting"/>
      <sz val="8"/>
      <color indexed="8"/>
      <name val="Arial"/>
      <family val="2"/>
    </font>
    <font>
      <sz val="8"/>
      <color indexed="8"/>
      <name val="Arial"/>
      <family val="2"/>
    </font>
    <font>
      <vertAlign val="superscript"/>
      <sz val="8"/>
      <color indexed="8"/>
      <name val="Arial"/>
      <family val="2"/>
    </font>
    <font>
      <vertAlign val="subscript"/>
      <sz val="8"/>
      <color indexed="8"/>
      <name val="Arial"/>
      <family val="2"/>
    </font>
    <font>
      <b/>
      <sz val="8"/>
      <color indexed="8"/>
      <name val="Arial"/>
      <family val="2"/>
    </font>
    <font>
      <i/>
      <sz val="8"/>
      <color indexed="8"/>
      <name val="Arial"/>
      <family val="2"/>
    </font>
    <font>
      <sz val="1"/>
      <color indexed="9"/>
      <name val="Symbol"/>
      <charset val="2"/>
    </font>
    <font>
      <sz val="10"/>
      <color indexed="8"/>
      <name val="Arial"/>
      <family val="2"/>
    </font>
    <font>
      <b/>
      <sz val="8"/>
      <color indexed="8"/>
      <name val="Verdana"/>
      <family val="2"/>
    </font>
    <font>
      <i/>
      <sz val="8"/>
      <name val="Arial"/>
      <family val="2"/>
    </font>
    <font>
      <b/>
      <sz val="8"/>
      <name val="Arial"/>
      <family val="2"/>
    </font>
    <font>
      <b/>
      <i/>
      <sz val="8"/>
      <color indexed="8"/>
      <name val="Arial"/>
      <family val="2"/>
    </font>
    <font>
      <b/>
      <u val="double"/>
      <sz val="8"/>
      <color indexed="8"/>
      <name val="Arial"/>
      <family val="2"/>
    </font>
    <font>
      <b/>
      <u/>
      <sz val="8"/>
      <color indexed="8"/>
      <name val="Arial"/>
      <family val="2"/>
    </font>
    <font>
      <b/>
      <u val="singleAccounting"/>
      <sz val="8"/>
      <color indexed="9"/>
      <name val="Verdana"/>
      <family val="2"/>
    </font>
    <font>
      <b/>
      <i/>
      <sz val="8"/>
      <name val="Arial"/>
      <family val="2"/>
    </font>
    <font>
      <sz val="10"/>
      <name val="Arial"/>
    </font>
    <font>
      <b/>
      <sz val="10"/>
      <color indexed="8"/>
      <name val="Arial"/>
      <family val="2"/>
    </font>
    <font>
      <sz val="8"/>
      <color theme="0"/>
      <name val="Arial"/>
      <family val="2"/>
    </font>
    <font>
      <i/>
      <sz val="8"/>
      <color theme="0" tint="-0.34998626667073579"/>
      <name val="Arial"/>
      <family val="2"/>
    </font>
  </fonts>
  <fills count="6">
    <fill>
      <patternFill patternType="none"/>
    </fill>
    <fill>
      <patternFill patternType="gray125"/>
    </fill>
    <fill>
      <patternFill patternType="solid">
        <fgColor indexed="63"/>
        <bgColor indexed="64"/>
      </patternFill>
    </fill>
    <fill>
      <patternFill patternType="solid">
        <fgColor indexed="62"/>
        <bgColor indexed="64"/>
      </patternFill>
    </fill>
    <fill>
      <patternFill patternType="solid">
        <fgColor indexed="56"/>
        <bgColor indexed="64"/>
      </patternFill>
    </fill>
    <fill>
      <patternFill patternType="solid">
        <fgColor indexed="60"/>
        <bgColor indexed="64"/>
      </patternFill>
    </fill>
  </fills>
  <borders count="13">
    <border>
      <left/>
      <right/>
      <top/>
      <bottom/>
      <diagonal/>
    </border>
    <border>
      <left/>
      <right/>
      <top style="thin">
        <color indexed="8"/>
      </top>
      <bottom/>
      <diagonal/>
    </border>
    <border>
      <left/>
      <right style="thin">
        <color auto="1"/>
      </right>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auto="1"/>
      </right>
      <top/>
      <bottom style="hair">
        <color auto="1"/>
      </bottom>
      <diagonal/>
    </border>
    <border>
      <left style="thin">
        <color auto="1"/>
      </left>
      <right/>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diagonal/>
    </border>
    <border>
      <left style="thin">
        <color auto="1"/>
      </left>
      <right/>
      <top style="hair">
        <color auto="1"/>
      </top>
      <bottom/>
      <diagonal/>
    </border>
  </borders>
  <cellStyleXfs count="17">
    <xf numFmtId="0" fontId="0" fillId="0" borderId="0"/>
    <xf numFmtId="0" fontId="2" fillId="0" borderId="0" applyAlignment="0"/>
    <xf numFmtId="0" fontId="3" fillId="0" borderId="0" applyAlignment="0"/>
    <xf numFmtId="0" fontId="4" fillId="2" borderId="0" applyAlignment="0"/>
    <xf numFmtId="0" fontId="5" fillId="3" borderId="0" applyAlignment="0"/>
    <xf numFmtId="0" fontId="6" fillId="4" borderId="0" applyAlignment="0"/>
    <xf numFmtId="0" fontId="7" fillId="5" borderId="0" applyAlignment="0"/>
    <xf numFmtId="0" fontId="8" fillId="0" borderId="0" applyAlignment="0"/>
    <xf numFmtId="0" fontId="9" fillId="0" borderId="0" applyAlignment="0"/>
    <xf numFmtId="0" fontId="10" fillId="0" borderId="0" applyAlignment="0"/>
    <xf numFmtId="0" fontId="11" fillId="0" borderId="0" applyAlignment="0"/>
    <xf numFmtId="0" fontId="12" fillId="0" borderId="0" applyAlignment="0"/>
    <xf numFmtId="0" fontId="11" fillId="0" borderId="0" applyAlignment="0">
      <alignment wrapText="1"/>
    </xf>
    <xf numFmtId="0" fontId="13" fillId="0" borderId="0" applyAlignment="0"/>
    <xf numFmtId="0" fontId="14" fillId="0" borderId="0" applyAlignment="0"/>
    <xf numFmtId="0" fontId="15" fillId="0" borderId="0" applyAlignment="0"/>
    <xf numFmtId="9" fontId="23" fillId="0" borderId="0" applyFont="0" applyFill="0" applyBorder="0" applyAlignment="0" applyProtection="0"/>
  </cellStyleXfs>
  <cellXfs count="112">
    <xf numFmtId="0" fontId="1" fillId="0" borderId="0" xfId="0" applyFont="1"/>
    <xf numFmtId="0" fontId="2" fillId="0" borderId="0" xfId="0" applyFont="1"/>
    <xf numFmtId="0" fontId="16" fillId="0" borderId="0" xfId="0" applyFont="1" applyAlignment="1">
      <alignment wrapText="1"/>
    </xf>
    <xf numFmtId="0" fontId="17" fillId="0" borderId="0" xfId="0" applyFont="1"/>
    <xf numFmtId="0" fontId="8" fillId="0" borderId="0" xfId="0" applyFont="1" applyAlignment="1">
      <alignment horizontal="left" vertical="top"/>
    </xf>
    <xf numFmtId="49" fontId="1" fillId="0" borderId="0" xfId="0" applyNumberFormat="1" applyFont="1"/>
    <xf numFmtId="0" fontId="6" fillId="4" borderId="0" xfId="0" applyFont="1" applyFill="1"/>
    <xf numFmtId="0" fontId="11" fillId="5" borderId="0" xfId="0" applyFont="1" applyFill="1" applyAlignment="1">
      <alignment wrapText="1"/>
    </xf>
    <xf numFmtId="0" fontId="18" fillId="5" borderId="0" xfId="0" applyFont="1" applyFill="1" applyAlignment="1">
      <alignment wrapText="1"/>
    </xf>
    <xf numFmtId="0" fontId="11" fillId="0" borderId="0" xfId="0" applyFont="1" applyAlignment="1">
      <alignment horizontal="left" vertical="top"/>
    </xf>
    <xf numFmtId="0" fontId="12" fillId="0" borderId="0" xfId="0" applyFont="1" applyAlignment="1">
      <alignment horizontal="left" vertical="top"/>
    </xf>
    <xf numFmtId="0" fontId="1" fillId="0" borderId="0" xfId="0" applyFont="1" applyAlignment="1">
      <alignment vertical="top" wrapText="1"/>
    </xf>
    <xf numFmtId="0" fontId="11" fillId="5" borderId="0" xfId="0" applyFont="1" applyFill="1" applyAlignment="1">
      <alignment horizontal="right" wrapText="1"/>
    </xf>
    <xf numFmtId="0" fontId="18" fillId="5" borderId="0" xfId="0" applyFont="1" applyFill="1" applyAlignment="1">
      <alignment horizontal="right" wrapText="1"/>
    </xf>
    <xf numFmtId="164" fontId="11" fillId="0" borderId="0" xfId="0" applyNumberFormat="1" applyFont="1" applyAlignment="1">
      <alignment horizontal="right" vertical="top" wrapText="1"/>
    </xf>
    <xf numFmtId="165" fontId="12" fillId="0" borderId="0" xfId="0" applyNumberFormat="1" applyFont="1" applyAlignment="1">
      <alignment horizontal="right" vertical="top" wrapText="1"/>
    </xf>
    <xf numFmtId="49" fontId="8" fillId="0" borderId="0" xfId="0" applyNumberFormat="1" applyFont="1" applyAlignment="1">
      <alignment horizontal="right" vertical="top" wrapText="1"/>
    </xf>
    <xf numFmtId="164" fontId="8" fillId="0" borderId="0" xfId="0" applyNumberFormat="1" applyFont="1" applyAlignment="1">
      <alignment horizontal="right" vertical="top" wrapText="1"/>
    </xf>
    <xf numFmtId="167" fontId="12" fillId="0" borderId="0" xfId="0" applyNumberFormat="1" applyFont="1" applyAlignment="1">
      <alignment horizontal="right" vertical="top" wrapText="1"/>
    </xf>
    <xf numFmtId="166" fontId="8" fillId="0" borderId="0" xfId="0" applyNumberFormat="1" applyFont="1" applyAlignment="1">
      <alignment horizontal="right" vertical="top" wrapText="1"/>
    </xf>
    <xf numFmtId="168" fontId="8" fillId="0" borderId="0" xfId="0" applyNumberFormat="1" applyFont="1" applyAlignment="1">
      <alignment horizontal="right" vertical="top" wrapText="1"/>
    </xf>
    <xf numFmtId="169" fontId="8" fillId="0" borderId="0" xfId="0" applyNumberFormat="1" applyFont="1" applyAlignment="1">
      <alignment horizontal="right" vertical="top" wrapText="1"/>
    </xf>
    <xf numFmtId="0" fontId="8" fillId="0" borderId="0" xfId="0" applyFont="1" applyAlignment="1">
      <alignment horizontal="center" vertical="center"/>
    </xf>
    <xf numFmtId="0" fontId="8" fillId="0" borderId="0" xfId="0" applyFont="1" applyAlignment="1">
      <alignment horizontal="left" vertical="center"/>
    </xf>
    <xf numFmtId="0" fontId="1" fillId="0" borderId="0" xfId="0" applyFont="1" applyAlignment="1">
      <alignment vertical="top"/>
    </xf>
    <xf numFmtId="164" fontId="11" fillId="0" borderId="1" xfId="0" applyNumberFormat="1" applyFont="1" applyBorder="1" applyAlignment="1">
      <alignment horizontal="right" vertical="top" wrapText="1"/>
    </xf>
    <xf numFmtId="164" fontId="19" fillId="0" borderId="1" xfId="0" applyNumberFormat="1" applyFont="1" applyBorder="1" applyAlignment="1">
      <alignment horizontal="right" vertical="top" wrapText="1"/>
    </xf>
    <xf numFmtId="165" fontId="8" fillId="0" borderId="0" xfId="0" applyNumberFormat="1" applyFont="1" applyAlignment="1">
      <alignment horizontal="right" vertical="top" wrapText="1"/>
    </xf>
    <xf numFmtId="170" fontId="8" fillId="0" borderId="0" xfId="0" applyNumberFormat="1" applyFont="1" applyAlignment="1">
      <alignment horizontal="right" vertical="top" wrapText="1"/>
    </xf>
    <xf numFmtId="170" fontId="11" fillId="5" borderId="0" xfId="0" applyNumberFormat="1" applyFont="1" applyFill="1" applyAlignment="1">
      <alignment horizontal="right" wrapText="1"/>
    </xf>
    <xf numFmtId="164" fontId="20" fillId="0" borderId="0" xfId="0" applyNumberFormat="1" applyFont="1" applyAlignment="1">
      <alignment horizontal="right" vertical="top" wrapText="1"/>
    </xf>
    <xf numFmtId="164" fontId="19" fillId="0" borderId="0" xfId="0" applyNumberFormat="1" applyFont="1" applyAlignment="1">
      <alignment horizontal="right" vertical="top" wrapText="1"/>
    </xf>
    <xf numFmtId="171" fontId="8" fillId="0" borderId="0" xfId="0" applyNumberFormat="1" applyFont="1" applyAlignment="1">
      <alignment horizontal="right" vertical="top" wrapText="1"/>
    </xf>
    <xf numFmtId="0" fontId="8" fillId="0" borderId="0" xfId="0" applyFont="1" applyAlignment="1">
      <alignment horizontal="center" vertical="center" wrapText="1"/>
    </xf>
    <xf numFmtId="0" fontId="21" fillId="4" borderId="0" xfId="0" applyFont="1" applyFill="1" applyAlignment="1">
      <alignment horizontal="left"/>
    </xf>
    <xf numFmtId="0" fontId="7" fillId="5" borderId="0" xfId="0" applyFont="1" applyFill="1" applyAlignment="1">
      <alignment horizontal="right"/>
    </xf>
    <xf numFmtId="0" fontId="11" fillId="0" borderId="0" xfId="0" applyFont="1" applyAlignment="1">
      <alignment horizontal="left"/>
    </xf>
    <xf numFmtId="0" fontId="11" fillId="5" borderId="0" xfId="0" applyFont="1" applyFill="1" applyAlignment="1">
      <alignment horizontal="right"/>
    </xf>
    <xf numFmtId="170" fontId="11" fillId="5" borderId="0" xfId="0" applyNumberFormat="1" applyFont="1" applyFill="1" applyAlignment="1">
      <alignment horizontal="right"/>
    </xf>
    <xf numFmtId="0" fontId="11" fillId="0" borderId="0" xfId="0" applyFont="1" applyAlignment="1">
      <alignment horizontal="right"/>
    </xf>
    <xf numFmtId="169" fontId="8" fillId="0" borderId="0" xfId="0" applyNumberFormat="1" applyFont="1" applyAlignment="1">
      <alignment horizontal="right"/>
    </xf>
    <xf numFmtId="169" fontId="1" fillId="0" borderId="0" xfId="0" applyNumberFormat="1" applyFont="1" applyAlignment="1">
      <alignment horizontal="right"/>
    </xf>
    <xf numFmtId="0" fontId="1" fillId="0" borderId="0" xfId="0" applyFont="1" applyAlignment="1">
      <alignment horizontal="left"/>
    </xf>
    <xf numFmtId="0" fontId="1" fillId="0" borderId="0" xfId="0" applyFont="1" applyAlignment="1">
      <alignment horizontal="right" wrapText="1"/>
    </xf>
    <xf numFmtId="0" fontId="1" fillId="0" borderId="0" xfId="0" applyFont="1" applyAlignment="1">
      <alignment wrapText="1"/>
    </xf>
    <xf numFmtId="0" fontId="8" fillId="0" borderId="0" xfId="0" applyFont="1" applyAlignment="1">
      <alignment vertical="top" wrapText="1"/>
    </xf>
    <xf numFmtId="165" fontId="18" fillId="0" borderId="0" xfId="0" applyNumberFormat="1" applyFont="1" applyAlignment="1">
      <alignment horizontal="right" vertical="top" wrapText="1"/>
    </xf>
    <xf numFmtId="0" fontId="22" fillId="5" borderId="0" xfId="0" applyFont="1" applyFill="1" applyAlignment="1">
      <alignment horizontal="right" wrapText="1"/>
    </xf>
    <xf numFmtId="0" fontId="17" fillId="5" borderId="0" xfId="0" applyFont="1" applyFill="1" applyAlignment="1">
      <alignment horizontal="right" wrapText="1"/>
    </xf>
    <xf numFmtId="165" fontId="16" fillId="0" borderId="0" xfId="0" applyNumberFormat="1" applyFont="1" applyAlignment="1">
      <alignment horizontal="right"/>
    </xf>
    <xf numFmtId="165" fontId="22" fillId="0" borderId="0" xfId="0" applyNumberFormat="1" applyFont="1" applyAlignment="1">
      <alignment horizontal="right"/>
    </xf>
    <xf numFmtId="164" fontId="1" fillId="0" borderId="0" xfId="0" applyNumberFormat="1" applyFont="1" applyAlignment="1">
      <alignment horizontal="right"/>
    </xf>
    <xf numFmtId="164" fontId="17" fillId="0" borderId="0" xfId="0" applyNumberFormat="1" applyFont="1" applyAlignment="1">
      <alignment horizontal="right"/>
    </xf>
    <xf numFmtId="168" fontId="1" fillId="0" borderId="0" xfId="0" applyNumberFormat="1" applyFont="1" applyAlignment="1">
      <alignment horizontal="right"/>
    </xf>
    <xf numFmtId="165" fontId="1" fillId="0" borderId="0" xfId="0" applyNumberFormat="1" applyFont="1" applyAlignment="1">
      <alignment horizontal="right"/>
    </xf>
    <xf numFmtId="170" fontId="1" fillId="0" borderId="0" xfId="0" applyNumberFormat="1" applyFont="1" applyAlignment="1">
      <alignment horizontal="right"/>
    </xf>
    <xf numFmtId="0" fontId="7" fillId="5" borderId="0" xfId="0" applyFont="1" applyFill="1" applyAlignment="1">
      <alignment horizontal="left" wrapText="1"/>
    </xf>
    <xf numFmtId="0" fontId="7" fillId="5" borderId="0" xfId="0" applyFont="1" applyFill="1" applyAlignment="1">
      <alignment wrapText="1"/>
    </xf>
    <xf numFmtId="172" fontId="8" fillId="0" borderId="0" xfId="0" applyNumberFormat="1" applyFont="1" applyAlignment="1">
      <alignment horizontal="center" vertical="top" wrapText="1"/>
    </xf>
    <xf numFmtId="0" fontId="8" fillId="0" borderId="0" xfId="0" applyFont="1" applyAlignment="1">
      <alignment horizontal="center" vertical="top" wrapText="1"/>
    </xf>
    <xf numFmtId="170" fontId="8" fillId="0" borderId="0" xfId="0" applyNumberFormat="1" applyFont="1" applyAlignment="1">
      <alignment horizontal="center" vertical="top" wrapText="1"/>
    </xf>
    <xf numFmtId="0" fontId="13" fillId="0" borderId="0" xfId="13" applyAlignment="1"/>
    <xf numFmtId="0" fontId="11" fillId="5" borderId="2" xfId="0" applyFont="1" applyFill="1" applyBorder="1" applyAlignment="1">
      <alignment horizontal="right" wrapText="1"/>
    </xf>
    <xf numFmtId="0" fontId="24" fillId="5" borderId="0" xfId="0" applyFont="1" applyFill="1" applyAlignment="1">
      <alignment horizontal="right" vertical="center" wrapText="1"/>
    </xf>
    <xf numFmtId="0" fontId="18" fillId="5" borderId="2" xfId="0" applyFont="1" applyFill="1" applyBorder="1" applyAlignment="1">
      <alignment horizontal="right" wrapText="1"/>
    </xf>
    <xf numFmtId="173" fontId="11" fillId="0" borderId="0" xfId="0" applyNumberFormat="1" applyFont="1" applyAlignment="1">
      <alignment horizontal="right" vertical="top" wrapText="1"/>
    </xf>
    <xf numFmtId="173" fontId="11" fillId="0" borderId="2" xfId="0" applyNumberFormat="1" applyFont="1" applyBorder="1" applyAlignment="1">
      <alignment horizontal="right" vertical="top" wrapText="1"/>
    </xf>
    <xf numFmtId="167" fontId="12" fillId="0" borderId="2" xfId="0" applyNumberFormat="1" applyFont="1" applyBorder="1" applyAlignment="1">
      <alignment horizontal="right" vertical="top" wrapText="1"/>
    </xf>
    <xf numFmtId="10" fontId="1" fillId="0" borderId="0" xfId="16" applyNumberFormat="1" applyFont="1"/>
    <xf numFmtId="0" fontId="25" fillId="0" borderId="0" xfId="0" applyFont="1" applyAlignment="1">
      <alignment horizontal="right" vertical="top"/>
    </xf>
    <xf numFmtId="0" fontId="25" fillId="0" borderId="0" xfId="0" applyFont="1" applyAlignment="1">
      <alignment horizontal="right"/>
    </xf>
    <xf numFmtId="174" fontId="11" fillId="0" borderId="0" xfId="0" applyNumberFormat="1" applyFont="1" applyAlignment="1">
      <alignment horizontal="right" vertical="top" wrapText="1"/>
    </xf>
    <xf numFmtId="174" fontId="11" fillId="0" borderId="2" xfId="0" applyNumberFormat="1" applyFont="1" applyBorder="1" applyAlignment="1">
      <alignment horizontal="right" vertical="top" wrapText="1"/>
    </xf>
    <xf numFmtId="175" fontId="1" fillId="0" borderId="0" xfId="0" applyNumberFormat="1" applyFont="1"/>
    <xf numFmtId="10" fontId="1" fillId="0" borderId="0" xfId="0" applyNumberFormat="1" applyFont="1"/>
    <xf numFmtId="0" fontId="1" fillId="0" borderId="3" xfId="0" applyFont="1" applyBorder="1" applyAlignment="1">
      <alignment horizontal="right"/>
    </xf>
    <xf numFmtId="10" fontId="1" fillId="0" borderId="4" xfId="0" applyNumberFormat="1" applyFont="1" applyBorder="1"/>
    <xf numFmtId="0" fontId="1" fillId="0" borderId="5" xfId="0" applyFont="1" applyBorder="1" applyAlignment="1">
      <alignment horizontal="left"/>
    </xf>
    <xf numFmtId="10" fontId="1" fillId="0" borderId="6" xfId="0" applyNumberFormat="1" applyFont="1" applyBorder="1"/>
    <xf numFmtId="3" fontId="1" fillId="0" borderId="0" xfId="0" applyNumberFormat="1" applyFont="1"/>
    <xf numFmtId="0" fontId="1" fillId="0" borderId="0" xfId="0" quotePrefix="1" applyFont="1" applyAlignment="1">
      <alignment horizontal="center"/>
    </xf>
    <xf numFmtId="0" fontId="26" fillId="0" borderId="0" xfId="0" applyFont="1" applyAlignment="1">
      <alignment horizontal="right"/>
    </xf>
    <xf numFmtId="10" fontId="26" fillId="0" borderId="0" xfId="16" applyNumberFormat="1" applyFont="1"/>
    <xf numFmtId="4" fontId="1" fillId="0" borderId="0" xfId="0" applyNumberFormat="1" applyFont="1"/>
    <xf numFmtId="0" fontId="1" fillId="0" borderId="7" xfId="0" applyFont="1" applyBorder="1"/>
    <xf numFmtId="3" fontId="1" fillId="0" borderId="8" xfId="0" applyNumberFormat="1" applyFont="1" applyBorder="1"/>
    <xf numFmtId="0" fontId="1" fillId="0" borderId="9" xfId="0" applyFont="1" applyBorder="1"/>
    <xf numFmtId="3" fontId="1" fillId="0" borderId="10" xfId="0" applyNumberFormat="1" applyFont="1" applyBorder="1"/>
    <xf numFmtId="0" fontId="1" fillId="0" borderId="11" xfId="0" applyFont="1" applyBorder="1" applyAlignment="1">
      <alignment horizontal="right"/>
    </xf>
    <xf numFmtId="0" fontId="11" fillId="5" borderId="0" xfId="0" applyFont="1" applyFill="1" applyAlignment="1">
      <alignment horizontal="center" wrapText="1"/>
    </xf>
    <xf numFmtId="0" fontId="8" fillId="0" borderId="0" xfId="0" applyFont="1" applyAlignment="1">
      <alignment vertical="top" wrapText="1"/>
    </xf>
    <xf numFmtId="0" fontId="1" fillId="0" borderId="0" xfId="0" applyFont="1"/>
    <xf numFmtId="0" fontId="17" fillId="5" borderId="0" xfId="0" applyFont="1" applyFill="1" applyAlignment="1">
      <alignment horizontal="center" wrapText="1"/>
    </xf>
    <xf numFmtId="0" fontId="25" fillId="0" borderId="0" xfId="0" applyFont="1" applyAlignment="1">
      <alignment horizontal="left" vertical="top"/>
    </xf>
    <xf numFmtId="0" fontId="25" fillId="0" borderId="2" xfId="0" applyFont="1" applyBorder="1" applyAlignment="1">
      <alignment horizontal="left" vertical="top"/>
    </xf>
    <xf numFmtId="0" fontId="25" fillId="0" borderId="0" xfId="0" applyFont="1"/>
    <xf numFmtId="0" fontId="1" fillId="0" borderId="2" xfId="0" applyFont="1" applyBorder="1"/>
    <xf numFmtId="10" fontId="1" fillId="0" borderId="2" xfId="16" applyNumberFormat="1" applyFont="1" applyBorder="1"/>
    <xf numFmtId="0" fontId="25" fillId="0" borderId="2" xfId="0" applyFont="1" applyBorder="1" applyAlignment="1">
      <alignment horizontal="right"/>
    </xf>
    <xf numFmtId="175" fontId="1" fillId="0" borderId="2" xfId="0" applyNumberFormat="1" applyFont="1" applyBorder="1"/>
    <xf numFmtId="2" fontId="8" fillId="0" borderId="0" xfId="0" applyNumberFormat="1" applyFont="1" applyAlignment="1">
      <alignment vertical="top" wrapText="1"/>
    </xf>
    <xf numFmtId="2" fontId="8" fillId="0" borderId="0" xfId="0" applyNumberFormat="1" applyFont="1" applyAlignment="1">
      <alignment vertical="top"/>
    </xf>
    <xf numFmtId="2" fontId="11" fillId="0" borderId="0" xfId="0" applyNumberFormat="1" applyFont="1" applyAlignment="1">
      <alignment vertical="top" wrapText="1"/>
    </xf>
    <xf numFmtId="2" fontId="1" fillId="0" borderId="0" xfId="0" applyNumberFormat="1" applyFont="1" applyAlignment="1"/>
    <xf numFmtId="0" fontId="1" fillId="0" borderId="0" xfId="0" applyFont="1" applyAlignment="1"/>
    <xf numFmtId="49" fontId="1" fillId="0" borderId="0" xfId="0" applyNumberFormat="1" applyFont="1" applyAlignment="1"/>
    <xf numFmtId="0" fontId="1" fillId="0" borderId="0" xfId="0" applyFont="1" applyBorder="1" applyAlignment="1">
      <alignment horizontal="right"/>
    </xf>
    <xf numFmtId="10" fontId="1" fillId="0" borderId="0" xfId="0" applyNumberFormat="1" applyFont="1" applyBorder="1"/>
    <xf numFmtId="0" fontId="1" fillId="0" borderId="0" xfId="0" applyFont="1" applyBorder="1" applyAlignment="1">
      <alignment horizontal="left"/>
    </xf>
    <xf numFmtId="0" fontId="17" fillId="0" borderId="0" xfId="0" applyFont="1" applyAlignment="1">
      <alignment horizontal="right" vertical="top"/>
    </xf>
    <xf numFmtId="0" fontId="1" fillId="0" borderId="0" xfId="0" applyFont="1" applyAlignment="1">
      <alignment horizontal="right" vertical="top"/>
    </xf>
    <xf numFmtId="180" fontId="1" fillId="0" borderId="12" xfId="0" applyNumberFormat="1" applyFont="1" applyBorder="1"/>
  </cellXfs>
  <cellStyles count="20">
    <cellStyle name="ChartingText" xfId="14" xr:uid="{4C65162C-DB54-E441-8BE0-F027047271B6}"/>
    <cellStyle name="CHPAboveAverage" xfId="15" xr:uid="{4BD91335-D37E-DA47-9625-1B690C9FEED6}"/>
    <cellStyle name="CHPBelowAverage" xfId="15" xr:uid="{2B030473-D4B1-A146-9983-FD7708776FB7}"/>
    <cellStyle name="CHPBottom" xfId="15" xr:uid="{01E0DB44-2FD8-5948-9F6A-FF7DAA93F652}"/>
    <cellStyle name="CHPTop" xfId="15" xr:uid="{C2B6805C-48A4-984C-B686-B4495D2E0740}"/>
    <cellStyle name="ColumnHeaderNormal" xfId="6" xr:uid="{09C29F8A-F41D-7442-AA34-6196604B8AAE}"/>
    <cellStyle name="Invisible" xfId="13" xr:uid="{D5CFA30F-FB99-DA44-A0CA-BF912DF9DC6A}"/>
    <cellStyle name="NewColumnHeaderNormal" xfId="4" xr:uid="{663D2B36-F6EB-C54E-A701-8A168ED707FA}"/>
    <cellStyle name="NewSectionHeaderNormal" xfId="3" xr:uid="{6CF62ED1-F422-1D4E-A13B-3CA6EFF61DA9}"/>
    <cellStyle name="NewTitleNormal" xfId="2" xr:uid="{9FB85774-505E-A34A-B79D-6346131C96CF}"/>
    <cellStyle name="Normal" xfId="0" builtinId="0"/>
    <cellStyle name="Per cent" xfId="16" builtinId="5"/>
    <cellStyle name="SectionHeaderNormal" xfId="5" xr:uid="{68F4A1BF-2BB1-4042-9899-FC202D7405B0}"/>
    <cellStyle name="SubScript" xfId="9" xr:uid="{7D6A11E6-9AE8-B845-B765-C01B6628201B}"/>
    <cellStyle name="SuperScript" xfId="8" xr:uid="{C28C69A7-2604-4D4D-9E6D-2A0D78A5B8E4}"/>
    <cellStyle name="TextBold" xfId="10" xr:uid="{5FFC433C-7FD6-624C-B991-8261C4B81796}"/>
    <cellStyle name="TextItalic" xfId="11" xr:uid="{F7E436A7-7BD4-5D40-8086-D9B1921BDBEA}"/>
    <cellStyle name="TextNormal" xfId="7" xr:uid="{F200F8DF-D28D-ED44-8F1F-DFD736F78DC1}"/>
    <cellStyle name="TitleNormal" xfId="1" xr:uid="{AC7774DA-CBA3-194F-8164-2AD2F7BF9BEA}"/>
    <cellStyle name="Total" xfId="12" builtinId="25" customBuiltin="1"/>
  </cellStyles>
  <dxfs count="24">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FA4040"/>
      <rgbColor rgb="00FFFFEB"/>
      <rgbColor rgb="00EEEEEE"/>
      <rgbColor rgb="00F0F0DC"/>
      <rgbColor rgb="00993366"/>
      <rgbColor rgb="00F5F5E1"/>
      <rgbColor rgb="0000408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1041400</xdr:colOff>
      <xdr:row>3</xdr:row>
      <xdr:rowOff>101600</xdr:rowOff>
    </xdr:to>
    <xdr:pic>
      <xdr:nvPicPr>
        <xdr:cNvPr id="1026" name="Picture 2">
          <a:extLst>
            <a:ext uri="{FF2B5EF4-FFF2-40B4-BE49-F238E27FC236}">
              <a16:creationId xmlns:a16="http://schemas.microsoft.com/office/drawing/2014/main" id="{CF8B55C0-DCA7-85F3-DC85-BE866DDD1D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85554</xdr:colOff>
      <xdr:row>72</xdr:row>
      <xdr:rowOff>34970</xdr:rowOff>
    </xdr:from>
    <xdr:to>
      <xdr:col>5</xdr:col>
      <xdr:colOff>76936</xdr:colOff>
      <xdr:row>72</xdr:row>
      <xdr:rowOff>1785362</xdr:rowOff>
    </xdr:to>
    <xdr:pic>
      <xdr:nvPicPr>
        <xdr:cNvPr id="1027" name="Picture 3">
          <a:extLst>
            <a:ext uri="{FF2B5EF4-FFF2-40B4-BE49-F238E27FC236}">
              <a16:creationId xmlns:a16="http://schemas.microsoft.com/office/drawing/2014/main" id="{E02BC99E-2511-C57D-FF6C-D483A63C34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568" y="11023231"/>
          <a:ext cx="5531527" cy="17503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xdr:row>
      <xdr:rowOff>0</xdr:rowOff>
    </xdr:from>
    <xdr:to>
      <xdr:col>1</xdr:col>
      <xdr:colOff>1041400</xdr:colOff>
      <xdr:row>3</xdr:row>
      <xdr:rowOff>101600</xdr:rowOff>
    </xdr:to>
    <xdr:pic>
      <xdr:nvPicPr>
        <xdr:cNvPr id="5" name="Picture 2">
          <a:extLst>
            <a:ext uri="{FF2B5EF4-FFF2-40B4-BE49-F238E27FC236}">
              <a16:creationId xmlns:a16="http://schemas.microsoft.com/office/drawing/2014/main" id="{614284C8-4D3D-9241-BE6B-258F27E196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3100" y="13970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203200</xdr:colOff>
      <xdr:row>1</xdr:row>
      <xdr:rowOff>114300</xdr:rowOff>
    </xdr:from>
    <xdr:to>
      <xdr:col>9</xdr:col>
      <xdr:colOff>444500</xdr:colOff>
      <xdr:row>7</xdr:row>
      <xdr:rowOff>114300</xdr:rowOff>
    </xdr:to>
    <xdr:pic>
      <xdr:nvPicPr>
        <xdr:cNvPr id="8" name="Picture 7" descr="SkiStar - Apps on Google Play">
          <a:extLst>
            <a:ext uri="{FF2B5EF4-FFF2-40B4-BE49-F238E27FC236}">
              <a16:creationId xmlns:a16="http://schemas.microsoft.com/office/drawing/2014/main" id="{9C873A3A-7909-ED2B-5A39-BD0F58F0707D}"/>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4649" t="14258" r="14258" b="14649"/>
        <a:stretch/>
      </xdr:blipFill>
      <xdr:spPr bwMode="auto">
        <a:xfrm>
          <a:off x="8407400" y="254000"/>
          <a:ext cx="914400"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3074" name="Picture 2">
          <a:extLst>
            <a:ext uri="{FF2B5EF4-FFF2-40B4-BE49-F238E27FC236}">
              <a16:creationId xmlns:a16="http://schemas.microsoft.com/office/drawing/2014/main" id="{FC501B7A-214B-2FCB-E74D-88E2B02694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552174</xdr:colOff>
      <xdr:row>1</xdr:row>
      <xdr:rowOff>76191</xdr:rowOff>
    </xdr:from>
    <xdr:to>
      <xdr:col>4</xdr:col>
      <xdr:colOff>79385</xdr:colOff>
      <xdr:row>5</xdr:row>
      <xdr:rowOff>73624</xdr:rowOff>
    </xdr:to>
    <xdr:pic>
      <xdr:nvPicPr>
        <xdr:cNvPr id="2" name="Picture 1" descr="SkiStar - Apps on Google Play">
          <a:extLst>
            <a:ext uri="{FF2B5EF4-FFF2-40B4-BE49-F238E27FC236}">
              <a16:creationId xmlns:a16="http://schemas.microsoft.com/office/drawing/2014/main" id="{8B3C0417-0203-4443-1D05-B1F67FB57EDC}"/>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3562" t="13967" r="13539" b="14281"/>
        <a:stretch/>
      </xdr:blipFill>
      <xdr:spPr bwMode="auto">
        <a:xfrm>
          <a:off x="6294783" y="223437"/>
          <a:ext cx="649964" cy="660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5122" name="Picture 2">
          <a:extLst>
            <a:ext uri="{FF2B5EF4-FFF2-40B4-BE49-F238E27FC236}">
              <a16:creationId xmlns:a16="http://schemas.microsoft.com/office/drawing/2014/main" id="{7E7E58E5-F2AE-55CA-AB55-5979E88024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7170" name="Picture 2">
          <a:extLst>
            <a:ext uri="{FF2B5EF4-FFF2-40B4-BE49-F238E27FC236}">
              <a16:creationId xmlns:a16="http://schemas.microsoft.com/office/drawing/2014/main" id="{5FE758A7-CBC9-49FE-E58B-155E2CB83E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9218" name="Picture 2">
          <a:extLst>
            <a:ext uri="{FF2B5EF4-FFF2-40B4-BE49-F238E27FC236}">
              <a16:creationId xmlns:a16="http://schemas.microsoft.com/office/drawing/2014/main" id="{2F2184AD-7A0A-B107-909A-F6A76D04A5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85</xdr:row>
      <xdr:rowOff>0</xdr:rowOff>
    </xdr:from>
    <xdr:to>
      <xdr:col>1</xdr:col>
      <xdr:colOff>876300</xdr:colOff>
      <xdr:row>87</xdr:row>
      <xdr:rowOff>101600</xdr:rowOff>
    </xdr:to>
    <xdr:pic>
      <xdr:nvPicPr>
        <xdr:cNvPr id="9219" name="Picture 3">
          <a:extLst>
            <a:ext uri="{FF2B5EF4-FFF2-40B4-BE49-F238E27FC236}">
              <a16:creationId xmlns:a16="http://schemas.microsoft.com/office/drawing/2014/main" id="{3AE8E7DE-0789-F1B9-8BBD-91F00EE635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92500" y="11988800"/>
          <a:ext cx="876300" cy="55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11266" name="Picture 2">
          <a:extLst>
            <a:ext uri="{FF2B5EF4-FFF2-40B4-BE49-F238E27FC236}">
              <a16:creationId xmlns:a16="http://schemas.microsoft.com/office/drawing/2014/main" id="{F0BECD86-926C-84C4-4A58-94C1E93C45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38</xdr:row>
      <xdr:rowOff>0</xdr:rowOff>
    </xdr:from>
    <xdr:to>
      <xdr:col>1</xdr:col>
      <xdr:colOff>876300</xdr:colOff>
      <xdr:row>40</xdr:row>
      <xdr:rowOff>101600</xdr:rowOff>
    </xdr:to>
    <xdr:pic>
      <xdr:nvPicPr>
        <xdr:cNvPr id="11267" name="Picture 3">
          <a:extLst>
            <a:ext uri="{FF2B5EF4-FFF2-40B4-BE49-F238E27FC236}">
              <a16:creationId xmlns:a16="http://schemas.microsoft.com/office/drawing/2014/main" id="{D51423A3-D7F5-0374-1FC4-392167FD35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92500" y="7327900"/>
          <a:ext cx="876300" cy="55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13314" name="Picture 2">
          <a:extLst>
            <a:ext uri="{FF2B5EF4-FFF2-40B4-BE49-F238E27FC236}">
              <a16:creationId xmlns:a16="http://schemas.microsoft.com/office/drawing/2014/main" id="{ED17D165-AC1D-A603-CAFC-724081FA01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1054100</xdr:colOff>
      <xdr:row>2</xdr:row>
      <xdr:rowOff>101600</xdr:rowOff>
    </xdr:to>
    <xdr:pic>
      <xdr:nvPicPr>
        <xdr:cNvPr id="15362" name="Picture 2">
          <a:extLst>
            <a:ext uri="{FF2B5EF4-FFF2-40B4-BE49-F238E27FC236}">
              <a16:creationId xmlns:a16="http://schemas.microsoft.com/office/drawing/2014/main" id="{E72B374F-1F0F-6874-ED85-F5A11DEF37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541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17410" name="Picture 2">
          <a:extLst>
            <a:ext uri="{FF2B5EF4-FFF2-40B4-BE49-F238E27FC236}">
              <a16:creationId xmlns:a16="http://schemas.microsoft.com/office/drawing/2014/main" id="{F768C725-6122-673D-7B0F-15BB026030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19458" name="Picture 2">
          <a:extLst>
            <a:ext uri="{FF2B5EF4-FFF2-40B4-BE49-F238E27FC236}">
              <a16:creationId xmlns:a16="http://schemas.microsoft.com/office/drawing/2014/main" id="{9309772E-10FF-368C-58F9-071E90CA9B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342900</xdr:colOff>
      <xdr:row>2</xdr:row>
      <xdr:rowOff>101600</xdr:rowOff>
    </xdr:to>
    <xdr:pic>
      <xdr:nvPicPr>
        <xdr:cNvPr id="21506" name="Picture 2">
          <a:extLst>
            <a:ext uri="{FF2B5EF4-FFF2-40B4-BE49-F238E27FC236}">
              <a16:creationId xmlns:a16="http://schemas.microsoft.com/office/drawing/2014/main" id="{77094682-3B3F-82A4-F18E-B0B3B043B6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541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23554" name="Picture 2">
          <a:extLst>
            <a:ext uri="{FF2B5EF4-FFF2-40B4-BE49-F238E27FC236}">
              <a16:creationId xmlns:a16="http://schemas.microsoft.com/office/drawing/2014/main" id="{1371B2B8-F39A-7C60-6BAF-5F29CBA07A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25602" name="Picture 2">
          <a:extLst>
            <a:ext uri="{FF2B5EF4-FFF2-40B4-BE49-F238E27FC236}">
              <a16:creationId xmlns:a16="http://schemas.microsoft.com/office/drawing/2014/main" id="{16BE4EAE-EE74-40DB-3246-81C9408F07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80402-FAF5-7E40-88C5-77DEC9E7B689}">
  <sheetPr>
    <outlinePr summaryBelow="0" summaryRight="0"/>
    <pageSetUpPr autoPageBreaks="0"/>
  </sheetPr>
  <dimension ref="B6:IV94"/>
  <sheetViews>
    <sheetView showGridLines="0" tabSelected="1" view="pageBreakPreview" topLeftCell="A12" zoomScaleNormal="75" workbookViewId="0">
      <selection activeCell="F63" sqref="F63"/>
    </sheetView>
  </sheetViews>
  <sheetFormatPr baseColWidth="10" defaultColWidth="8.83203125" defaultRowHeight="11" x14ac:dyDescent="0.15"/>
  <cols>
    <col min="2" max="2" width="45.83203125" customWidth="1"/>
    <col min="3" max="257" width="8.83203125" customWidth="1"/>
  </cols>
  <sheetData>
    <row r="6" spans="2:256" ht="17" x14ac:dyDescent="0.2">
      <c r="B6" s="1" t="s">
        <v>0</v>
      </c>
    </row>
    <row r="8" spans="2:256" ht="12" x14ac:dyDescent="0.15">
      <c r="B8" s="2" t="s">
        <v>1</v>
      </c>
      <c r="C8" s="3" t="s">
        <v>2</v>
      </c>
      <c r="D8" s="104" t="s">
        <v>3</v>
      </c>
      <c r="E8" s="4" t="s">
        <v>4</v>
      </c>
      <c r="F8" s="3" t="s">
        <v>5</v>
      </c>
      <c r="G8" t="s">
        <v>6</v>
      </c>
    </row>
    <row r="9" spans="2:256" x14ac:dyDescent="0.15">
      <c r="B9" s="4"/>
      <c r="C9" s="3" t="s">
        <v>7</v>
      </c>
      <c r="D9" s="104" t="s">
        <v>8</v>
      </c>
      <c r="E9" s="4" t="s">
        <v>4</v>
      </c>
      <c r="F9" s="3" t="s">
        <v>9</v>
      </c>
      <c r="G9" t="s">
        <v>10</v>
      </c>
    </row>
    <row r="10" spans="2:256" x14ac:dyDescent="0.15">
      <c r="B10" s="4"/>
      <c r="C10" s="3" t="s">
        <v>11</v>
      </c>
      <c r="D10" s="105" t="s">
        <v>12</v>
      </c>
      <c r="E10" s="4" t="s">
        <v>4</v>
      </c>
      <c r="F10" s="3" t="s">
        <v>13</v>
      </c>
      <c r="G10" t="s">
        <v>14</v>
      </c>
    </row>
    <row r="11" spans="2:256" x14ac:dyDescent="0.15">
      <c r="D11" s="104"/>
    </row>
    <row r="13" spans="2:256" x14ac:dyDescent="0.15">
      <c r="B13" s="6" t="s">
        <v>15</v>
      </c>
      <c r="C13" s="6"/>
      <c r="D13" s="6"/>
      <c r="E13" s="6"/>
      <c r="F13" s="6"/>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c r="FT13" s="61"/>
      <c r="FU13" s="61"/>
      <c r="FV13" s="61"/>
      <c r="FW13" s="61"/>
      <c r="FX13" s="61"/>
      <c r="FY13" s="61"/>
      <c r="FZ13" s="61"/>
      <c r="GA13" s="61"/>
      <c r="GB13" s="61"/>
      <c r="GC13" s="61"/>
      <c r="GD13" s="61"/>
      <c r="GE13" s="61"/>
      <c r="GF13" s="61"/>
      <c r="GG13" s="61"/>
      <c r="GH13" s="61"/>
      <c r="GI13" s="61"/>
      <c r="GJ13" s="61"/>
      <c r="GK13" s="61"/>
      <c r="GL13" s="61"/>
      <c r="GM13" s="61"/>
      <c r="GN13" s="61"/>
      <c r="GO13" s="61"/>
      <c r="GP13" s="61"/>
      <c r="GQ13" s="61"/>
      <c r="GR13" s="61"/>
      <c r="GS13" s="61"/>
      <c r="GT13" s="61"/>
      <c r="GU13" s="61"/>
      <c r="GV13" s="61"/>
      <c r="GW13" s="61"/>
      <c r="GX13" s="61"/>
      <c r="GY13" s="61"/>
      <c r="GZ13" s="61"/>
      <c r="HA13" s="61"/>
      <c r="HB13" s="61"/>
      <c r="HC13" s="61"/>
      <c r="HD13" s="61"/>
      <c r="HE13" s="61"/>
      <c r="HF13" s="61"/>
      <c r="HG13" s="61"/>
      <c r="HH13" s="61"/>
      <c r="HI13" s="61"/>
      <c r="HJ13" s="61"/>
      <c r="HK13" s="61"/>
      <c r="HL13" s="61"/>
      <c r="HM13" s="61"/>
      <c r="HN13" s="61"/>
      <c r="HO13" s="61"/>
      <c r="HP13" s="61"/>
      <c r="HQ13" s="61"/>
      <c r="HR13" s="61"/>
      <c r="HS13" s="61"/>
      <c r="HT13" s="61"/>
      <c r="HU13" s="61"/>
      <c r="HV13" s="61"/>
      <c r="HW13" s="61"/>
      <c r="HX13" s="61"/>
      <c r="HY13" s="61"/>
      <c r="HZ13" s="61"/>
      <c r="IA13" s="61"/>
      <c r="IB13" s="61"/>
      <c r="IC13" s="61"/>
      <c r="ID13" s="61"/>
      <c r="IE13" s="61"/>
      <c r="IF13" s="61"/>
      <c r="IG13" s="61"/>
      <c r="IH13" s="61"/>
      <c r="II13" s="61"/>
      <c r="IJ13" s="61"/>
      <c r="IK13" s="61"/>
      <c r="IL13" s="61"/>
      <c r="IM13" s="61"/>
      <c r="IN13" s="61"/>
      <c r="IO13" s="61"/>
      <c r="IP13" s="61"/>
      <c r="IQ13" s="61"/>
      <c r="IR13" s="61"/>
      <c r="IS13" s="61"/>
      <c r="IT13" s="61"/>
      <c r="IU13" s="61"/>
      <c r="IV13" s="61"/>
    </row>
    <row r="14" spans="2:256" ht="36" x14ac:dyDescent="0.15">
      <c r="B14" s="7" t="s">
        <v>16</v>
      </c>
      <c r="C14" s="12" t="s">
        <v>17</v>
      </c>
      <c r="D14" s="12" t="s">
        <v>18</v>
      </c>
      <c r="E14" s="12" t="s">
        <v>19</v>
      </c>
      <c r="F14" s="62" t="s">
        <v>20</v>
      </c>
      <c r="G14" s="63">
        <v>2024</v>
      </c>
      <c r="H14" s="63">
        <v>2025</v>
      </c>
      <c r="I14" s="63">
        <v>2026</v>
      </c>
      <c r="J14" s="63">
        <v>2027</v>
      </c>
    </row>
    <row r="15" spans="2:256" ht="12" x14ac:dyDescent="0.15">
      <c r="B15" s="8" t="s">
        <v>23</v>
      </c>
      <c r="C15" s="13" t="s">
        <v>24</v>
      </c>
      <c r="D15" s="13" t="s">
        <v>24</v>
      </c>
      <c r="E15" s="13" t="s">
        <v>24</v>
      </c>
      <c r="F15" s="64" t="s">
        <v>24</v>
      </c>
      <c r="G15" s="13"/>
      <c r="H15" s="13"/>
      <c r="I15" s="13"/>
      <c r="J15" s="13"/>
    </row>
    <row r="16" spans="2:256" x14ac:dyDescent="0.15">
      <c r="B16" s="9"/>
      <c r="C16" s="93">
        <v>1</v>
      </c>
      <c r="D16" s="93">
        <v>2</v>
      </c>
      <c r="E16" s="93">
        <v>3</v>
      </c>
      <c r="F16" s="94">
        <v>4</v>
      </c>
      <c r="G16" s="95">
        <v>5</v>
      </c>
      <c r="H16" s="95">
        <v>6</v>
      </c>
      <c r="I16" s="95">
        <v>7</v>
      </c>
      <c r="J16" s="95">
        <v>8</v>
      </c>
    </row>
    <row r="17" spans="2:10" x14ac:dyDescent="0.15">
      <c r="B17" s="9" t="s">
        <v>25</v>
      </c>
      <c r="C17" s="65">
        <v>4685.6480000000001</v>
      </c>
      <c r="D17" s="65">
        <v>4564.1675100000002</v>
      </c>
      <c r="E17" s="65">
        <v>4813.0657199999996</v>
      </c>
      <c r="F17" s="66">
        <v>5116.9682899999998</v>
      </c>
      <c r="G17" s="65">
        <f>_xlfn.FORECAST.LINEAR(G16,C17:F17,C16:F16)</f>
        <v>5180.6771499999995</v>
      </c>
      <c r="H17" s="65">
        <f t="shared" ref="H17:J17" si="0">_xlfn.FORECAST.LINEAR(H16,D17:G17,D16:G16)</f>
        <v>5457.0775399999993</v>
      </c>
      <c r="I17" s="65">
        <f t="shared" si="0"/>
        <v>5640.8832549999988</v>
      </c>
      <c r="J17" s="65">
        <f t="shared" si="0"/>
        <v>5810.9378799999995</v>
      </c>
    </row>
    <row r="18" spans="2:10" x14ac:dyDescent="0.15">
      <c r="B18" s="10" t="s">
        <v>26</v>
      </c>
      <c r="C18" s="18">
        <v>0.13253599999999999</v>
      </c>
      <c r="D18" s="18">
        <v>6.0549116097999997E-2</v>
      </c>
      <c r="E18" s="18">
        <v>5.4533101480999997E-2</v>
      </c>
      <c r="F18" s="67">
        <v>6.3141163590999999E-2</v>
      </c>
      <c r="G18" s="18">
        <f>(G17-F17)/F17</f>
        <v>1.2450509049373009E-2</v>
      </c>
      <c r="H18" s="18">
        <f t="shared" ref="H18:J18" si="1">(H17-G17)/G17</f>
        <v>5.3352174242318848E-2</v>
      </c>
      <c r="I18" s="18">
        <f t="shared" si="1"/>
        <v>3.368207866806297E-2</v>
      </c>
      <c r="J18" s="18">
        <f t="shared" si="1"/>
        <v>3.0146808099470356E-2</v>
      </c>
    </row>
    <row r="19" spans="2:10" x14ac:dyDescent="0.15">
      <c r="B19" s="4"/>
      <c r="F19" s="96"/>
    </row>
    <row r="20" spans="2:10" ht="12" x14ac:dyDescent="0.15">
      <c r="B20" s="9" t="s">
        <v>27</v>
      </c>
      <c r="C20" s="65">
        <v>3616.297</v>
      </c>
      <c r="D20" s="65" t="s">
        <v>28</v>
      </c>
      <c r="E20" s="65" t="s">
        <v>28</v>
      </c>
      <c r="F20" s="66" t="s">
        <v>28</v>
      </c>
      <c r="G20" s="109" t="s">
        <v>28</v>
      </c>
      <c r="H20" s="109" t="s">
        <v>28</v>
      </c>
      <c r="I20" s="109" t="s">
        <v>28</v>
      </c>
      <c r="J20" s="109" t="s">
        <v>28</v>
      </c>
    </row>
    <row r="21" spans="2:10" ht="12" x14ac:dyDescent="0.15">
      <c r="B21" s="10" t="s">
        <v>29</v>
      </c>
      <c r="C21" s="18">
        <v>0.77178100000000005</v>
      </c>
      <c r="D21" s="18">
        <v>0.76</v>
      </c>
      <c r="E21" s="18">
        <v>0.76500000000000001</v>
      </c>
      <c r="F21" s="67" t="s">
        <v>28</v>
      </c>
      <c r="G21" s="110" t="s">
        <v>28</v>
      </c>
      <c r="H21" s="110" t="s">
        <v>28</v>
      </c>
      <c r="I21" s="110" t="s">
        <v>28</v>
      </c>
      <c r="J21" s="110" t="s">
        <v>28</v>
      </c>
    </row>
    <row r="22" spans="2:10" x14ac:dyDescent="0.15">
      <c r="B22" s="4"/>
      <c r="F22" s="96"/>
    </row>
    <row r="23" spans="2:10" x14ac:dyDescent="0.15">
      <c r="B23" s="9" t="s">
        <v>30</v>
      </c>
      <c r="C23" s="65">
        <v>1328.3689999999999</v>
      </c>
      <c r="D23" s="65">
        <v>1298.3663899999999</v>
      </c>
      <c r="E23" s="65">
        <v>1378.6811</v>
      </c>
      <c r="F23" s="66">
        <v>1498.79342</v>
      </c>
      <c r="G23" s="65">
        <f>_xlfn.FORECAST.LINEAR(G16,C23:F23,C16:F16)</f>
        <v>1523.94947</v>
      </c>
      <c r="H23" s="65">
        <f>_xlfn.FORECAST.LINEAR(H16,D23:G23,D16:G16)</f>
        <v>1624.1629850000002</v>
      </c>
      <c r="I23" s="65">
        <f t="shared" ref="I23:J23" si="2">_xlfn.FORECAST.LINEAR(I16,E23:H23,E16:H16)</f>
        <v>1696.7971700000001</v>
      </c>
      <c r="J23" s="65">
        <f t="shared" si="2"/>
        <v>1759.4819525</v>
      </c>
    </row>
    <row r="24" spans="2:10" x14ac:dyDescent="0.15">
      <c r="B24" s="10" t="s">
        <v>29</v>
      </c>
      <c r="C24" s="68">
        <v>0.283497</v>
      </c>
      <c r="D24" s="68">
        <v>0.28446948696699997</v>
      </c>
      <c r="E24" s="68">
        <v>0.28644551730700002</v>
      </c>
      <c r="F24" s="97">
        <v>0.292906528838</v>
      </c>
      <c r="G24" s="18">
        <f>(G23-F23)/F23</f>
        <v>1.678420098748502E-2</v>
      </c>
      <c r="H24" s="18">
        <f t="shared" ref="H24" si="3">(H23-G23)/G23</f>
        <v>6.5759079925399463E-2</v>
      </c>
      <c r="I24" s="18">
        <f t="shared" ref="I24" si="4">(I23-H23)/H23</f>
        <v>4.4720995165395842E-2</v>
      </c>
      <c r="J24" s="18">
        <f t="shared" ref="J24" si="5">(J23-I23)/I23</f>
        <v>3.6943002739685135E-2</v>
      </c>
    </row>
    <row r="25" spans="2:10" x14ac:dyDescent="0.15">
      <c r="B25" s="4"/>
      <c r="F25" s="96"/>
    </row>
    <row r="26" spans="2:10" x14ac:dyDescent="0.15">
      <c r="B26" s="9" t="s">
        <v>31</v>
      </c>
      <c r="C26" s="65">
        <v>968.47500000000002</v>
      </c>
      <c r="D26" s="65">
        <v>798.41629999999998</v>
      </c>
      <c r="E26" s="65">
        <v>868.41623000000004</v>
      </c>
      <c r="F26" s="66">
        <v>971.70857999999998</v>
      </c>
      <c r="G26" s="65">
        <f>_xlfn.FORECAST.LINEAR(G16,C26:F26,C16:F16)</f>
        <v>921.67919500000005</v>
      </c>
      <c r="H26" s="65">
        <f>_xlfn.FORECAST.LINEAR(H16,D26:G26,D16:G16)</f>
        <v>1008.3253350000001</v>
      </c>
      <c r="I26" s="65">
        <f t="shared" ref="I26:J26" si="6">_xlfn.FORECAST.LINEAR(I16,E26:H26,E16:H16)</f>
        <v>1034.9568174999999</v>
      </c>
      <c r="J26" s="65">
        <f t="shared" si="6"/>
        <v>1053.2651949999999</v>
      </c>
    </row>
    <row r="27" spans="2:10" x14ac:dyDescent="0.15">
      <c r="B27" s="10" t="s">
        <v>29</v>
      </c>
      <c r="C27" s="68">
        <v>0.20668900000000001</v>
      </c>
      <c r="D27" s="68">
        <v>0.174931419202</v>
      </c>
      <c r="E27" s="68">
        <v>0.180428915897</v>
      </c>
      <c r="F27" s="97">
        <v>0.18989927725299999</v>
      </c>
      <c r="G27" s="18">
        <f>(G26-F26)/F26</f>
        <v>-5.1485996964233796E-2</v>
      </c>
      <c r="H27" s="18">
        <f t="shared" ref="H27" si="7">(H26-G26)/G26</f>
        <v>9.4009000604597631E-2</v>
      </c>
      <c r="I27" s="18">
        <f t="shared" ref="I27" si="8">(I26-H26)/H26</f>
        <v>2.641159710620564E-2</v>
      </c>
      <c r="J27" s="18">
        <f t="shared" ref="J27" si="9">(J26-I26)/I26</f>
        <v>1.7689991688952768E-2</v>
      </c>
    </row>
    <row r="28" spans="2:10" x14ac:dyDescent="0.15">
      <c r="B28" s="4"/>
      <c r="F28" s="96"/>
    </row>
    <row r="29" spans="2:10" ht="12" x14ac:dyDescent="0.15">
      <c r="B29" s="9" t="s">
        <v>32</v>
      </c>
      <c r="C29" s="65">
        <v>538.96400000000006</v>
      </c>
      <c r="D29" s="65" t="s">
        <v>28</v>
      </c>
      <c r="E29" s="65" t="s">
        <v>28</v>
      </c>
      <c r="F29" s="66" t="s">
        <v>28</v>
      </c>
      <c r="G29" s="65" t="s">
        <v>28</v>
      </c>
      <c r="H29" s="65" t="s">
        <v>28</v>
      </c>
      <c r="I29" s="65" t="s">
        <v>28</v>
      </c>
      <c r="J29" s="65" t="s">
        <v>28</v>
      </c>
    </row>
    <row r="30" spans="2:10" x14ac:dyDescent="0.15">
      <c r="B30" s="10" t="s">
        <v>29</v>
      </c>
      <c r="C30" s="68">
        <v>0.115024</v>
      </c>
      <c r="D30" s="68" t="s">
        <v>28</v>
      </c>
      <c r="E30" s="68" t="s">
        <v>28</v>
      </c>
      <c r="F30" s="97" t="s">
        <v>28</v>
      </c>
      <c r="G30" s="68" t="s">
        <v>28</v>
      </c>
      <c r="H30" s="68" t="s">
        <v>28</v>
      </c>
      <c r="I30" s="68" t="s">
        <v>28</v>
      </c>
      <c r="J30" s="68" t="s">
        <v>28</v>
      </c>
    </row>
    <row r="31" spans="2:10" x14ac:dyDescent="0.15">
      <c r="B31" s="4"/>
      <c r="F31" s="96"/>
    </row>
    <row r="32" spans="2:10" x14ac:dyDescent="0.15">
      <c r="B32" s="9" t="s">
        <v>33</v>
      </c>
      <c r="C32" s="65">
        <v>539.61500000000001</v>
      </c>
      <c r="D32" s="65">
        <v>540.53579999999999</v>
      </c>
      <c r="E32" s="65">
        <v>592.97429</v>
      </c>
      <c r="F32" s="66">
        <v>696.33951999999999</v>
      </c>
      <c r="G32" s="65">
        <f>_xlfn.FORECAST.LINEAR(G16,C32:F32,C16:F16)</f>
        <v>723.01916499999993</v>
      </c>
      <c r="H32" s="65">
        <f>_xlfn.FORECAST.LINEAR(H16,D32:G32,D16:G16)</f>
        <v>800.92102499999987</v>
      </c>
      <c r="I32" s="65">
        <f t="shared" ref="I32:J32" si="10">_xlfn.FORECAST.LINEAR(I16,E32:H32,E16:H16)</f>
        <v>865.9434624999999</v>
      </c>
      <c r="J32" s="65">
        <f t="shared" si="10"/>
        <v>918.23421499999984</v>
      </c>
    </row>
    <row r="33" spans="2:256" x14ac:dyDescent="0.15">
      <c r="B33" s="10" t="s">
        <v>29</v>
      </c>
      <c r="C33" s="68">
        <v>0.115163</v>
      </c>
      <c r="D33" s="68">
        <v>0.118430315893</v>
      </c>
      <c r="E33" s="68">
        <v>0.123200954339</v>
      </c>
      <c r="F33" s="97">
        <v>0.13608439226800001</v>
      </c>
      <c r="G33" s="18">
        <f>(G32-F32)/F32</f>
        <v>3.8314133025223004E-2</v>
      </c>
      <c r="H33" s="18">
        <f t="shared" ref="H33" si="11">(H32-G32)/G32</f>
        <v>0.10774522138704297</v>
      </c>
      <c r="I33" s="18">
        <f t="shared" ref="I33" si="12">(I32-H32)/H32</f>
        <v>8.1184580589578142E-2</v>
      </c>
      <c r="J33" s="18">
        <f t="shared" ref="J33" si="13">(J32-I32)/I32</f>
        <v>6.0385873633176074E-2</v>
      </c>
    </row>
    <row r="34" spans="2:256" x14ac:dyDescent="0.15">
      <c r="B34" s="69"/>
      <c r="C34" s="70"/>
      <c r="D34" s="70"/>
      <c r="E34" s="70"/>
      <c r="F34" s="98"/>
    </row>
    <row r="35" spans="2:256" x14ac:dyDescent="0.15">
      <c r="B35" s="9" t="s">
        <v>620</v>
      </c>
      <c r="C35" s="71" cm="1">
        <f t="array" ref="C35:F35">'Cash Flow'!D64:G64</f>
        <v>-26.3</v>
      </c>
      <c r="D35" s="71">
        <v>345.21924999999999</v>
      </c>
      <c r="E35" s="71">
        <v>-156.6</v>
      </c>
      <c r="F35" s="72">
        <v>263.89162499999998</v>
      </c>
      <c r="G35" s="65">
        <f>_xlfn.FORECAST.LINEAR(G16,_xlfn.ANCHORARRAY(C35),C16:F16)</f>
        <v>198.741625</v>
      </c>
      <c r="H35" s="65">
        <f>_xlfn.FORECAST.LINEAR(H16,D35:G35,D16:G16)</f>
        <v>158.07781249999999</v>
      </c>
      <c r="I35" s="65">
        <f t="shared" ref="I35:J35" si="14">_xlfn.FORECAST.LINEAR(I16,E35:H35,E16:H16)</f>
        <v>335.74862500000006</v>
      </c>
      <c r="J35" s="65">
        <f t="shared" si="14"/>
        <v>282.8417187500001</v>
      </c>
      <c r="K35" s="73"/>
    </row>
    <row r="36" spans="2:256" x14ac:dyDescent="0.15">
      <c r="B36" s="10"/>
      <c r="C36" s="73"/>
      <c r="D36" s="73"/>
      <c r="E36" s="73"/>
      <c r="F36" s="99"/>
    </row>
    <row r="37" spans="2:256" x14ac:dyDescent="0.15">
      <c r="B37" s="4"/>
      <c r="C37" s="4"/>
      <c r="D37" s="4"/>
      <c r="E37" s="4"/>
      <c r="F37" s="4"/>
    </row>
    <row r="39" spans="2:256" x14ac:dyDescent="0.15">
      <c r="B39" s="24" t="s">
        <v>35</v>
      </c>
      <c r="C39" s="11"/>
      <c r="K39" s="61"/>
    </row>
    <row r="40" spans="2:256" x14ac:dyDescent="0.15">
      <c r="B40" t="s">
        <v>36</v>
      </c>
      <c r="G40" s="74"/>
    </row>
    <row r="41" spans="2:256" x14ac:dyDescent="0.15">
      <c r="B41" t="s">
        <v>37</v>
      </c>
      <c r="G41" s="74"/>
      <c r="I41" s="106"/>
      <c r="J41" s="107"/>
    </row>
    <row r="42" spans="2:256" x14ac:dyDescent="0.15">
      <c r="B42" t="s">
        <v>38</v>
      </c>
      <c r="G42" s="74"/>
      <c r="I42" s="108"/>
      <c r="J42" s="107"/>
    </row>
    <row r="43" spans="2:256" x14ac:dyDescent="0.15">
      <c r="B43" s="4" t="s">
        <v>39</v>
      </c>
      <c r="C43" s="4"/>
      <c r="G43" s="79"/>
    </row>
    <row r="44" spans="2:256" x14ac:dyDescent="0.15">
      <c r="B44" s="9"/>
      <c r="C44" s="65"/>
      <c r="G44" s="74"/>
    </row>
    <row r="45" spans="2:256" x14ac:dyDescent="0.15">
      <c r="B45" s="6" t="s">
        <v>40</v>
      </c>
      <c r="C45" s="6"/>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c r="AK45" s="61"/>
      <c r="AL45" s="61"/>
      <c r="AM45" s="61"/>
      <c r="AN45" s="61"/>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
      <c r="BU45" s="61"/>
      <c r="BV45" s="61"/>
      <c r="BW45" s="61"/>
      <c r="BX45" s="61"/>
      <c r="BY45" s="61"/>
      <c r="BZ45" s="61"/>
      <c r="CA45" s="61"/>
      <c r="CB45" s="61"/>
      <c r="CC45" s="61"/>
      <c r="CD45" s="61"/>
      <c r="CE45" s="61"/>
      <c r="CF45" s="61"/>
      <c r="CG45" s="61"/>
      <c r="CH45" s="61"/>
      <c r="CI45" s="61"/>
      <c r="CJ45" s="61"/>
      <c r="CK45" s="61"/>
      <c r="CL45" s="61"/>
      <c r="CM45" s="61"/>
      <c r="CN45" s="61"/>
      <c r="CO45" s="61"/>
      <c r="CP45" s="61"/>
      <c r="CQ45" s="61"/>
      <c r="CR45" s="61"/>
      <c r="CS45" s="61"/>
      <c r="CT45" s="61"/>
      <c r="CU45" s="61"/>
      <c r="CV45" s="61"/>
      <c r="CW45" s="61"/>
      <c r="CX45" s="61"/>
      <c r="CY45" s="61"/>
      <c r="CZ45" s="61"/>
      <c r="DA45" s="61"/>
      <c r="DB45" s="61"/>
      <c r="DC45" s="61"/>
      <c r="DD45" s="61"/>
      <c r="DE45" s="61"/>
      <c r="DF45" s="61"/>
      <c r="DG45" s="61"/>
      <c r="DH45" s="61"/>
      <c r="DI45" s="61"/>
      <c r="DJ45" s="61"/>
      <c r="DK45" s="61"/>
      <c r="DL45" s="61"/>
      <c r="DM45" s="61"/>
      <c r="DN45" s="61"/>
      <c r="DO45" s="61"/>
      <c r="DP45" s="61"/>
      <c r="DQ45" s="61"/>
      <c r="DR45" s="61"/>
      <c r="DS45" s="61"/>
      <c r="DT45" s="61"/>
      <c r="DU45" s="61"/>
      <c r="DV45" s="61"/>
      <c r="DW45" s="61"/>
      <c r="DX45" s="61"/>
      <c r="DY45" s="61"/>
      <c r="DZ45" s="61"/>
      <c r="EA45" s="61"/>
      <c r="EB45" s="61"/>
      <c r="EC45" s="61"/>
      <c r="ED45" s="61"/>
      <c r="EE45" s="61"/>
      <c r="EF45" s="61"/>
      <c r="EG45" s="61"/>
      <c r="EH45" s="61"/>
      <c r="EI45" s="61"/>
      <c r="EJ45" s="61"/>
      <c r="EK45" s="61"/>
      <c r="EL45" s="61"/>
      <c r="EM45" s="61"/>
      <c r="EN45" s="61"/>
      <c r="EO45" s="61"/>
      <c r="EP45" s="61"/>
      <c r="EQ45" s="61"/>
      <c r="ER45" s="61"/>
      <c r="ES45" s="61"/>
      <c r="ET45" s="61"/>
      <c r="EU45" s="61"/>
      <c r="EV45" s="61"/>
      <c r="EW45" s="61"/>
      <c r="EX45" s="61"/>
      <c r="EY45" s="61"/>
      <c r="EZ45" s="61"/>
      <c r="FA45" s="61"/>
      <c r="FB45" s="61"/>
      <c r="FC45" s="61"/>
      <c r="FD45" s="61"/>
      <c r="FE45" s="61"/>
      <c r="FF45" s="61"/>
      <c r="FG45" s="61"/>
      <c r="FH45" s="61"/>
      <c r="FI45" s="61"/>
      <c r="FJ45" s="61"/>
      <c r="FK45" s="61"/>
      <c r="FL45" s="61"/>
      <c r="FM45" s="61"/>
      <c r="FN45" s="61"/>
      <c r="FO45" s="61"/>
      <c r="FP45" s="61"/>
      <c r="FQ45" s="61"/>
      <c r="FR45" s="61"/>
      <c r="FS45" s="61"/>
      <c r="FT45" s="61"/>
      <c r="FU45" s="61"/>
      <c r="FV45" s="61"/>
      <c r="FW45" s="61"/>
      <c r="FX45" s="61"/>
      <c r="FY45" s="61"/>
      <c r="FZ45" s="61"/>
      <c r="GA45" s="61"/>
      <c r="GB45" s="61"/>
      <c r="GC45" s="61"/>
      <c r="GD45" s="61"/>
      <c r="GE45" s="61"/>
      <c r="GF45" s="61"/>
      <c r="GG45" s="61"/>
      <c r="GH45" s="61"/>
      <c r="GI45" s="61"/>
      <c r="GJ45" s="61"/>
      <c r="GK45" s="61"/>
      <c r="GL45" s="61"/>
      <c r="GM45" s="61"/>
      <c r="GN45" s="61"/>
      <c r="GO45" s="61"/>
      <c r="GP45" s="61"/>
      <c r="GQ45" s="61"/>
      <c r="GR45" s="61"/>
      <c r="GS45" s="61"/>
      <c r="GT45" s="61"/>
      <c r="GU45" s="61"/>
      <c r="GV45" s="61"/>
      <c r="GW45" s="61"/>
      <c r="GX45" s="61"/>
      <c r="GY45" s="61"/>
      <c r="GZ45" s="61"/>
      <c r="HA45" s="61"/>
      <c r="HB45" s="61"/>
      <c r="HC45" s="61"/>
      <c r="HD45" s="61"/>
      <c r="HE45" s="61"/>
      <c r="HF45" s="61"/>
      <c r="HG45" s="61"/>
      <c r="HH45" s="61"/>
      <c r="HI45" s="61"/>
      <c r="HJ45" s="61"/>
      <c r="HK45" s="61"/>
      <c r="HL45" s="61"/>
      <c r="HM45" s="61"/>
      <c r="HN45" s="61"/>
      <c r="HO45" s="61"/>
      <c r="HP45" s="61"/>
      <c r="HQ45" s="61"/>
      <c r="HR45" s="61"/>
      <c r="HS45" s="61"/>
      <c r="HT45" s="61"/>
      <c r="HU45" s="61"/>
      <c r="HV45" s="61"/>
      <c r="HW45" s="61"/>
      <c r="HX45" s="61"/>
      <c r="HY45" s="61"/>
      <c r="HZ45" s="61"/>
      <c r="IA45" s="61"/>
      <c r="IB45" s="61"/>
      <c r="IC45" s="61"/>
      <c r="ID45" s="61"/>
      <c r="IE45" s="61"/>
      <c r="IF45" s="61"/>
      <c r="IG45" s="61"/>
      <c r="IH45" s="61"/>
      <c r="II45" s="61"/>
      <c r="IJ45" s="61"/>
      <c r="IK45" s="61"/>
      <c r="IL45" s="61"/>
      <c r="IM45" s="61"/>
      <c r="IN45" s="61"/>
      <c r="IO45" s="61"/>
      <c r="IP45" s="61"/>
      <c r="IQ45" s="61"/>
      <c r="IR45" s="61"/>
      <c r="IS45" s="61"/>
      <c r="IT45" s="61"/>
      <c r="IU45" s="61"/>
      <c r="IV45" s="61"/>
    </row>
    <row r="46" spans="2:256" ht="12" x14ac:dyDescent="0.15">
      <c r="B46" s="8" t="s">
        <v>23</v>
      </c>
      <c r="C46" s="13" t="s">
        <v>24</v>
      </c>
      <c r="F46" t="s">
        <v>602</v>
      </c>
      <c r="G46" s="74">
        <f>C67/C68</f>
        <v>0.48991299269179417</v>
      </c>
    </row>
    <row r="47" spans="2:256" x14ac:dyDescent="0.15">
      <c r="B47" s="4" t="s">
        <v>41</v>
      </c>
      <c r="C47" s="100">
        <v>151.5</v>
      </c>
      <c r="F47" t="s">
        <v>603</v>
      </c>
      <c r="G47" s="74">
        <f>'Cash Flow'!G62/'Key Stats'!C67</f>
        <v>1.2963600197197486E-2</v>
      </c>
      <c r="I47" s="75" t="s">
        <v>604</v>
      </c>
      <c r="J47" s="76">
        <v>0.02</v>
      </c>
    </row>
    <row r="48" spans="2:256" x14ac:dyDescent="0.15">
      <c r="B48" s="4" t="s">
        <v>42</v>
      </c>
      <c r="C48" s="100">
        <v>78.376056000000005</v>
      </c>
      <c r="F48" t="s">
        <v>605</v>
      </c>
      <c r="G48" s="74">
        <v>0.20599999999999999</v>
      </c>
      <c r="I48" s="77" t="s">
        <v>606</v>
      </c>
      <c r="J48" s="78">
        <f>(G50*G51)+(G46*G47*(1-G48))</f>
        <v>4.2029131617841158E-2</v>
      </c>
    </row>
    <row r="49" spans="2:10" x14ac:dyDescent="0.15">
      <c r="B49" s="4"/>
      <c r="C49" s="101"/>
      <c r="F49" t="s">
        <v>607</v>
      </c>
      <c r="G49" s="79">
        <f>C64+C66</f>
        <v>4000.0360000000001</v>
      </c>
    </row>
    <row r="50" spans="2:10" x14ac:dyDescent="0.15">
      <c r="B50" s="9" t="s">
        <v>43</v>
      </c>
      <c r="C50" s="102">
        <v>11873.972484</v>
      </c>
      <c r="F50" t="s">
        <v>608</v>
      </c>
      <c r="G50" s="74">
        <f>G49/G55</f>
        <v>0.51008700730820589</v>
      </c>
    </row>
    <row r="51" spans="2:10" x14ac:dyDescent="0.15">
      <c r="B51" s="4" t="s">
        <v>44</v>
      </c>
      <c r="C51" s="100">
        <v>74.728055999999995</v>
      </c>
      <c r="F51" t="s">
        <v>609</v>
      </c>
      <c r="G51" s="74">
        <f>G52+(G53*G54)</f>
        <v>7.2509999999999991E-2</v>
      </c>
    </row>
    <row r="52" spans="2:10" x14ac:dyDescent="0.15">
      <c r="B52" s="4" t="s">
        <v>45</v>
      </c>
      <c r="C52" s="100">
        <v>151.5</v>
      </c>
      <c r="F52" t="s">
        <v>610</v>
      </c>
      <c r="G52" s="74">
        <f>J52</f>
        <v>3.7499999999999999E-2</v>
      </c>
      <c r="H52" s="80" t="s">
        <v>611</v>
      </c>
      <c r="I52" s="81" t="s">
        <v>612</v>
      </c>
      <c r="J52" s="82">
        <v>3.7499999999999999E-2</v>
      </c>
    </row>
    <row r="53" spans="2:10" x14ac:dyDescent="0.15">
      <c r="B53" s="4" t="s">
        <v>46</v>
      </c>
      <c r="C53" s="100">
        <v>11321.300483999999</v>
      </c>
      <c r="F53" t="s">
        <v>613</v>
      </c>
      <c r="G53" s="83">
        <v>0.9</v>
      </c>
      <c r="I53" s="81" t="s">
        <v>614</v>
      </c>
      <c r="J53" s="82">
        <v>0.04</v>
      </c>
    </row>
    <row r="54" spans="2:10" x14ac:dyDescent="0.15">
      <c r="B54" s="4" t="s">
        <v>47</v>
      </c>
      <c r="C54" s="100">
        <v>3.6480000000000001</v>
      </c>
      <c r="F54" t="s">
        <v>615</v>
      </c>
      <c r="G54" s="74">
        <f>0.0764-G52</f>
        <v>3.8899999999999997E-2</v>
      </c>
    </row>
    <row r="55" spans="2:10" x14ac:dyDescent="0.15">
      <c r="B55" s="4" t="s">
        <v>48</v>
      </c>
      <c r="C55" s="100">
        <v>151.5</v>
      </c>
      <c r="F55" t="s">
        <v>616</v>
      </c>
      <c r="G55" s="79">
        <f>C68</f>
        <v>7841.87</v>
      </c>
    </row>
    <row r="56" spans="2:10" x14ac:dyDescent="0.15">
      <c r="B56" s="9" t="s">
        <v>49</v>
      </c>
      <c r="C56" s="102">
        <v>552.67200000000003</v>
      </c>
    </row>
    <row r="57" spans="2:10" x14ac:dyDescent="0.15">
      <c r="B57" s="4" t="s">
        <v>50</v>
      </c>
      <c r="C57" s="101">
        <v>26.306999999999999</v>
      </c>
      <c r="F57" s="84" t="s">
        <v>617</v>
      </c>
      <c r="G57" s="85">
        <f>fcff*(1+tgr)/(wacc-tgr)</f>
        <v>13096.2290357078</v>
      </c>
    </row>
    <row r="58" spans="2:10" x14ac:dyDescent="0.15">
      <c r="B58" s="4" t="s">
        <v>51</v>
      </c>
      <c r="C58" s="100">
        <v>3841.8339999999998</v>
      </c>
      <c r="F58" s="86" t="s">
        <v>618</v>
      </c>
      <c r="G58" s="87">
        <f>G57/(1+$G$51)^((1+$G$52)^4.5)</f>
        <v>12057.779646943385</v>
      </c>
    </row>
    <row r="59" spans="2:10" ht="12" x14ac:dyDescent="0.15">
      <c r="B59" s="4" t="s">
        <v>52</v>
      </c>
      <c r="C59" s="100" t="s">
        <v>28</v>
      </c>
      <c r="F59" s="86" t="s">
        <v>607</v>
      </c>
      <c r="G59" s="87">
        <f>G58+C57-C67</f>
        <v>8242.2526469433869</v>
      </c>
    </row>
    <row r="60" spans="2:10" x14ac:dyDescent="0.15">
      <c r="B60" s="4" t="s">
        <v>53</v>
      </c>
      <c r="C60" s="100">
        <v>1.1060000000000001</v>
      </c>
      <c r="F60" s="88" t="s">
        <v>619</v>
      </c>
      <c r="G60" s="111">
        <f>G59/C48</f>
        <v>105.16289116338524</v>
      </c>
    </row>
    <row r="61" spans="2:10" ht="12" x14ac:dyDescent="0.15">
      <c r="B61" s="4" t="s">
        <v>54</v>
      </c>
      <c r="C61" s="100" t="s">
        <v>28</v>
      </c>
    </row>
    <row r="62" spans="2:10" x14ac:dyDescent="0.15">
      <c r="B62" s="9" t="s">
        <v>55</v>
      </c>
      <c r="C62" s="102">
        <v>15690.605484</v>
      </c>
      <c r="F62" t="s">
        <v>621</v>
      </c>
      <c r="G62" s="18">
        <f>(G60-C47)/C47</f>
        <v>-0.30585550387204463</v>
      </c>
    </row>
    <row r="63" spans="2:10" x14ac:dyDescent="0.15">
      <c r="C63" s="103"/>
    </row>
    <row r="64" spans="2:10" x14ac:dyDescent="0.15">
      <c r="B64" t="s">
        <v>56</v>
      </c>
      <c r="C64" s="103">
        <v>3998.93</v>
      </c>
    </row>
    <row r="65" spans="2:256" x14ac:dyDescent="0.15">
      <c r="B65" t="s">
        <v>52</v>
      </c>
      <c r="C65" s="103" t="s">
        <v>28</v>
      </c>
    </row>
    <row r="66" spans="2:256" x14ac:dyDescent="0.15">
      <c r="B66" t="s">
        <v>53</v>
      </c>
      <c r="C66" s="103">
        <v>1.1060000000000001</v>
      </c>
    </row>
    <row r="67" spans="2:256" x14ac:dyDescent="0.15">
      <c r="B67" t="s">
        <v>51</v>
      </c>
      <c r="C67" s="103">
        <v>3841.8339999999998</v>
      </c>
    </row>
    <row r="68" spans="2:256" x14ac:dyDescent="0.15">
      <c r="B68" s="9" t="s">
        <v>57</v>
      </c>
      <c r="C68" s="65">
        <v>7841.87</v>
      </c>
      <c r="G68" s="18"/>
      <c r="K68" s="61"/>
    </row>
    <row r="69" spans="2:256" x14ac:dyDescent="0.15">
      <c r="B69" s="4"/>
      <c r="C69" s="4"/>
    </row>
    <row r="70" spans="2:256" x14ac:dyDescent="0.15">
      <c r="B70" s="7"/>
      <c r="C70" s="12"/>
      <c r="D70" s="12"/>
      <c r="E70" s="12"/>
      <c r="F70" s="12"/>
      <c r="G70" s="12"/>
    </row>
    <row r="71" spans="2:256" x14ac:dyDescent="0.15">
      <c r="B71" s="4" t="s">
        <v>58</v>
      </c>
      <c r="C71" s="16"/>
      <c r="D71" s="21"/>
      <c r="E71" s="21"/>
      <c r="F71" s="21"/>
      <c r="G71" s="21"/>
    </row>
    <row r="72" spans="2:256" x14ac:dyDescent="0.15">
      <c r="B72" s="4"/>
      <c r="C72" s="4"/>
      <c r="D72" s="4"/>
      <c r="E72" s="4"/>
      <c r="F72" s="4"/>
      <c r="G72" s="4"/>
    </row>
    <row r="73" spans="2:256" ht="157" customHeight="1" x14ac:dyDescent="0.15">
      <c r="B73" s="4"/>
      <c r="C73" s="4"/>
      <c r="D73" s="4"/>
      <c r="E73" s="4"/>
      <c r="F73" s="4"/>
      <c r="G73" s="4"/>
    </row>
    <row r="74" spans="2:256" x14ac:dyDescent="0.15">
      <c r="B74" s="9" t="s">
        <v>59</v>
      </c>
      <c r="C74" s="16"/>
      <c r="D74" s="21"/>
      <c r="E74" s="21"/>
      <c r="F74" s="21"/>
      <c r="G74" s="21"/>
    </row>
    <row r="75" spans="2:256" x14ac:dyDescent="0.15">
      <c r="B75" s="4" t="s">
        <v>60</v>
      </c>
      <c r="C75" s="4"/>
      <c r="D75" s="4"/>
      <c r="E75" s="4"/>
      <c r="F75" s="4"/>
      <c r="G75" s="4"/>
    </row>
    <row r="76" spans="2:256" x14ac:dyDescent="0.15">
      <c r="B76" s="9" t="s">
        <v>61</v>
      </c>
      <c r="C76" s="16"/>
      <c r="D76" s="21"/>
      <c r="E76" s="21"/>
      <c r="F76" s="21"/>
      <c r="G76" s="21"/>
    </row>
    <row r="77" spans="2:256" x14ac:dyDescent="0.15">
      <c r="B77" s="4" t="s">
        <v>62</v>
      </c>
      <c r="C77" s="4"/>
      <c r="D77" s="4"/>
      <c r="E77" s="4"/>
      <c r="F77" s="4"/>
      <c r="G77" s="4"/>
    </row>
    <row r="78" spans="2:256" x14ac:dyDescent="0.15">
      <c r="B78" s="9"/>
      <c r="C78" s="16"/>
      <c r="D78" s="21"/>
      <c r="E78" s="21"/>
      <c r="F78" s="21"/>
      <c r="G78" s="21"/>
    </row>
    <row r="79" spans="2:256" x14ac:dyDescent="0.15">
      <c r="B79" s="4" t="s">
        <v>63</v>
      </c>
      <c r="C79" s="4"/>
      <c r="D79" s="4"/>
      <c r="E79" s="4"/>
      <c r="F79" s="4"/>
      <c r="G79" s="4"/>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c r="AK79" s="61"/>
      <c r="AL79" s="61"/>
      <c r="AM79" s="61"/>
      <c r="AN79" s="61"/>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c r="BU79" s="61"/>
      <c r="BV79" s="61"/>
      <c r="BW79" s="61"/>
      <c r="BX79" s="61"/>
      <c r="BY79" s="61"/>
      <c r="BZ79" s="61"/>
      <c r="CA79" s="61"/>
      <c r="CB79" s="61"/>
      <c r="CC79" s="61"/>
      <c r="CD79" s="61"/>
      <c r="CE79" s="61"/>
      <c r="CF79" s="61"/>
      <c r="CG79" s="61"/>
      <c r="CH79" s="61"/>
      <c r="CI79" s="61"/>
      <c r="CJ79" s="61"/>
      <c r="CK79" s="61"/>
      <c r="CL79" s="61"/>
      <c r="CM79" s="61"/>
      <c r="CN79" s="61"/>
      <c r="CO79" s="61"/>
      <c r="CP79" s="61"/>
      <c r="CQ79" s="61"/>
      <c r="CR79" s="61"/>
      <c r="CS79" s="61"/>
      <c r="CT79" s="61"/>
      <c r="CU79" s="61"/>
      <c r="CV79" s="61"/>
      <c r="CW79" s="61"/>
      <c r="CX79" s="61"/>
      <c r="CY79" s="61"/>
      <c r="CZ79" s="61"/>
      <c r="DA79" s="61"/>
      <c r="DB79" s="61"/>
      <c r="DC79" s="61"/>
      <c r="DD79" s="61"/>
      <c r="DE79" s="61"/>
      <c r="DF79" s="61"/>
      <c r="DG79" s="61"/>
      <c r="DH79" s="61"/>
      <c r="DI79" s="61"/>
      <c r="DJ79" s="61"/>
      <c r="DK79" s="61"/>
      <c r="DL79" s="61"/>
      <c r="DM79" s="61"/>
      <c r="DN79" s="61"/>
      <c r="DO79" s="61"/>
      <c r="DP79" s="61"/>
      <c r="DQ79" s="61"/>
      <c r="DR79" s="61"/>
      <c r="DS79" s="61"/>
      <c r="DT79" s="61"/>
      <c r="DU79" s="61"/>
      <c r="DV79" s="61"/>
      <c r="DW79" s="61"/>
      <c r="DX79" s="61"/>
      <c r="DY79" s="61"/>
      <c r="DZ79" s="61"/>
      <c r="EA79" s="61"/>
      <c r="EB79" s="61"/>
      <c r="EC79" s="61"/>
      <c r="ED79" s="61"/>
      <c r="EE79" s="61"/>
      <c r="EF79" s="61"/>
      <c r="EG79" s="61"/>
      <c r="EH79" s="61"/>
      <c r="EI79" s="61"/>
      <c r="EJ79" s="61"/>
      <c r="EK79" s="61"/>
      <c r="EL79" s="61"/>
      <c r="EM79" s="61"/>
      <c r="EN79" s="61"/>
      <c r="EO79" s="61"/>
      <c r="EP79" s="61"/>
      <c r="EQ79" s="61"/>
      <c r="ER79" s="61"/>
      <c r="ES79" s="61"/>
      <c r="ET79" s="61"/>
      <c r="EU79" s="61"/>
      <c r="EV79" s="61"/>
      <c r="EW79" s="61"/>
      <c r="EX79" s="61"/>
      <c r="EY79" s="61"/>
      <c r="EZ79" s="61"/>
      <c r="FA79" s="61"/>
      <c r="FB79" s="61"/>
      <c r="FC79" s="61"/>
      <c r="FD79" s="61"/>
      <c r="FE79" s="61"/>
      <c r="FF79" s="61"/>
      <c r="FG79" s="61"/>
      <c r="FH79" s="61"/>
      <c r="FI79" s="61"/>
      <c r="FJ79" s="61"/>
      <c r="FK79" s="61"/>
      <c r="FL79" s="61"/>
      <c r="FM79" s="61"/>
      <c r="FN79" s="61"/>
      <c r="FO79" s="61"/>
      <c r="FP79" s="61"/>
      <c r="FQ79" s="61"/>
      <c r="FR79" s="61"/>
      <c r="FS79" s="61"/>
      <c r="FT79" s="61"/>
      <c r="FU79" s="61"/>
      <c r="FV79" s="61"/>
      <c r="FW79" s="61"/>
      <c r="FX79" s="61"/>
      <c r="FY79" s="61"/>
      <c r="FZ79" s="61"/>
      <c r="GA79" s="61"/>
      <c r="GB79" s="61"/>
      <c r="GC79" s="61"/>
      <c r="GD79" s="61"/>
      <c r="GE79" s="61"/>
      <c r="GF79" s="61"/>
      <c r="GG79" s="61"/>
      <c r="GH79" s="61"/>
      <c r="GI79" s="61"/>
      <c r="GJ79" s="61"/>
      <c r="GK79" s="61"/>
      <c r="GL79" s="61"/>
      <c r="GM79" s="61"/>
      <c r="GN79" s="61"/>
      <c r="GO79" s="61"/>
      <c r="GP79" s="61"/>
      <c r="GQ79" s="61"/>
      <c r="GR79" s="61"/>
      <c r="GS79" s="61"/>
      <c r="GT79" s="61"/>
      <c r="GU79" s="61"/>
      <c r="GV79" s="61"/>
      <c r="GW79" s="61"/>
      <c r="GX79" s="61"/>
      <c r="GY79" s="61"/>
      <c r="GZ79" s="61"/>
      <c r="HA79" s="61"/>
      <c r="HB79" s="61"/>
      <c r="HC79" s="61"/>
      <c r="HD79" s="61"/>
      <c r="HE79" s="61"/>
      <c r="HF79" s="61"/>
      <c r="HG79" s="61"/>
      <c r="HH79" s="61"/>
      <c r="HI79" s="61"/>
      <c r="HJ79" s="61"/>
      <c r="HK79" s="61"/>
      <c r="HL79" s="61"/>
      <c r="HM79" s="61"/>
      <c r="HN79" s="61"/>
      <c r="HO79" s="61"/>
      <c r="HP79" s="61"/>
      <c r="HQ79" s="61"/>
      <c r="HR79" s="61"/>
      <c r="HS79" s="61"/>
      <c r="HT79" s="61"/>
      <c r="HU79" s="61"/>
      <c r="HV79" s="61"/>
      <c r="HW79" s="61"/>
      <c r="HX79" s="61"/>
      <c r="HY79" s="61"/>
      <c r="HZ79" s="61"/>
      <c r="IA79" s="61"/>
      <c r="IB79" s="61"/>
      <c r="IC79" s="61"/>
      <c r="ID79" s="61"/>
      <c r="IE79" s="61"/>
      <c r="IF79" s="61"/>
      <c r="IG79" s="61"/>
      <c r="IH79" s="61"/>
      <c r="II79" s="61"/>
      <c r="IJ79" s="61"/>
      <c r="IK79" s="61"/>
      <c r="IL79" s="61"/>
      <c r="IM79" s="61"/>
      <c r="IN79" s="61"/>
      <c r="IO79" s="61"/>
      <c r="IP79" s="61"/>
      <c r="IQ79" s="61"/>
      <c r="IR79" s="61"/>
      <c r="IS79" s="61"/>
      <c r="IT79" s="61"/>
      <c r="IU79" s="61"/>
      <c r="IV79" s="61"/>
    </row>
    <row r="80" spans="2:256" ht="48" x14ac:dyDescent="0.15">
      <c r="B80" s="9" t="s">
        <v>16</v>
      </c>
      <c r="C80" s="16" t="s">
        <v>20</v>
      </c>
      <c r="D80" s="21" t="s">
        <v>64</v>
      </c>
      <c r="E80" s="21" t="s">
        <v>65</v>
      </c>
      <c r="F80" s="21" t="s">
        <v>21</v>
      </c>
      <c r="G80" s="21" t="s">
        <v>22</v>
      </c>
    </row>
    <row r="81" spans="2:7" x14ac:dyDescent="0.15">
      <c r="B81" s="4" t="s">
        <v>66</v>
      </c>
      <c r="C81" s="4">
        <v>3.771188</v>
      </c>
      <c r="D81" s="4">
        <v>3.348652</v>
      </c>
      <c r="E81" s="4">
        <v>3.4377803727890002</v>
      </c>
      <c r="F81" s="4">
        <v>3.2600023346450002</v>
      </c>
      <c r="G81" s="4">
        <v>3.0663870860140001</v>
      </c>
    </row>
    <row r="82" spans="2:7" x14ac:dyDescent="0.15">
      <c r="B82" s="11"/>
      <c r="C82" s="11"/>
      <c r="D82" s="11"/>
      <c r="E82" s="11"/>
      <c r="F82" s="11"/>
      <c r="G82" s="11"/>
    </row>
    <row r="83" spans="2:7" x14ac:dyDescent="0.15">
      <c r="B83" s="22" t="s">
        <v>67</v>
      </c>
      <c r="C83">
        <v>13.185029999999999</v>
      </c>
      <c r="D83">
        <v>10.482955</v>
      </c>
      <c r="E83">
        <v>12.084882668597</v>
      </c>
      <c r="F83">
        <v>11.380880962247</v>
      </c>
      <c r="G83">
        <v>10.468824638955001</v>
      </c>
    </row>
    <row r="85" spans="2:7" x14ac:dyDescent="0.15">
      <c r="B85" t="s">
        <v>68</v>
      </c>
      <c r="C85">
        <v>21.432742000000001</v>
      </c>
      <c r="D85">
        <v>16.058620000000001</v>
      </c>
      <c r="E85">
        <v>19.652160763752001</v>
      </c>
      <c r="F85">
        <v>18.068070289289999</v>
      </c>
      <c r="G85">
        <v>16.147439476144001</v>
      </c>
    </row>
    <row r="87" spans="2:7" x14ac:dyDescent="0.15">
      <c r="B87" s="9" t="s">
        <v>69</v>
      </c>
      <c r="C87" s="20">
        <v>29.510377999999999</v>
      </c>
      <c r="D87" s="20">
        <v>22.004525999999998</v>
      </c>
      <c r="E87" s="21">
        <v>21.965276015802999</v>
      </c>
      <c r="F87" s="21">
        <v>20.022917319228998</v>
      </c>
      <c r="G87" s="21">
        <v>17.467883307621999</v>
      </c>
    </row>
    <row r="88" spans="2:7" x14ac:dyDescent="0.15">
      <c r="B88" s="4"/>
      <c r="C88" s="4"/>
      <c r="D88" s="4"/>
      <c r="E88" s="4"/>
      <c r="F88" s="4"/>
      <c r="G88" s="4"/>
    </row>
    <row r="89" spans="2:7" x14ac:dyDescent="0.15">
      <c r="B89" s="9" t="s">
        <v>70</v>
      </c>
      <c r="C89" s="20">
        <v>3.4096139999999999</v>
      </c>
      <c r="D89" s="20">
        <v>2.969287</v>
      </c>
      <c r="E89" s="21">
        <v>3.103174086223</v>
      </c>
      <c r="F89" s="21">
        <v>2.8109113828179999</v>
      </c>
      <c r="G89" s="21">
        <v>2.5698420301990001</v>
      </c>
    </row>
    <row r="90" spans="2:7" x14ac:dyDescent="0.15">
      <c r="B90" s="4"/>
      <c r="C90" s="4"/>
      <c r="D90" s="4"/>
      <c r="E90" s="4"/>
      <c r="F90" s="4"/>
      <c r="G90" s="4"/>
    </row>
    <row r="91" spans="2:7" ht="12" x14ac:dyDescent="0.15">
      <c r="B91" s="9" t="s">
        <v>71</v>
      </c>
      <c r="C91" s="20">
        <v>3.6320700000000001</v>
      </c>
      <c r="D91" s="20">
        <v>3.158703</v>
      </c>
      <c r="E91" s="16" t="s">
        <v>28</v>
      </c>
      <c r="F91" s="16" t="s">
        <v>28</v>
      </c>
      <c r="G91" s="16" t="s">
        <v>28</v>
      </c>
    </row>
    <row r="92" spans="2:7" x14ac:dyDescent="0.15">
      <c r="B92" s="4"/>
      <c r="C92" s="4"/>
      <c r="D92" s="4"/>
      <c r="E92" s="4"/>
      <c r="F92" s="4"/>
      <c r="G92" s="4"/>
    </row>
    <row r="93" spans="2:7" x14ac:dyDescent="0.15">
      <c r="B93" s="11"/>
      <c r="C93" s="11"/>
      <c r="D93" s="11"/>
      <c r="E93" s="11"/>
      <c r="F93" s="11"/>
      <c r="G93" s="11"/>
    </row>
    <row r="94" spans="2:7" x14ac:dyDescent="0.15">
      <c r="B94" s="22" t="s">
        <v>72</v>
      </c>
    </row>
  </sheetData>
  <phoneticPr fontId="0" type="noConversion"/>
  <conditionalFormatting sqref="C18:J18">
    <cfRule type="cellIs" dxfId="19" priority="19" operator="lessThan">
      <formula>0</formula>
    </cfRule>
    <cfRule type="cellIs" dxfId="18" priority="20" operator="greaterThan">
      <formula>0</formula>
    </cfRule>
  </conditionalFormatting>
  <conditionalFormatting sqref="G62">
    <cfRule type="cellIs" dxfId="23" priority="15" operator="lessThan">
      <formula>0</formula>
    </cfRule>
    <cfRule type="cellIs" dxfId="22" priority="16" operator="greaterThan">
      <formula>0</formula>
    </cfRule>
  </conditionalFormatting>
  <conditionalFormatting sqref="G68">
    <cfRule type="cellIs" dxfId="21" priority="13" operator="lessThan">
      <formula>0</formula>
    </cfRule>
    <cfRule type="cellIs" dxfId="20" priority="14" operator="greaterThan">
      <formula>0</formula>
    </cfRule>
  </conditionalFormatting>
  <conditionalFormatting sqref="G24">
    <cfRule type="cellIs" dxfId="11" priority="11" operator="lessThan">
      <formula>0</formula>
    </cfRule>
    <cfRule type="cellIs" dxfId="10" priority="12" operator="greaterThan">
      <formula>0</formula>
    </cfRule>
  </conditionalFormatting>
  <conditionalFormatting sqref="H24:J24">
    <cfRule type="cellIs" dxfId="9" priority="9" operator="lessThan">
      <formula>0</formula>
    </cfRule>
    <cfRule type="cellIs" dxfId="8" priority="10" operator="greaterThan">
      <formula>0</formula>
    </cfRule>
  </conditionalFormatting>
  <conditionalFormatting sqref="G27">
    <cfRule type="cellIs" dxfId="7" priority="7" operator="lessThan">
      <formula>0</formula>
    </cfRule>
    <cfRule type="cellIs" dxfId="6" priority="8" operator="greaterThan">
      <formula>0</formula>
    </cfRule>
  </conditionalFormatting>
  <conditionalFormatting sqref="H27:J27">
    <cfRule type="cellIs" dxfId="5" priority="5" operator="lessThan">
      <formula>0</formula>
    </cfRule>
    <cfRule type="cellIs" dxfId="4" priority="6" operator="greaterThan">
      <formula>0</formula>
    </cfRule>
  </conditionalFormatting>
  <conditionalFormatting sqref="G33">
    <cfRule type="cellIs" dxfId="3" priority="3" operator="lessThan">
      <formula>0</formula>
    </cfRule>
    <cfRule type="cellIs" dxfId="2" priority="4" operator="greaterThan">
      <formula>0</formula>
    </cfRule>
  </conditionalFormatting>
  <conditionalFormatting sqref="H33:J33">
    <cfRule type="cellIs" dxfId="1" priority="1" operator="lessThan">
      <formula>0</formula>
    </cfRule>
    <cfRule type="cellIs" dxfId="0" priority="2" operator="greaterThan">
      <formula>0</formula>
    </cfRule>
  </conditionalFormatting>
  <pageMargins left="0.2" right="0.2" top="0.5" bottom="0.5" header="0.5" footer="0.5"/>
  <pageSetup scale="64" fitToWidth="0" fitToHeight="0" orientation="landscape" horizontalDpi="0" verticalDpi="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3CF9C-3B91-184B-97F9-AB4B6ADA2896}">
  <sheetPr>
    <outlinePr summaryBelow="0" summaryRight="0"/>
    <pageSetUpPr autoPageBreaks="0"/>
  </sheetPr>
  <dimension ref="A5:IU103"/>
  <sheetViews>
    <sheetView zoomScale="69" workbookViewId="0">
      <selection activeCell="F3" sqref="F3"/>
    </sheetView>
  </sheetViews>
  <sheetFormatPr baseColWidth="10" defaultRowHeight="11" x14ac:dyDescent="0.15"/>
  <cols>
    <col min="1" max="1" width="45.83203125" customWidth="1"/>
    <col min="2" max="7" width="14.83203125" customWidth="1"/>
    <col min="8" max="256" width="8.83203125" customWidth="1"/>
  </cols>
  <sheetData>
    <row r="5" spans="1:255" ht="17" x14ac:dyDescent="0.2">
      <c r="A5" s="1" t="s">
        <v>73</v>
      </c>
    </row>
    <row r="7" spans="1:255" ht="12" x14ac:dyDescent="0.15">
      <c r="A7" s="2" t="s">
        <v>74</v>
      </c>
      <c r="B7" s="3" t="s">
        <v>75</v>
      </c>
      <c r="C7" t="s">
        <v>76</v>
      </c>
      <c r="D7" s="4" t="s">
        <v>4</v>
      </c>
      <c r="E7" s="3" t="s">
        <v>77</v>
      </c>
      <c r="F7" t="s">
        <v>78</v>
      </c>
    </row>
    <row r="8" spans="1:255" x14ac:dyDescent="0.15">
      <c r="A8" s="4"/>
      <c r="B8" s="3" t="s">
        <v>79</v>
      </c>
      <c r="C8" t="s">
        <v>80</v>
      </c>
      <c r="D8" s="4" t="s">
        <v>4</v>
      </c>
      <c r="E8" s="3" t="s">
        <v>81</v>
      </c>
      <c r="F8" t="s">
        <v>8</v>
      </c>
    </row>
    <row r="9" spans="1:255" x14ac:dyDescent="0.15">
      <c r="A9" s="4"/>
      <c r="B9" s="3" t="s">
        <v>82</v>
      </c>
      <c r="C9" t="s">
        <v>83</v>
      </c>
      <c r="D9" s="4" t="s">
        <v>4</v>
      </c>
      <c r="E9" s="3" t="s">
        <v>84</v>
      </c>
      <c r="F9" t="s">
        <v>6</v>
      </c>
    </row>
    <row r="10" spans="1:255" x14ac:dyDescent="0.15">
      <c r="A10" s="4"/>
      <c r="B10" s="3" t="s">
        <v>85</v>
      </c>
      <c r="C10" t="s">
        <v>10</v>
      </c>
      <c r="D10" s="4" t="s">
        <v>4</v>
      </c>
      <c r="E10" s="3" t="s">
        <v>86</v>
      </c>
      <c r="F10" s="5" t="s">
        <v>12</v>
      </c>
    </row>
    <row r="11" spans="1:255" x14ac:dyDescent="0.15">
      <c r="A11" s="4"/>
      <c r="B11" s="3" t="s">
        <v>87</v>
      </c>
      <c r="C11" t="s">
        <v>88</v>
      </c>
      <c r="D11" s="4" t="s">
        <v>4</v>
      </c>
      <c r="E11" s="23"/>
      <c r="F11" s="23"/>
    </row>
    <row r="14" spans="1:255" x14ac:dyDescent="0.15">
      <c r="A14" s="6" t="s">
        <v>89</v>
      </c>
      <c r="B14" s="6"/>
      <c r="C14" s="6"/>
      <c r="D14" s="6"/>
      <c r="E14" s="6"/>
      <c r="F14" s="6"/>
      <c r="G14" s="6"/>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1"/>
      <c r="CE14" s="61"/>
      <c r="CF14" s="61"/>
      <c r="CG14" s="61"/>
      <c r="CH14" s="61"/>
      <c r="CI14" s="61"/>
      <c r="CJ14" s="61"/>
      <c r="CK14" s="61"/>
      <c r="CL14" s="61"/>
      <c r="CM14" s="61"/>
      <c r="CN14" s="61"/>
      <c r="CO14" s="61"/>
      <c r="CP14" s="61"/>
      <c r="CQ14" s="61"/>
      <c r="CR14" s="61"/>
      <c r="CS14" s="61"/>
      <c r="CT14" s="61"/>
      <c r="CU14" s="61"/>
      <c r="CV14" s="61"/>
      <c r="CW14" s="61"/>
      <c r="CX14" s="61"/>
      <c r="CY14" s="61"/>
      <c r="CZ14" s="61"/>
      <c r="DA14" s="61"/>
      <c r="DB14" s="61"/>
      <c r="DC14" s="61"/>
      <c r="DD14" s="61"/>
      <c r="DE14" s="61"/>
      <c r="DF14" s="61"/>
      <c r="DG14" s="61"/>
      <c r="DH14" s="61"/>
      <c r="DI14" s="61"/>
      <c r="DJ14" s="61"/>
      <c r="DK14" s="61"/>
      <c r="DL14" s="61"/>
      <c r="DM14" s="61"/>
      <c r="DN14" s="61"/>
      <c r="DO14" s="61"/>
      <c r="DP14" s="61"/>
      <c r="DQ14" s="61"/>
      <c r="DR14" s="61"/>
      <c r="DS14" s="61"/>
      <c r="DT14" s="61"/>
      <c r="DU14" s="61"/>
      <c r="DV14" s="61"/>
      <c r="DW14" s="61"/>
      <c r="DX14" s="61"/>
      <c r="DY14" s="61"/>
      <c r="DZ14" s="61"/>
      <c r="EA14" s="61"/>
      <c r="EB14" s="61"/>
      <c r="EC14" s="61"/>
      <c r="ED14" s="61"/>
      <c r="EE14" s="61"/>
      <c r="EF14" s="61"/>
      <c r="EG14" s="61"/>
      <c r="EH14" s="61"/>
      <c r="EI14" s="61"/>
      <c r="EJ14" s="61"/>
      <c r="EK14" s="61"/>
      <c r="EL14" s="61"/>
      <c r="EM14" s="61"/>
      <c r="EN14" s="61"/>
      <c r="EO14" s="61"/>
      <c r="EP14" s="61"/>
      <c r="EQ14" s="61"/>
      <c r="ER14" s="61"/>
      <c r="ES14" s="61"/>
      <c r="ET14" s="61"/>
      <c r="EU14" s="61"/>
      <c r="EV14" s="61"/>
      <c r="EW14" s="61"/>
      <c r="EX14" s="61"/>
      <c r="EY14" s="61"/>
      <c r="EZ14" s="61"/>
      <c r="FA14" s="61"/>
      <c r="FB14" s="61"/>
      <c r="FC14" s="61"/>
      <c r="FD14" s="61"/>
      <c r="FE14" s="61"/>
      <c r="FF14" s="61"/>
      <c r="FG14" s="61"/>
      <c r="FH14" s="61"/>
      <c r="FI14" s="61"/>
      <c r="FJ14" s="61"/>
      <c r="FK14" s="61"/>
      <c r="FL14" s="61"/>
      <c r="FM14" s="61"/>
      <c r="FN14" s="61"/>
      <c r="FO14" s="61"/>
      <c r="FP14" s="61"/>
      <c r="FQ14" s="61"/>
      <c r="FR14" s="61"/>
      <c r="FS14" s="61"/>
      <c r="FT14" s="61"/>
      <c r="FU14" s="61"/>
      <c r="FV14" s="61"/>
      <c r="FW14" s="61"/>
      <c r="FX14" s="61"/>
      <c r="FY14" s="61"/>
      <c r="FZ14" s="61"/>
      <c r="GA14" s="61"/>
      <c r="GB14" s="61"/>
      <c r="GC14" s="61"/>
      <c r="GD14" s="61"/>
      <c r="GE14" s="61"/>
      <c r="GF14" s="61"/>
      <c r="GG14" s="61"/>
      <c r="GH14" s="61"/>
      <c r="GI14" s="61"/>
      <c r="GJ14" s="61"/>
      <c r="GK14" s="61"/>
      <c r="GL14" s="61"/>
      <c r="GM14" s="61"/>
      <c r="GN14" s="61"/>
      <c r="GO14" s="61"/>
      <c r="GP14" s="61"/>
      <c r="GQ14" s="61"/>
      <c r="GR14" s="61"/>
      <c r="GS14" s="61"/>
      <c r="GT14" s="61"/>
      <c r="GU14" s="61"/>
      <c r="GV14" s="61"/>
      <c r="GW14" s="61"/>
      <c r="GX14" s="61"/>
      <c r="GY14" s="61"/>
      <c r="GZ14" s="61"/>
      <c r="HA14" s="61"/>
      <c r="HB14" s="61"/>
      <c r="HC14" s="61"/>
      <c r="HD14" s="61"/>
      <c r="HE14" s="61"/>
      <c r="HF14" s="61"/>
      <c r="HG14" s="61"/>
      <c r="HH14" s="61"/>
      <c r="HI14" s="61"/>
      <c r="HJ14" s="61"/>
      <c r="HK14" s="61"/>
      <c r="HL14" s="61"/>
      <c r="HM14" s="61"/>
      <c r="HN14" s="61"/>
      <c r="HO14" s="61"/>
      <c r="HP14" s="61"/>
      <c r="HQ14" s="61"/>
      <c r="HR14" s="61"/>
      <c r="HS14" s="61"/>
      <c r="HT14" s="61"/>
      <c r="HU14" s="61"/>
      <c r="HV14" s="61"/>
      <c r="HW14" s="61"/>
      <c r="HX14" s="61"/>
      <c r="HY14" s="61"/>
      <c r="HZ14" s="61"/>
      <c r="IA14" s="61"/>
      <c r="IB14" s="61"/>
      <c r="IC14" s="61"/>
      <c r="ID14" s="61"/>
      <c r="IE14" s="61"/>
      <c r="IF14" s="61"/>
      <c r="IG14" s="61"/>
      <c r="IH14" s="61"/>
      <c r="II14" s="61"/>
      <c r="IJ14" s="61"/>
      <c r="IK14" s="61"/>
      <c r="IL14" s="61"/>
      <c r="IM14" s="61"/>
      <c r="IN14" s="61"/>
      <c r="IO14" s="61"/>
      <c r="IP14" s="61"/>
      <c r="IQ14" s="61"/>
      <c r="IR14" s="61"/>
      <c r="IS14" s="61"/>
      <c r="IT14" s="61"/>
      <c r="IU14" s="61"/>
    </row>
    <row r="15" spans="1:255" ht="36" x14ac:dyDescent="0.15">
      <c r="A15" s="7" t="s">
        <v>16</v>
      </c>
      <c r="B15" s="12" t="s">
        <v>90</v>
      </c>
      <c r="C15" s="12" t="s">
        <v>91</v>
      </c>
      <c r="D15" s="12" t="s">
        <v>92</v>
      </c>
      <c r="E15" s="12" t="s">
        <v>93</v>
      </c>
      <c r="F15" s="12" t="s">
        <v>94</v>
      </c>
      <c r="G15" s="12" t="s">
        <v>95</v>
      </c>
    </row>
    <row r="16" spans="1:255" ht="12" x14ac:dyDescent="0.15">
      <c r="A16" s="8" t="s">
        <v>23</v>
      </c>
      <c r="B16" s="13" t="s">
        <v>24</v>
      </c>
      <c r="C16" s="13" t="s">
        <v>24</v>
      </c>
      <c r="D16" s="13" t="s">
        <v>24</v>
      </c>
      <c r="E16" s="13" t="s">
        <v>24</v>
      </c>
      <c r="F16" s="13" t="s">
        <v>24</v>
      </c>
      <c r="G16" s="13" t="s">
        <v>24</v>
      </c>
    </row>
    <row r="17" spans="1:7" x14ac:dyDescent="0.15">
      <c r="A17" s="9" t="s">
        <v>34</v>
      </c>
      <c r="B17" s="4"/>
      <c r="C17" s="4"/>
      <c r="D17" s="4"/>
      <c r="E17" s="4"/>
      <c r="F17" s="4"/>
      <c r="G17" s="4"/>
    </row>
    <row r="18" spans="1:7" x14ac:dyDescent="0.15">
      <c r="A18" s="4" t="s">
        <v>96</v>
      </c>
      <c r="B18" s="17">
        <v>2675.902</v>
      </c>
      <c r="C18" s="17">
        <v>2794.1660000000002</v>
      </c>
      <c r="D18" s="17">
        <v>2750.5140000000001</v>
      </c>
      <c r="E18" s="17">
        <v>4092.252</v>
      </c>
      <c r="F18" s="17">
        <v>4281.4970000000003</v>
      </c>
      <c r="G18" s="17">
        <v>4685.6469999999999</v>
      </c>
    </row>
    <row r="19" spans="1:7" ht="12" x14ac:dyDescent="0.15">
      <c r="A19" s="4" t="s">
        <v>97</v>
      </c>
      <c r="B19" s="17" t="s">
        <v>28</v>
      </c>
      <c r="C19" s="17" t="s">
        <v>28</v>
      </c>
      <c r="D19" s="17" t="s">
        <v>28</v>
      </c>
      <c r="E19" s="17">
        <v>1E-3</v>
      </c>
      <c r="F19" s="17">
        <v>1E-3</v>
      </c>
      <c r="G19" s="17">
        <v>1E-3</v>
      </c>
    </row>
    <row r="20" spans="1:7" x14ac:dyDescent="0.15">
      <c r="A20" s="9" t="s">
        <v>98</v>
      </c>
      <c r="B20" s="25">
        <v>2675.902</v>
      </c>
      <c r="C20" s="25">
        <v>2794.1660000000002</v>
      </c>
      <c r="D20" s="25">
        <v>2750.5140000000001</v>
      </c>
      <c r="E20" s="25">
        <v>4092.2530000000002</v>
      </c>
      <c r="F20" s="25">
        <v>4281.4979999999996</v>
      </c>
      <c r="G20" s="25">
        <v>4685.6480000000001</v>
      </c>
    </row>
    <row r="21" spans="1:7" x14ac:dyDescent="0.15">
      <c r="A21" s="4"/>
      <c r="B21" s="4"/>
      <c r="C21" s="4"/>
      <c r="D21" s="4"/>
      <c r="E21" s="4"/>
      <c r="F21" s="4"/>
      <c r="G21" s="4"/>
    </row>
    <row r="22" spans="1:7" x14ac:dyDescent="0.15">
      <c r="A22" s="4" t="s">
        <v>99</v>
      </c>
      <c r="B22" s="17">
        <v>291.95299999999997</v>
      </c>
      <c r="C22" s="17">
        <v>707.28599999999994</v>
      </c>
      <c r="D22" s="17">
        <v>683.97699999999998</v>
      </c>
      <c r="E22" s="17">
        <v>980.22699999999998</v>
      </c>
      <c r="F22" s="17">
        <v>1025.96</v>
      </c>
      <c r="G22" s="17">
        <v>1069.3510000000001</v>
      </c>
    </row>
    <row r="23" spans="1:7" x14ac:dyDescent="0.15">
      <c r="A23" s="9" t="s">
        <v>100</v>
      </c>
      <c r="B23" s="25">
        <v>2383.9490000000001</v>
      </c>
      <c r="C23" s="25">
        <v>2086.88</v>
      </c>
      <c r="D23" s="25">
        <v>2066.5369999999998</v>
      </c>
      <c r="E23" s="25">
        <v>3112.0259999999998</v>
      </c>
      <c r="F23" s="25">
        <v>3255.538</v>
      </c>
      <c r="G23" s="25">
        <v>3616.297</v>
      </c>
    </row>
    <row r="24" spans="1:7" x14ac:dyDescent="0.15">
      <c r="A24" s="4"/>
      <c r="B24" s="4"/>
      <c r="C24" s="4"/>
      <c r="D24" s="4"/>
      <c r="E24" s="4"/>
      <c r="F24" s="4"/>
      <c r="G24" s="4"/>
    </row>
    <row r="25" spans="1:7" x14ac:dyDescent="0.15">
      <c r="A25" s="4" t="s">
        <v>101</v>
      </c>
      <c r="B25" s="17">
        <v>1470.3530000000001</v>
      </c>
      <c r="C25" s="17">
        <v>1295.5239999999999</v>
      </c>
      <c r="D25" s="17">
        <v>1321.367</v>
      </c>
      <c r="E25" s="17">
        <v>1884.046</v>
      </c>
      <c r="F25" s="17">
        <v>2052.942</v>
      </c>
      <c r="G25" s="17">
        <v>2138.4369999999999</v>
      </c>
    </row>
    <row r="26" spans="1:7" ht="12" x14ac:dyDescent="0.15">
      <c r="A26" s="4" t="s">
        <v>102</v>
      </c>
      <c r="B26" s="17" t="s">
        <v>28</v>
      </c>
      <c r="C26" s="17" t="s">
        <v>28</v>
      </c>
      <c r="D26" s="17" t="s">
        <v>28</v>
      </c>
      <c r="E26" s="17" t="s">
        <v>28</v>
      </c>
      <c r="F26" s="17" t="s">
        <v>28</v>
      </c>
      <c r="G26" s="17" t="s">
        <v>28</v>
      </c>
    </row>
    <row r="27" spans="1:7" x14ac:dyDescent="0.15">
      <c r="A27" s="4" t="s">
        <v>103</v>
      </c>
      <c r="B27" s="17">
        <v>273.38400000000001</v>
      </c>
      <c r="C27" s="17">
        <v>373.26</v>
      </c>
      <c r="D27" s="17">
        <v>386.07400000000001</v>
      </c>
      <c r="E27" s="17">
        <v>429.39</v>
      </c>
      <c r="F27" s="17">
        <v>474.827</v>
      </c>
      <c r="G27" s="17">
        <v>523.27</v>
      </c>
    </row>
    <row r="28" spans="1:7" ht="12" x14ac:dyDescent="0.15">
      <c r="A28" s="4" t="s">
        <v>104</v>
      </c>
      <c r="B28" s="17" t="s">
        <v>28</v>
      </c>
      <c r="C28" s="17">
        <v>-52.3</v>
      </c>
      <c r="D28" s="17">
        <v>-62.9</v>
      </c>
      <c r="E28" s="17">
        <v>-30.4</v>
      </c>
      <c r="F28" s="17">
        <v>-23.2</v>
      </c>
      <c r="G28" s="17">
        <v>-13.9</v>
      </c>
    </row>
    <row r="29" spans="1:7" x14ac:dyDescent="0.15">
      <c r="A29" s="4"/>
      <c r="B29" s="4"/>
      <c r="C29" s="4"/>
      <c r="D29" s="4"/>
      <c r="E29" s="4"/>
      <c r="F29" s="4"/>
      <c r="G29" s="4"/>
    </row>
    <row r="30" spans="1:7" x14ac:dyDescent="0.15">
      <c r="A30" s="9" t="s">
        <v>105</v>
      </c>
      <c r="B30" s="25">
        <v>1743.7370000000001</v>
      </c>
      <c r="C30" s="25">
        <v>1616.5150000000001</v>
      </c>
      <c r="D30" s="25">
        <v>1644.558</v>
      </c>
      <c r="E30" s="25">
        <v>2282.9879999999998</v>
      </c>
      <c r="F30" s="25">
        <v>2504.5450000000001</v>
      </c>
      <c r="G30" s="25">
        <v>2647.8220000000001</v>
      </c>
    </row>
    <row r="31" spans="1:7" x14ac:dyDescent="0.15">
      <c r="A31" s="4"/>
      <c r="B31" s="4"/>
      <c r="C31" s="4"/>
      <c r="D31" s="4"/>
      <c r="E31" s="4"/>
      <c r="F31" s="4"/>
      <c r="G31" s="4"/>
    </row>
    <row r="32" spans="1:7" x14ac:dyDescent="0.15">
      <c r="A32" s="9" t="s">
        <v>106</v>
      </c>
      <c r="B32" s="14">
        <v>640.21199999999999</v>
      </c>
      <c r="C32" s="14">
        <v>470.36500000000001</v>
      </c>
      <c r="D32" s="14">
        <v>421.97899999999998</v>
      </c>
      <c r="E32" s="14">
        <v>829.03800000000001</v>
      </c>
      <c r="F32" s="14">
        <v>750.99300000000005</v>
      </c>
      <c r="G32" s="14">
        <v>968.47500000000002</v>
      </c>
    </row>
    <row r="33" spans="1:7" x14ac:dyDescent="0.15">
      <c r="A33" s="4"/>
      <c r="B33" s="4"/>
      <c r="C33" s="4"/>
      <c r="D33" s="4"/>
      <c r="E33" s="4"/>
      <c r="F33" s="4"/>
      <c r="G33" s="4"/>
    </row>
    <row r="34" spans="1:7" x14ac:dyDescent="0.15">
      <c r="A34" s="4" t="s">
        <v>107</v>
      </c>
      <c r="B34" s="17">
        <v>-68.7</v>
      </c>
      <c r="C34" s="17">
        <v>-52</v>
      </c>
      <c r="D34" s="17">
        <v>-50.3</v>
      </c>
      <c r="E34" s="17">
        <v>-8.3000000000000007</v>
      </c>
      <c r="F34" s="17">
        <v>-99.2</v>
      </c>
      <c r="G34" s="17">
        <v>-122.2</v>
      </c>
    </row>
    <row r="35" spans="1:7" x14ac:dyDescent="0.15">
      <c r="A35" s="4" t="s">
        <v>108</v>
      </c>
      <c r="B35" s="17">
        <v>3.4580000000000002</v>
      </c>
      <c r="C35" s="17">
        <v>3.609</v>
      </c>
      <c r="D35" s="17">
        <v>2.379</v>
      </c>
      <c r="E35" s="17">
        <v>3.8610000000000002</v>
      </c>
      <c r="F35" s="17">
        <v>4.1079999999999997</v>
      </c>
      <c r="G35" s="17">
        <v>5.1079999999999997</v>
      </c>
    </row>
    <row r="36" spans="1:7" x14ac:dyDescent="0.15">
      <c r="A36" s="9" t="s">
        <v>109</v>
      </c>
      <c r="B36" s="25">
        <v>-65.2</v>
      </c>
      <c r="C36" s="25">
        <v>-48.4</v>
      </c>
      <c r="D36" s="25">
        <v>-47.9</v>
      </c>
      <c r="E36" s="25">
        <v>-4.4000000000000004</v>
      </c>
      <c r="F36" s="25">
        <v>-95.1</v>
      </c>
      <c r="G36" s="25">
        <v>-117.1</v>
      </c>
    </row>
    <row r="37" spans="1:7" x14ac:dyDescent="0.15">
      <c r="A37" s="4"/>
      <c r="B37" s="4"/>
      <c r="C37" s="4"/>
      <c r="D37" s="4"/>
      <c r="E37" s="4"/>
      <c r="F37" s="4"/>
      <c r="G37" s="4"/>
    </row>
    <row r="38" spans="1:7" x14ac:dyDescent="0.15">
      <c r="A38" s="4" t="s">
        <v>110</v>
      </c>
      <c r="B38" s="17">
        <v>6.8140000000000001</v>
      </c>
      <c r="C38" s="17">
        <v>2.7360000000000002</v>
      </c>
      <c r="D38" s="17">
        <v>37.212000000000003</v>
      </c>
      <c r="E38" s="17">
        <v>65.094999999999999</v>
      </c>
      <c r="F38" s="17">
        <v>2.3559999999999999</v>
      </c>
      <c r="G38" s="17">
        <v>8.6080000000000005</v>
      </c>
    </row>
    <row r="39" spans="1:7" x14ac:dyDescent="0.15">
      <c r="A39" s="4" t="s">
        <v>111</v>
      </c>
      <c r="B39" s="17">
        <v>-0.6</v>
      </c>
      <c r="C39" s="17">
        <v>3.6240000000000001</v>
      </c>
      <c r="D39" s="17">
        <v>-1.7</v>
      </c>
      <c r="E39" s="17">
        <v>-12.3</v>
      </c>
      <c r="F39" s="17">
        <v>10.505000000000001</v>
      </c>
      <c r="G39" s="17">
        <v>3.5049999999999999</v>
      </c>
    </row>
    <row r="40" spans="1:7" ht="12" x14ac:dyDescent="0.15">
      <c r="A40" s="4" t="s">
        <v>112</v>
      </c>
      <c r="B40" s="17">
        <v>10.593999999999999</v>
      </c>
      <c r="C40" s="17">
        <v>0</v>
      </c>
      <c r="D40" s="17" t="s">
        <v>28</v>
      </c>
      <c r="E40" s="17">
        <v>-1.5</v>
      </c>
      <c r="F40" s="17">
        <v>0.92300000000000004</v>
      </c>
      <c r="G40" s="17">
        <v>-16.2</v>
      </c>
    </row>
    <row r="41" spans="1:7" x14ac:dyDescent="0.15">
      <c r="A41" s="9" t="s">
        <v>113</v>
      </c>
      <c r="B41" s="25">
        <v>591.774</v>
      </c>
      <c r="C41" s="25">
        <v>428.36799999999999</v>
      </c>
      <c r="D41" s="25">
        <v>409.61200000000002</v>
      </c>
      <c r="E41" s="25">
        <v>875.92200000000003</v>
      </c>
      <c r="F41" s="25">
        <v>669.67499999999995</v>
      </c>
      <c r="G41" s="25">
        <v>847.25900000000001</v>
      </c>
    </row>
    <row r="42" spans="1:7" x14ac:dyDescent="0.15">
      <c r="A42" s="4"/>
      <c r="B42" s="4"/>
      <c r="C42" s="4"/>
      <c r="D42" s="4"/>
      <c r="E42" s="4"/>
      <c r="F42" s="4"/>
      <c r="G42" s="4"/>
    </row>
    <row r="43" spans="1:7" ht="12" x14ac:dyDescent="0.15">
      <c r="A43" s="4" t="s">
        <v>114</v>
      </c>
      <c r="B43" s="17" t="s">
        <v>28</v>
      </c>
      <c r="C43" s="17" t="s">
        <v>28</v>
      </c>
      <c r="D43" s="17" t="s">
        <v>28</v>
      </c>
      <c r="E43" s="17" t="s">
        <v>28</v>
      </c>
      <c r="F43" s="17" t="s">
        <v>28</v>
      </c>
      <c r="G43" s="17" t="s">
        <v>28</v>
      </c>
    </row>
    <row r="44" spans="1:7" x14ac:dyDescent="0.15">
      <c r="A44" s="4" t="s">
        <v>115</v>
      </c>
      <c r="B44" s="17">
        <v>-40.1</v>
      </c>
      <c r="C44" s="17">
        <v>-70.8</v>
      </c>
      <c r="D44" s="17">
        <v>-219</v>
      </c>
      <c r="E44" s="17">
        <v>-21</v>
      </c>
      <c r="F44" s="17">
        <v>-148.4</v>
      </c>
      <c r="G44" s="17">
        <v>-187.5</v>
      </c>
    </row>
    <row r="45" spans="1:7" x14ac:dyDescent="0.15">
      <c r="A45" s="4" t="s">
        <v>116</v>
      </c>
      <c r="B45" s="17">
        <v>1.5649999999999999</v>
      </c>
      <c r="C45" s="17">
        <v>-7.5</v>
      </c>
      <c r="D45" s="17">
        <v>205.56399999999999</v>
      </c>
      <c r="E45" s="17">
        <v>-4.9000000000000004</v>
      </c>
      <c r="F45" s="17">
        <v>-1.1000000000000001</v>
      </c>
      <c r="G45" s="17">
        <v>-1.1000000000000001</v>
      </c>
    </row>
    <row r="46" spans="1:7" ht="12" x14ac:dyDescent="0.15">
      <c r="A46" s="4" t="s">
        <v>117</v>
      </c>
      <c r="B46" s="17" t="s">
        <v>28</v>
      </c>
      <c r="C46" s="17" t="s">
        <v>28</v>
      </c>
      <c r="D46" s="17">
        <v>-150</v>
      </c>
      <c r="E46" s="17">
        <v>15.688000000000001</v>
      </c>
      <c r="F46" s="17" t="s">
        <v>28</v>
      </c>
      <c r="G46" s="17" t="s">
        <v>28</v>
      </c>
    </row>
    <row r="47" spans="1:7" ht="12" x14ac:dyDescent="0.15">
      <c r="A47" s="4" t="s">
        <v>118</v>
      </c>
      <c r="B47" s="17" t="s">
        <v>28</v>
      </c>
      <c r="C47" s="17" t="s">
        <v>28</v>
      </c>
      <c r="D47" s="17" t="s">
        <v>28</v>
      </c>
      <c r="E47" s="17" t="s">
        <v>28</v>
      </c>
      <c r="F47" s="17" t="s">
        <v>28</v>
      </c>
      <c r="G47" s="17">
        <v>15</v>
      </c>
    </row>
    <row r="48" spans="1:7" x14ac:dyDescent="0.15">
      <c r="A48" s="9" t="s">
        <v>119</v>
      </c>
      <c r="B48" s="25">
        <v>553.24099999999999</v>
      </c>
      <c r="C48" s="25">
        <v>350.05900000000003</v>
      </c>
      <c r="D48" s="25">
        <v>246.17400000000001</v>
      </c>
      <c r="E48" s="25">
        <v>865.66899999999998</v>
      </c>
      <c r="F48" s="25">
        <v>520.16899999999998</v>
      </c>
      <c r="G48" s="25">
        <v>673.67200000000003</v>
      </c>
    </row>
    <row r="49" spans="1:7" x14ac:dyDescent="0.15">
      <c r="A49" s="4"/>
      <c r="B49" s="4"/>
      <c r="C49" s="4"/>
      <c r="D49" s="4"/>
      <c r="E49" s="4"/>
      <c r="F49" s="4"/>
      <c r="G49" s="4"/>
    </row>
    <row r="50" spans="1:7" x14ac:dyDescent="0.15">
      <c r="A50" s="4" t="s">
        <v>120</v>
      </c>
      <c r="B50" s="17">
        <v>92.840999999999994</v>
      </c>
      <c r="C50" s="17">
        <v>63.344999999999999</v>
      </c>
      <c r="D50" s="17">
        <v>12.542</v>
      </c>
      <c r="E50" s="17">
        <v>201.11600000000001</v>
      </c>
      <c r="F50" s="17">
        <v>118.38800000000001</v>
      </c>
      <c r="G50" s="17">
        <v>134.708</v>
      </c>
    </row>
    <row r="51" spans="1:7" x14ac:dyDescent="0.15">
      <c r="A51" s="9" t="s">
        <v>121</v>
      </c>
      <c r="B51" s="25">
        <v>460.4</v>
      </c>
      <c r="C51" s="25">
        <v>286.714</v>
      </c>
      <c r="D51" s="25">
        <v>233.63200000000001</v>
      </c>
      <c r="E51" s="25">
        <v>664.553</v>
      </c>
      <c r="F51" s="25">
        <v>401.78100000000001</v>
      </c>
      <c r="G51" s="25">
        <v>538.96400000000006</v>
      </c>
    </row>
    <row r="52" spans="1:7" x14ac:dyDescent="0.15">
      <c r="A52" s="4"/>
      <c r="B52" s="4"/>
      <c r="C52" s="4"/>
      <c r="D52" s="4"/>
      <c r="E52" s="4"/>
      <c r="F52" s="4"/>
      <c r="G52" s="4"/>
    </row>
    <row r="53" spans="1:7" ht="12" x14ac:dyDescent="0.15">
      <c r="A53" s="4" t="s">
        <v>122</v>
      </c>
      <c r="B53" s="17" t="s">
        <v>28</v>
      </c>
      <c r="C53" s="17" t="s">
        <v>28</v>
      </c>
      <c r="D53" s="17" t="s">
        <v>28</v>
      </c>
      <c r="E53" s="17" t="s">
        <v>28</v>
      </c>
      <c r="F53" s="17" t="s">
        <v>28</v>
      </c>
      <c r="G53" s="17" t="s">
        <v>28</v>
      </c>
    </row>
    <row r="54" spans="1:7" ht="12" x14ac:dyDescent="0.15">
      <c r="A54" s="4" t="s">
        <v>123</v>
      </c>
      <c r="B54" s="17" t="s">
        <v>28</v>
      </c>
      <c r="C54" s="17" t="s">
        <v>28</v>
      </c>
      <c r="D54" s="17" t="s">
        <v>28</v>
      </c>
      <c r="E54" s="17" t="s">
        <v>28</v>
      </c>
      <c r="F54" s="17" t="s">
        <v>28</v>
      </c>
      <c r="G54" s="17" t="s">
        <v>28</v>
      </c>
    </row>
    <row r="55" spans="1:7" x14ac:dyDescent="0.15">
      <c r="A55" s="9" t="s">
        <v>124</v>
      </c>
      <c r="B55" s="25">
        <v>460.4</v>
      </c>
      <c r="C55" s="25">
        <v>286.714</v>
      </c>
      <c r="D55" s="25">
        <v>233.63200000000001</v>
      </c>
      <c r="E55" s="25">
        <v>664.553</v>
      </c>
      <c r="F55" s="25">
        <v>401.78100000000001</v>
      </c>
      <c r="G55" s="25">
        <v>538.96400000000006</v>
      </c>
    </row>
    <row r="56" spans="1:7" x14ac:dyDescent="0.15">
      <c r="A56" s="4"/>
      <c r="B56" s="4"/>
      <c r="C56" s="4"/>
      <c r="D56" s="4"/>
      <c r="E56" s="4"/>
      <c r="F56" s="4"/>
      <c r="G56" s="4"/>
    </row>
    <row r="57" spans="1:7" x14ac:dyDescent="0.15">
      <c r="A57" s="4" t="s">
        <v>125</v>
      </c>
      <c r="B57" s="17">
        <v>5.9029999999999996</v>
      </c>
      <c r="C57" s="17">
        <v>4.2990000000000004</v>
      </c>
      <c r="D57" s="17">
        <v>4.4870000000000001</v>
      </c>
      <c r="E57" s="17">
        <v>1.972</v>
      </c>
      <c r="F57" s="17">
        <v>0.58499999999999996</v>
      </c>
      <c r="G57" s="17">
        <v>0.65100000000000002</v>
      </c>
    </row>
    <row r="58" spans="1:7" x14ac:dyDescent="0.15">
      <c r="A58" s="9" t="s">
        <v>126</v>
      </c>
      <c r="B58" s="26">
        <v>466.303</v>
      </c>
      <c r="C58" s="26">
        <v>291.01299999999998</v>
      </c>
      <c r="D58" s="26">
        <v>238.119</v>
      </c>
      <c r="E58" s="26">
        <v>666.52499999999998</v>
      </c>
      <c r="F58" s="26">
        <v>402.36599999999999</v>
      </c>
      <c r="G58" s="26">
        <v>539.61500000000001</v>
      </c>
    </row>
    <row r="59" spans="1:7" x14ac:dyDescent="0.15">
      <c r="A59" s="4"/>
      <c r="B59" s="4"/>
      <c r="C59" s="4"/>
      <c r="D59" s="4"/>
      <c r="E59" s="4"/>
      <c r="F59" s="4"/>
      <c r="G59" s="4"/>
    </row>
    <row r="60" spans="1:7" ht="12" x14ac:dyDescent="0.15">
      <c r="A60" s="4" t="s">
        <v>127</v>
      </c>
      <c r="B60" s="17" t="s">
        <v>28</v>
      </c>
      <c r="C60" s="17" t="s">
        <v>28</v>
      </c>
      <c r="D60" s="17" t="s">
        <v>28</v>
      </c>
      <c r="E60" s="17" t="s">
        <v>28</v>
      </c>
      <c r="F60" s="17" t="s">
        <v>28</v>
      </c>
      <c r="G60" s="17" t="s">
        <v>28</v>
      </c>
    </row>
    <row r="61" spans="1:7" x14ac:dyDescent="0.15">
      <c r="A61" s="4"/>
      <c r="B61" s="4"/>
      <c r="C61" s="4"/>
      <c r="D61" s="4"/>
      <c r="E61" s="4"/>
      <c r="F61" s="4"/>
      <c r="G61" s="4"/>
    </row>
    <row r="62" spans="1:7" x14ac:dyDescent="0.15">
      <c r="A62" s="9" t="s">
        <v>128</v>
      </c>
      <c r="B62" s="14">
        <v>466.303</v>
      </c>
      <c r="C62" s="14">
        <v>291.01299999999998</v>
      </c>
      <c r="D62" s="14">
        <v>238.119</v>
      </c>
      <c r="E62" s="14">
        <v>666.52499999999998</v>
      </c>
      <c r="F62" s="14">
        <v>402.36599999999999</v>
      </c>
      <c r="G62" s="14">
        <v>539.61500000000001</v>
      </c>
    </row>
    <row r="63" spans="1:7" x14ac:dyDescent="0.15">
      <c r="A63" s="9" t="s">
        <v>129</v>
      </c>
      <c r="B63" s="14">
        <v>466.303</v>
      </c>
      <c r="C63" s="14">
        <v>291.01299999999998</v>
      </c>
      <c r="D63" s="14">
        <v>238.119</v>
      </c>
      <c r="E63" s="14">
        <v>666.52499999999998</v>
      </c>
      <c r="F63" s="14">
        <v>402.36599999999999</v>
      </c>
      <c r="G63" s="14">
        <v>539.61500000000001</v>
      </c>
    </row>
    <row r="64" spans="1:7" x14ac:dyDescent="0.15">
      <c r="A64" s="4"/>
      <c r="B64" s="4"/>
      <c r="C64" s="4"/>
      <c r="D64" s="4"/>
      <c r="E64" s="4"/>
      <c r="F64" s="4"/>
      <c r="G64" s="4"/>
    </row>
    <row r="65" spans="1:7" x14ac:dyDescent="0.15">
      <c r="A65" s="9" t="s">
        <v>130</v>
      </c>
      <c r="B65" s="4"/>
      <c r="C65" s="4"/>
      <c r="D65" s="4"/>
      <c r="E65" s="4"/>
      <c r="F65" s="4"/>
      <c r="G65" s="4"/>
    </row>
    <row r="66" spans="1:7" x14ac:dyDescent="0.15">
      <c r="A66" s="4" t="s">
        <v>131</v>
      </c>
      <c r="B66" s="19">
        <v>5.9495589999999998</v>
      </c>
      <c r="C66" s="19">
        <v>3.7130339999999999</v>
      </c>
      <c r="D66" s="19">
        <v>3.03816</v>
      </c>
      <c r="E66" s="19">
        <v>8.5041910000000005</v>
      </c>
      <c r="F66" s="19">
        <v>5.1337869999999999</v>
      </c>
      <c r="G66" s="19">
        <v>6.8849470000000004</v>
      </c>
    </row>
    <row r="67" spans="1:7" x14ac:dyDescent="0.15">
      <c r="A67" s="4" t="s">
        <v>132</v>
      </c>
      <c r="B67" s="19">
        <v>5.9495589999999998</v>
      </c>
      <c r="C67" s="19">
        <v>3.7130339999999999</v>
      </c>
      <c r="D67" s="19">
        <v>3.03816</v>
      </c>
      <c r="E67" s="19">
        <v>8.5041910000000005</v>
      </c>
      <c r="F67" s="19">
        <v>5.1337869999999999</v>
      </c>
      <c r="G67" s="19">
        <v>6.8849470000000004</v>
      </c>
    </row>
    <row r="68" spans="1:7" x14ac:dyDescent="0.15">
      <c r="A68" s="4" t="s">
        <v>133</v>
      </c>
      <c r="B68" s="17">
        <v>78.376056000000005</v>
      </c>
      <c r="C68" s="17">
        <v>78.376056000000005</v>
      </c>
      <c r="D68" s="17">
        <v>78.376056000000005</v>
      </c>
      <c r="E68" s="17">
        <v>78.376056000000005</v>
      </c>
      <c r="F68" s="17">
        <v>78.376056000000005</v>
      </c>
      <c r="G68" s="17">
        <v>78.376056000000005</v>
      </c>
    </row>
    <row r="69" spans="1:7" x14ac:dyDescent="0.15">
      <c r="A69" s="4"/>
      <c r="B69" s="4"/>
      <c r="C69" s="4"/>
      <c r="D69" s="4"/>
      <c r="E69" s="4"/>
      <c r="F69" s="4"/>
      <c r="G69" s="4"/>
    </row>
    <row r="70" spans="1:7" x14ac:dyDescent="0.15">
      <c r="A70" s="4" t="s">
        <v>134</v>
      </c>
      <c r="B70" s="19">
        <v>5.9495589999999998</v>
      </c>
      <c r="C70" s="19">
        <v>3.7130339999999999</v>
      </c>
      <c r="D70" s="19">
        <v>3.03816</v>
      </c>
      <c r="E70" s="19">
        <v>8.5041910000000005</v>
      </c>
      <c r="F70" s="19">
        <v>5.1337869999999999</v>
      </c>
      <c r="G70" s="19">
        <v>6.8849470000000004</v>
      </c>
    </row>
    <row r="71" spans="1:7" x14ac:dyDescent="0.15">
      <c r="A71" s="4" t="s">
        <v>135</v>
      </c>
      <c r="B71" s="19">
        <v>5.9495589999999998</v>
      </c>
      <c r="C71" s="19">
        <v>3.7130339999999999</v>
      </c>
      <c r="D71" s="19">
        <v>3.03816</v>
      </c>
      <c r="E71" s="19">
        <v>8.5041910000000005</v>
      </c>
      <c r="F71" s="19">
        <v>5.1337869999999999</v>
      </c>
      <c r="G71" s="19">
        <v>6.8849470000000004</v>
      </c>
    </row>
    <row r="72" spans="1:7" x14ac:dyDescent="0.15">
      <c r="A72" s="4" t="s">
        <v>136</v>
      </c>
      <c r="B72" s="17">
        <v>78.376056000000005</v>
      </c>
      <c r="C72" s="17">
        <v>78.376056000000005</v>
      </c>
      <c r="D72" s="17">
        <v>78.376056000000005</v>
      </c>
      <c r="E72" s="17">
        <v>78.376056000000005</v>
      </c>
      <c r="F72" s="17">
        <v>78.376056000000005</v>
      </c>
      <c r="G72" s="17">
        <v>78.376056000000005</v>
      </c>
    </row>
    <row r="73" spans="1:7" x14ac:dyDescent="0.15">
      <c r="A73" s="4"/>
      <c r="B73" s="4"/>
      <c r="C73" s="4"/>
      <c r="D73" s="4"/>
      <c r="E73" s="4"/>
      <c r="F73" s="4"/>
      <c r="G73" s="4"/>
    </row>
    <row r="74" spans="1:7" x14ac:dyDescent="0.15">
      <c r="A74" s="4" t="s">
        <v>137</v>
      </c>
      <c r="B74" s="19">
        <v>4.7943429999999996</v>
      </c>
      <c r="C74" s="19">
        <v>3.4708169999999998</v>
      </c>
      <c r="D74" s="19">
        <v>3.3236479999999999</v>
      </c>
      <c r="E74" s="19">
        <v>7.0100899999999999</v>
      </c>
      <c r="F74" s="19">
        <v>5.3477030000000001</v>
      </c>
      <c r="G74" s="19">
        <v>6.7646660000000001</v>
      </c>
    </row>
    <row r="75" spans="1:7" x14ac:dyDescent="0.15">
      <c r="A75" s="4" t="s">
        <v>138</v>
      </c>
      <c r="B75" s="19">
        <v>4.7943429999999996</v>
      </c>
      <c r="C75" s="19">
        <v>3.4708169999999998</v>
      </c>
      <c r="D75" s="19">
        <v>3.3236479999999999</v>
      </c>
      <c r="E75" s="19">
        <v>7.0100899999999999</v>
      </c>
      <c r="F75" s="19">
        <v>5.3477030000000001</v>
      </c>
      <c r="G75" s="19">
        <v>6.7646660000000001</v>
      </c>
    </row>
    <row r="76" spans="1:7" x14ac:dyDescent="0.15">
      <c r="A76" s="4"/>
      <c r="B76" s="4"/>
      <c r="C76" s="4"/>
      <c r="D76" s="4"/>
      <c r="E76" s="4"/>
      <c r="F76" s="4"/>
      <c r="G76" s="4"/>
    </row>
    <row r="77" spans="1:7" ht="12" x14ac:dyDescent="0.15">
      <c r="A77" s="4" t="s">
        <v>139</v>
      </c>
      <c r="B77" s="19">
        <v>3.5</v>
      </c>
      <c r="C77" s="19" t="s">
        <v>140</v>
      </c>
      <c r="D77" s="19">
        <v>1.5</v>
      </c>
      <c r="E77" s="19">
        <v>3</v>
      </c>
      <c r="F77" s="19">
        <v>2.6</v>
      </c>
      <c r="G77" s="19">
        <v>2.6</v>
      </c>
    </row>
    <row r="78" spans="1:7" ht="12" x14ac:dyDescent="0.15">
      <c r="A78" s="4" t="s">
        <v>141</v>
      </c>
      <c r="B78" s="27">
        <v>0.58827799999999997</v>
      </c>
      <c r="C78" s="27">
        <v>0.94262400000000002</v>
      </c>
      <c r="D78" s="16" t="s">
        <v>140</v>
      </c>
      <c r="E78" s="27">
        <v>0.17638300000000001</v>
      </c>
      <c r="F78" s="27">
        <v>0.58436299999999997</v>
      </c>
      <c r="G78" s="27">
        <v>0.377635</v>
      </c>
    </row>
    <row r="79" spans="1:7" x14ac:dyDescent="0.15">
      <c r="A79" s="4"/>
      <c r="B79" s="4"/>
      <c r="C79" s="4"/>
      <c r="D79" s="4"/>
      <c r="E79" s="4"/>
      <c r="F79" s="4"/>
      <c r="G79" s="4"/>
    </row>
    <row r="80" spans="1:7" x14ac:dyDescent="0.15">
      <c r="A80" s="9" t="s">
        <v>142</v>
      </c>
      <c r="B80" s="4"/>
      <c r="C80" s="4"/>
      <c r="D80" s="4"/>
      <c r="E80" s="4"/>
      <c r="F80" s="4"/>
      <c r="G80" s="4"/>
    </row>
    <row r="81" spans="1:7" x14ac:dyDescent="0.15">
      <c r="A81" s="4" t="s">
        <v>30</v>
      </c>
      <c r="B81" s="17">
        <v>897.50699999999995</v>
      </c>
      <c r="C81" s="17">
        <v>741.73699999999997</v>
      </c>
      <c r="D81" s="17">
        <v>693.68600000000004</v>
      </c>
      <c r="E81" s="17">
        <v>1085.5650000000001</v>
      </c>
      <c r="F81" s="17">
        <v>1062.444</v>
      </c>
      <c r="G81" s="17">
        <v>1328.3689999999999</v>
      </c>
    </row>
    <row r="82" spans="1:7" x14ac:dyDescent="0.15">
      <c r="A82" s="4" t="s">
        <v>143</v>
      </c>
      <c r="B82" s="17">
        <v>642.92999999999995</v>
      </c>
      <c r="C82" s="17">
        <v>473.68700000000001</v>
      </c>
      <c r="D82" s="17">
        <v>425.60300000000001</v>
      </c>
      <c r="E82" s="17">
        <v>832.53800000000001</v>
      </c>
      <c r="F82" s="17">
        <v>754.05600000000004</v>
      </c>
      <c r="G82" s="17">
        <v>971.53800000000001</v>
      </c>
    </row>
    <row r="83" spans="1:7" x14ac:dyDescent="0.15">
      <c r="A83" s="4" t="s">
        <v>31</v>
      </c>
      <c r="B83" s="17">
        <v>640.21199999999999</v>
      </c>
      <c r="C83" s="17">
        <v>470.36500000000001</v>
      </c>
      <c r="D83" s="17">
        <v>421.97899999999998</v>
      </c>
      <c r="E83" s="17">
        <v>829.03800000000001</v>
      </c>
      <c r="F83" s="17">
        <v>750.99300000000005</v>
      </c>
      <c r="G83" s="17">
        <v>968.47500000000002</v>
      </c>
    </row>
    <row r="84" spans="1:7" ht="12" x14ac:dyDescent="0.15">
      <c r="A84" s="4" t="s">
        <v>144</v>
      </c>
      <c r="B84" s="17">
        <v>965.21600000000001</v>
      </c>
      <c r="C84" s="17">
        <v>796.62800000000004</v>
      </c>
      <c r="D84" s="17">
        <v>743.99300000000005</v>
      </c>
      <c r="E84" s="17">
        <v>1141.2239999999999</v>
      </c>
      <c r="F84" s="17">
        <v>1104.789</v>
      </c>
      <c r="G84" s="17" t="s">
        <v>140</v>
      </c>
    </row>
    <row r="85" spans="1:7" x14ac:dyDescent="0.15">
      <c r="A85" s="4" t="s">
        <v>145</v>
      </c>
      <c r="B85" s="17">
        <v>2688.0610000000001</v>
      </c>
      <c r="C85" s="17">
        <v>2838.9609999999998</v>
      </c>
      <c r="D85" s="17">
        <v>2820.857</v>
      </c>
      <c r="E85" s="17">
        <v>4117.7939999999999</v>
      </c>
      <c r="F85" s="17">
        <v>4303.5889999999999</v>
      </c>
      <c r="G85" s="17">
        <v>4698.3999999999996</v>
      </c>
    </row>
    <row r="86" spans="1:7" x14ac:dyDescent="0.15">
      <c r="A86" s="4" t="s">
        <v>146</v>
      </c>
      <c r="B86" s="27">
        <v>0.16781199999999999</v>
      </c>
      <c r="C86" s="27">
        <v>0.180955</v>
      </c>
      <c r="D86" s="27">
        <v>5.0946999999999999E-2</v>
      </c>
      <c r="E86" s="27">
        <v>0.232324</v>
      </c>
      <c r="F86" s="27">
        <v>0.22759499999999999</v>
      </c>
      <c r="G86" s="27">
        <v>0.19996</v>
      </c>
    </row>
    <row r="87" spans="1:7" x14ac:dyDescent="0.15">
      <c r="A87" s="4" t="s">
        <v>147</v>
      </c>
      <c r="B87" s="17">
        <v>86.04</v>
      </c>
      <c r="C87" s="17">
        <v>69.897999999999996</v>
      </c>
      <c r="D87" s="17">
        <v>74.049000000000007</v>
      </c>
      <c r="E87" s="17">
        <v>130.239</v>
      </c>
      <c r="F87" s="17">
        <v>123.327</v>
      </c>
      <c r="G87" s="17">
        <v>123.327</v>
      </c>
    </row>
    <row r="88" spans="1:7" x14ac:dyDescent="0.15">
      <c r="A88" s="4" t="s">
        <v>148</v>
      </c>
      <c r="B88" s="17">
        <v>6.8010000000000002</v>
      </c>
      <c r="C88" s="17">
        <v>-6.6</v>
      </c>
      <c r="D88" s="17">
        <v>-61.5</v>
      </c>
      <c r="E88" s="17">
        <v>70.876999999999995</v>
      </c>
      <c r="F88" s="17">
        <v>-4.9000000000000004</v>
      </c>
      <c r="G88" s="17">
        <v>-4.9000000000000004</v>
      </c>
    </row>
    <row r="89" spans="1:7" x14ac:dyDescent="0.15">
      <c r="A89" s="4"/>
      <c r="B89" s="4"/>
      <c r="C89" s="4"/>
      <c r="D89" s="4"/>
      <c r="E89" s="4"/>
      <c r="F89" s="4"/>
      <c r="G89" s="4"/>
    </row>
    <row r="90" spans="1:7" x14ac:dyDescent="0.15">
      <c r="A90" s="4" t="s">
        <v>149</v>
      </c>
      <c r="B90" s="17">
        <v>375.76175000000001</v>
      </c>
      <c r="C90" s="17">
        <v>272.029</v>
      </c>
      <c r="D90" s="17">
        <v>260.49450000000002</v>
      </c>
      <c r="E90" s="17">
        <v>549.42325000000005</v>
      </c>
      <c r="F90" s="17">
        <v>419.13187499999998</v>
      </c>
      <c r="G90" s="17">
        <v>530.18787499999996</v>
      </c>
    </row>
    <row r="91" spans="1:7" ht="12" x14ac:dyDescent="0.15">
      <c r="A91" s="4" t="s">
        <v>150</v>
      </c>
      <c r="B91" s="17">
        <v>0.16800000000000001</v>
      </c>
      <c r="C91" s="17">
        <v>15.426</v>
      </c>
      <c r="D91" s="17">
        <v>15.907999999999999</v>
      </c>
      <c r="E91" s="17">
        <v>38</v>
      </c>
      <c r="F91" s="17">
        <v>41</v>
      </c>
      <c r="G91" s="17" t="s">
        <v>140</v>
      </c>
    </row>
    <row r="92" spans="1:7" x14ac:dyDescent="0.15">
      <c r="A92" s="4" t="s">
        <v>151</v>
      </c>
      <c r="B92" s="28">
        <v>44151</v>
      </c>
      <c r="C92" s="28">
        <v>44517</v>
      </c>
      <c r="D92" s="28">
        <v>44881</v>
      </c>
      <c r="E92" s="28">
        <v>45245</v>
      </c>
      <c r="F92" s="28">
        <v>45245</v>
      </c>
      <c r="G92" s="28">
        <v>45463</v>
      </c>
    </row>
    <row r="93" spans="1:7" ht="12" x14ac:dyDescent="0.15">
      <c r="A93" s="4" t="s">
        <v>152</v>
      </c>
      <c r="B93" s="16" t="s">
        <v>153</v>
      </c>
      <c r="C93" s="16" t="s">
        <v>154</v>
      </c>
      <c r="D93" s="16" t="s">
        <v>154</v>
      </c>
      <c r="E93" s="16" t="s">
        <v>153</v>
      </c>
      <c r="F93" s="16" t="s">
        <v>155</v>
      </c>
      <c r="G93" s="16" t="s">
        <v>155</v>
      </c>
    </row>
    <row r="94" spans="1:7" ht="12" x14ac:dyDescent="0.15">
      <c r="A94" s="4" t="s">
        <v>156</v>
      </c>
      <c r="B94" s="16" t="s">
        <v>157</v>
      </c>
      <c r="C94" s="16" t="s">
        <v>157</v>
      </c>
      <c r="D94" s="16" t="s">
        <v>157</v>
      </c>
      <c r="E94" s="16" t="s">
        <v>157</v>
      </c>
      <c r="F94" s="16" t="s">
        <v>157</v>
      </c>
      <c r="G94" s="16" t="s">
        <v>158</v>
      </c>
    </row>
    <row r="95" spans="1:7" x14ac:dyDescent="0.15">
      <c r="A95" s="4"/>
      <c r="B95" s="4"/>
      <c r="C95" s="4"/>
      <c r="D95" s="4"/>
      <c r="E95" s="4"/>
      <c r="F95" s="4"/>
      <c r="G95" s="4"/>
    </row>
    <row r="96" spans="1:7" x14ac:dyDescent="0.15">
      <c r="A96" s="9" t="s">
        <v>159</v>
      </c>
      <c r="B96" s="4"/>
      <c r="C96" s="4"/>
      <c r="D96" s="4"/>
      <c r="E96" s="4"/>
      <c r="F96" s="4"/>
      <c r="G96" s="4"/>
    </row>
    <row r="97" spans="1:7" ht="12" x14ac:dyDescent="0.15">
      <c r="A97" s="4" t="s">
        <v>160</v>
      </c>
      <c r="B97" s="17">
        <v>67.709000000000003</v>
      </c>
      <c r="C97" s="17">
        <v>54.890999999999998</v>
      </c>
      <c r="D97" s="17">
        <v>50.307000000000002</v>
      </c>
      <c r="E97" s="17">
        <v>55.658999999999999</v>
      </c>
      <c r="F97" s="17">
        <v>42.344999999999999</v>
      </c>
      <c r="G97" s="17" t="s">
        <v>140</v>
      </c>
    </row>
    <row r="98" spans="1:7" ht="12" x14ac:dyDescent="0.15">
      <c r="A98" s="4" t="s">
        <v>161</v>
      </c>
      <c r="B98" s="17">
        <v>21.327252000000001</v>
      </c>
      <c r="C98" s="17">
        <v>10.217191</v>
      </c>
      <c r="D98" s="17">
        <v>6.8811929999999997</v>
      </c>
      <c r="E98" s="17">
        <v>1.0806750000000001</v>
      </c>
      <c r="F98" s="17">
        <v>8.4974559999999997</v>
      </c>
      <c r="G98" s="17" t="s">
        <v>28</v>
      </c>
    </row>
    <row r="99" spans="1:7" ht="12" x14ac:dyDescent="0.15">
      <c r="A99" s="4" t="s">
        <v>162</v>
      </c>
      <c r="B99" s="17">
        <v>46.381748000000002</v>
      </c>
      <c r="C99" s="17">
        <v>44.673808999999999</v>
      </c>
      <c r="D99" s="17">
        <v>43.425806999999999</v>
      </c>
      <c r="E99" s="17">
        <v>54.578325</v>
      </c>
      <c r="F99" s="17">
        <v>33.847543999999999</v>
      </c>
      <c r="G99" s="17" t="s">
        <v>28</v>
      </c>
    </row>
    <row r="100" spans="1:7" x14ac:dyDescent="0.15">
      <c r="A100" s="4"/>
      <c r="B100" s="4"/>
      <c r="C100" s="4"/>
      <c r="D100" s="4"/>
      <c r="E100" s="4"/>
      <c r="F100" s="4"/>
      <c r="G100" s="4"/>
    </row>
    <row r="101" spans="1:7" x14ac:dyDescent="0.15">
      <c r="A101" s="24" t="s">
        <v>163</v>
      </c>
      <c r="B101" s="11"/>
      <c r="C101" s="11"/>
      <c r="D101" s="11"/>
      <c r="E101" s="11"/>
      <c r="F101" s="11"/>
      <c r="G101" s="11"/>
    </row>
    <row r="102" spans="1:7" x14ac:dyDescent="0.15">
      <c r="A102" t="s">
        <v>164</v>
      </c>
    </row>
    <row r="103" spans="1:7" x14ac:dyDescent="0.15">
      <c r="A103" s="22" t="s">
        <v>72</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FFEC9-6022-0541-A0F7-6A9B7F496EB8}">
  <sheetPr>
    <outlinePr summaryBelow="0" summaryRight="0"/>
    <pageSetUpPr autoPageBreaks="0"/>
  </sheetPr>
  <dimension ref="A5:IU98"/>
  <sheetViews>
    <sheetView workbookViewId="0"/>
  </sheetViews>
  <sheetFormatPr baseColWidth="10" defaultRowHeight="11" x14ac:dyDescent="0.15"/>
  <cols>
    <col min="1" max="1" width="45.83203125" customWidth="1"/>
    <col min="2" max="7" width="14.83203125" customWidth="1"/>
    <col min="8" max="256" width="8.83203125" customWidth="1"/>
  </cols>
  <sheetData>
    <row r="5" spans="1:255" ht="17" x14ac:dyDescent="0.2">
      <c r="A5" s="1" t="s">
        <v>165</v>
      </c>
    </row>
    <row r="7" spans="1:255" ht="12" x14ac:dyDescent="0.15">
      <c r="A7" s="2" t="s">
        <v>166</v>
      </c>
      <c r="B7" s="3" t="s">
        <v>167</v>
      </c>
      <c r="C7" t="s">
        <v>76</v>
      </c>
      <c r="D7" s="4" t="s">
        <v>4</v>
      </c>
      <c r="E7" s="3" t="s">
        <v>168</v>
      </c>
      <c r="F7" t="s">
        <v>78</v>
      </c>
    </row>
    <row r="8" spans="1:255" x14ac:dyDescent="0.15">
      <c r="A8" s="4"/>
      <c r="B8" s="3" t="s">
        <v>169</v>
      </c>
      <c r="C8" t="s">
        <v>80</v>
      </c>
      <c r="D8" s="4" t="s">
        <v>4</v>
      </c>
      <c r="E8" s="3" t="s">
        <v>170</v>
      </c>
      <c r="F8" t="s">
        <v>8</v>
      </c>
    </row>
    <row r="9" spans="1:255" x14ac:dyDescent="0.15">
      <c r="A9" s="4"/>
      <c r="B9" s="3" t="s">
        <v>171</v>
      </c>
      <c r="C9" t="s">
        <v>83</v>
      </c>
      <c r="D9" s="4" t="s">
        <v>4</v>
      </c>
      <c r="E9" s="3" t="s">
        <v>172</v>
      </c>
      <c r="F9" t="s">
        <v>6</v>
      </c>
    </row>
    <row r="10" spans="1:255" x14ac:dyDescent="0.15">
      <c r="A10" s="4"/>
      <c r="B10" s="3" t="s">
        <v>173</v>
      </c>
      <c r="C10" t="s">
        <v>10</v>
      </c>
      <c r="D10" s="4" t="s">
        <v>4</v>
      </c>
      <c r="E10" s="3" t="s">
        <v>174</v>
      </c>
      <c r="F10" s="5" t="s">
        <v>12</v>
      </c>
    </row>
    <row r="11" spans="1:255" x14ac:dyDescent="0.15">
      <c r="A11" s="4"/>
      <c r="B11" s="3" t="s">
        <v>175</v>
      </c>
      <c r="C11" t="s">
        <v>88</v>
      </c>
      <c r="D11" s="4" t="s">
        <v>4</v>
      </c>
      <c r="E11" s="23"/>
      <c r="F11" s="23"/>
    </row>
    <row r="14" spans="1:255" x14ac:dyDescent="0.15">
      <c r="A14" s="6" t="s">
        <v>176</v>
      </c>
      <c r="B14" s="6"/>
      <c r="C14" s="6"/>
      <c r="D14" s="6"/>
      <c r="E14" s="6"/>
      <c r="F14" s="6"/>
      <c r="G14" s="6"/>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1"/>
      <c r="CE14" s="61"/>
      <c r="CF14" s="61"/>
      <c r="CG14" s="61"/>
      <c r="CH14" s="61"/>
      <c r="CI14" s="61"/>
      <c r="CJ14" s="61"/>
      <c r="CK14" s="61"/>
      <c r="CL14" s="61"/>
      <c r="CM14" s="61"/>
      <c r="CN14" s="61"/>
      <c r="CO14" s="61"/>
      <c r="CP14" s="61"/>
      <c r="CQ14" s="61"/>
      <c r="CR14" s="61"/>
      <c r="CS14" s="61"/>
      <c r="CT14" s="61"/>
      <c r="CU14" s="61"/>
      <c r="CV14" s="61"/>
      <c r="CW14" s="61"/>
      <c r="CX14" s="61"/>
      <c r="CY14" s="61"/>
      <c r="CZ14" s="61"/>
      <c r="DA14" s="61"/>
      <c r="DB14" s="61"/>
      <c r="DC14" s="61"/>
      <c r="DD14" s="61"/>
      <c r="DE14" s="61"/>
      <c r="DF14" s="61"/>
      <c r="DG14" s="61"/>
      <c r="DH14" s="61"/>
      <c r="DI14" s="61"/>
      <c r="DJ14" s="61"/>
      <c r="DK14" s="61"/>
      <c r="DL14" s="61"/>
      <c r="DM14" s="61"/>
      <c r="DN14" s="61"/>
      <c r="DO14" s="61"/>
      <c r="DP14" s="61"/>
      <c r="DQ14" s="61"/>
      <c r="DR14" s="61"/>
      <c r="DS14" s="61"/>
      <c r="DT14" s="61"/>
      <c r="DU14" s="61"/>
      <c r="DV14" s="61"/>
      <c r="DW14" s="61"/>
      <c r="DX14" s="61"/>
      <c r="DY14" s="61"/>
      <c r="DZ14" s="61"/>
      <c r="EA14" s="61"/>
      <c r="EB14" s="61"/>
      <c r="EC14" s="61"/>
      <c r="ED14" s="61"/>
      <c r="EE14" s="61"/>
      <c r="EF14" s="61"/>
      <c r="EG14" s="61"/>
      <c r="EH14" s="61"/>
      <c r="EI14" s="61"/>
      <c r="EJ14" s="61"/>
      <c r="EK14" s="61"/>
      <c r="EL14" s="61"/>
      <c r="EM14" s="61"/>
      <c r="EN14" s="61"/>
      <c r="EO14" s="61"/>
      <c r="EP14" s="61"/>
      <c r="EQ14" s="61"/>
      <c r="ER14" s="61"/>
      <c r="ES14" s="61"/>
      <c r="ET14" s="61"/>
      <c r="EU14" s="61"/>
      <c r="EV14" s="61"/>
      <c r="EW14" s="61"/>
      <c r="EX14" s="61"/>
      <c r="EY14" s="61"/>
      <c r="EZ14" s="61"/>
      <c r="FA14" s="61"/>
      <c r="FB14" s="61"/>
      <c r="FC14" s="61"/>
      <c r="FD14" s="61"/>
      <c r="FE14" s="61"/>
      <c r="FF14" s="61"/>
      <c r="FG14" s="61"/>
      <c r="FH14" s="61"/>
      <c r="FI14" s="61"/>
      <c r="FJ14" s="61"/>
      <c r="FK14" s="61"/>
      <c r="FL14" s="61"/>
      <c r="FM14" s="61"/>
      <c r="FN14" s="61"/>
      <c r="FO14" s="61"/>
      <c r="FP14" s="61"/>
      <c r="FQ14" s="61"/>
      <c r="FR14" s="61"/>
      <c r="FS14" s="61"/>
      <c r="FT14" s="61"/>
      <c r="FU14" s="61"/>
      <c r="FV14" s="61"/>
      <c r="FW14" s="61"/>
      <c r="FX14" s="61"/>
      <c r="FY14" s="61"/>
      <c r="FZ14" s="61"/>
      <c r="GA14" s="61"/>
      <c r="GB14" s="61"/>
      <c r="GC14" s="61"/>
      <c r="GD14" s="61"/>
      <c r="GE14" s="61"/>
      <c r="GF14" s="61"/>
      <c r="GG14" s="61"/>
      <c r="GH14" s="61"/>
      <c r="GI14" s="61"/>
      <c r="GJ14" s="61"/>
      <c r="GK14" s="61"/>
      <c r="GL14" s="61"/>
      <c r="GM14" s="61"/>
      <c r="GN14" s="61"/>
      <c r="GO14" s="61"/>
      <c r="GP14" s="61"/>
      <c r="GQ14" s="61"/>
      <c r="GR14" s="61"/>
      <c r="GS14" s="61"/>
      <c r="GT14" s="61"/>
      <c r="GU14" s="61"/>
      <c r="GV14" s="61"/>
      <c r="GW14" s="61"/>
      <c r="GX14" s="61"/>
      <c r="GY14" s="61"/>
      <c r="GZ14" s="61"/>
      <c r="HA14" s="61"/>
      <c r="HB14" s="61"/>
      <c r="HC14" s="61"/>
      <c r="HD14" s="61"/>
      <c r="HE14" s="61"/>
      <c r="HF14" s="61"/>
      <c r="HG14" s="61"/>
      <c r="HH14" s="61"/>
      <c r="HI14" s="61"/>
      <c r="HJ14" s="61"/>
      <c r="HK14" s="61"/>
      <c r="HL14" s="61"/>
      <c r="HM14" s="61"/>
      <c r="HN14" s="61"/>
      <c r="HO14" s="61"/>
      <c r="HP14" s="61"/>
      <c r="HQ14" s="61"/>
      <c r="HR14" s="61"/>
      <c r="HS14" s="61"/>
      <c r="HT14" s="61"/>
      <c r="HU14" s="61"/>
      <c r="HV14" s="61"/>
      <c r="HW14" s="61"/>
      <c r="HX14" s="61"/>
      <c r="HY14" s="61"/>
      <c r="HZ14" s="61"/>
      <c r="IA14" s="61"/>
      <c r="IB14" s="61"/>
      <c r="IC14" s="61"/>
      <c r="ID14" s="61"/>
      <c r="IE14" s="61"/>
      <c r="IF14" s="61"/>
      <c r="IG14" s="61"/>
      <c r="IH14" s="61"/>
      <c r="II14" s="61"/>
      <c r="IJ14" s="61"/>
      <c r="IK14" s="61"/>
      <c r="IL14" s="61"/>
      <c r="IM14" s="61"/>
      <c r="IN14" s="61"/>
      <c r="IO14" s="61"/>
      <c r="IP14" s="61"/>
      <c r="IQ14" s="61"/>
      <c r="IR14" s="61"/>
      <c r="IS14" s="61"/>
      <c r="IT14" s="61"/>
      <c r="IU14" s="61"/>
    </row>
    <row r="15" spans="1:255" ht="24" x14ac:dyDescent="0.15">
      <c r="A15" s="7" t="s">
        <v>177</v>
      </c>
      <c r="B15" s="29">
        <v>43708</v>
      </c>
      <c r="C15" s="12" t="s">
        <v>178</v>
      </c>
      <c r="D15" s="12" t="s">
        <v>179</v>
      </c>
      <c r="E15" s="29">
        <v>44804</v>
      </c>
      <c r="F15" s="29">
        <v>45169</v>
      </c>
      <c r="G15" s="29">
        <v>45443</v>
      </c>
    </row>
    <row r="16" spans="1:255" ht="12" x14ac:dyDescent="0.15">
      <c r="A16" s="8" t="s">
        <v>23</v>
      </c>
      <c r="B16" s="13" t="s">
        <v>24</v>
      </c>
      <c r="C16" s="13" t="s">
        <v>24</v>
      </c>
      <c r="D16" s="13" t="s">
        <v>24</v>
      </c>
      <c r="E16" s="13" t="s">
        <v>24</v>
      </c>
      <c r="F16" s="13" t="s">
        <v>24</v>
      </c>
      <c r="G16" s="13" t="s">
        <v>24</v>
      </c>
    </row>
    <row r="17" spans="1:7" x14ac:dyDescent="0.15">
      <c r="A17" s="9" t="s">
        <v>180</v>
      </c>
      <c r="B17" s="4"/>
      <c r="C17" s="4"/>
      <c r="D17" s="4"/>
      <c r="E17" s="4"/>
      <c r="F17" s="4"/>
      <c r="G17" s="4"/>
    </row>
    <row r="18" spans="1:7" x14ac:dyDescent="0.15">
      <c r="A18" s="4" t="s">
        <v>181</v>
      </c>
      <c r="B18" s="17">
        <v>71.253</v>
      </c>
      <c r="C18" s="17">
        <v>59.567</v>
      </c>
      <c r="D18" s="17">
        <v>26.556000000000001</v>
      </c>
      <c r="E18" s="17">
        <v>24.61</v>
      </c>
      <c r="F18" s="17">
        <v>31.071000000000002</v>
      </c>
      <c r="G18" s="17">
        <v>26.306999999999999</v>
      </c>
    </row>
    <row r="19" spans="1:7" x14ac:dyDescent="0.15">
      <c r="A19" s="9" t="s">
        <v>182</v>
      </c>
      <c r="B19" s="25">
        <v>71.253</v>
      </c>
      <c r="C19" s="25">
        <v>59.567</v>
      </c>
      <c r="D19" s="25">
        <v>26.556000000000001</v>
      </c>
      <c r="E19" s="25">
        <v>24.61</v>
      </c>
      <c r="F19" s="25">
        <v>31.071000000000002</v>
      </c>
      <c r="G19" s="25">
        <v>26.306999999999999</v>
      </c>
    </row>
    <row r="20" spans="1:7" x14ac:dyDescent="0.15">
      <c r="A20" s="4"/>
      <c r="B20" s="4"/>
      <c r="C20" s="4"/>
      <c r="D20" s="4"/>
      <c r="E20" s="4"/>
      <c r="F20" s="4"/>
      <c r="G20" s="4"/>
    </row>
    <row r="21" spans="1:7" x14ac:dyDescent="0.15">
      <c r="A21" s="4" t="s">
        <v>183</v>
      </c>
      <c r="B21" s="17">
        <v>51.201000000000001</v>
      </c>
      <c r="C21" s="17">
        <v>16.521999999999998</v>
      </c>
      <c r="D21" s="17">
        <v>30.576000000000001</v>
      </c>
      <c r="E21" s="17">
        <v>37.83</v>
      </c>
      <c r="F21" s="17">
        <v>38.798000000000002</v>
      </c>
      <c r="G21" s="17">
        <v>46.954000000000001</v>
      </c>
    </row>
    <row r="22" spans="1:7" x14ac:dyDescent="0.15">
      <c r="A22" s="4" t="s">
        <v>184</v>
      </c>
      <c r="B22" s="17">
        <v>132.571</v>
      </c>
      <c r="C22" s="17">
        <v>158.62100000000001</v>
      </c>
      <c r="D22" s="17">
        <v>152.69900000000001</v>
      </c>
      <c r="E22" s="17">
        <v>186.06399999999999</v>
      </c>
      <c r="F22" s="17">
        <v>235.99</v>
      </c>
      <c r="G22" s="17">
        <v>108.72199999999999</v>
      </c>
    </row>
    <row r="23" spans="1:7" ht="12" x14ac:dyDescent="0.15">
      <c r="A23" s="4" t="s">
        <v>185</v>
      </c>
      <c r="B23" s="17">
        <v>61.585000000000001</v>
      </c>
      <c r="C23" s="17">
        <v>78.594999999999999</v>
      </c>
      <c r="D23" s="17">
        <v>12.441000000000001</v>
      </c>
      <c r="E23" s="17">
        <v>1.2649999999999999</v>
      </c>
      <c r="F23" s="17">
        <v>66.77</v>
      </c>
      <c r="G23" s="17" t="s">
        <v>28</v>
      </c>
    </row>
    <row r="24" spans="1:7" x14ac:dyDescent="0.15">
      <c r="A24" s="9" t="s">
        <v>186</v>
      </c>
      <c r="B24" s="25">
        <v>245.357</v>
      </c>
      <c r="C24" s="25">
        <v>253.738</v>
      </c>
      <c r="D24" s="25">
        <v>195.71600000000001</v>
      </c>
      <c r="E24" s="25">
        <v>225.15899999999999</v>
      </c>
      <c r="F24" s="25">
        <v>341.55799999999999</v>
      </c>
      <c r="G24" s="25">
        <v>155.67599999999999</v>
      </c>
    </row>
    <row r="25" spans="1:7" x14ac:dyDescent="0.15">
      <c r="A25" s="4"/>
      <c r="B25" s="4"/>
      <c r="C25" s="4"/>
      <c r="D25" s="4"/>
      <c r="E25" s="4"/>
      <c r="F25" s="4"/>
      <c r="G25" s="4"/>
    </row>
    <row r="26" spans="1:7" x14ac:dyDescent="0.15">
      <c r="A26" s="4" t="s">
        <v>187</v>
      </c>
      <c r="B26" s="17">
        <v>164.17599999999999</v>
      </c>
      <c r="C26" s="17">
        <v>229.995</v>
      </c>
      <c r="D26" s="17">
        <v>198.67400000000001</v>
      </c>
      <c r="E26" s="17">
        <v>295.904</v>
      </c>
      <c r="F26" s="17">
        <v>390.98599999999999</v>
      </c>
      <c r="G26" s="17">
        <v>387.416</v>
      </c>
    </row>
    <row r="27" spans="1:7" x14ac:dyDescent="0.15">
      <c r="A27" s="4" t="s">
        <v>188</v>
      </c>
      <c r="B27" s="17">
        <v>67.248999999999995</v>
      </c>
      <c r="C27" s="17">
        <v>49.076000000000001</v>
      </c>
      <c r="D27" s="17">
        <v>72.605000000000004</v>
      </c>
      <c r="E27" s="17">
        <v>67.676000000000002</v>
      </c>
      <c r="F27" s="17">
        <v>68.787999999999997</v>
      </c>
      <c r="G27" s="17">
        <v>149.45699999999999</v>
      </c>
    </row>
    <row r="28" spans="1:7" ht="12" x14ac:dyDescent="0.15">
      <c r="A28" s="4" t="s">
        <v>189</v>
      </c>
      <c r="B28" s="17">
        <v>2.6970000000000001</v>
      </c>
      <c r="C28" s="17" t="s">
        <v>28</v>
      </c>
      <c r="D28" s="17">
        <v>308.03399999999999</v>
      </c>
      <c r="E28" s="17">
        <v>1E-3</v>
      </c>
      <c r="F28" s="17">
        <v>1E-3</v>
      </c>
      <c r="G28" s="17" t="s">
        <v>28</v>
      </c>
    </row>
    <row r="29" spans="1:7" x14ac:dyDescent="0.15">
      <c r="A29" s="9" t="s">
        <v>190</v>
      </c>
      <c r="B29" s="25">
        <v>550.73199999999997</v>
      </c>
      <c r="C29" s="25">
        <v>592.37599999999998</v>
      </c>
      <c r="D29" s="25">
        <v>801.58500000000004</v>
      </c>
      <c r="E29" s="25">
        <v>613.35</v>
      </c>
      <c r="F29" s="25">
        <v>832.404</v>
      </c>
      <c r="G29" s="25">
        <v>718.85599999999999</v>
      </c>
    </row>
    <row r="30" spans="1:7" x14ac:dyDescent="0.15">
      <c r="A30" s="4"/>
      <c r="B30" s="4"/>
      <c r="C30" s="4"/>
      <c r="D30" s="4"/>
      <c r="E30" s="4"/>
      <c r="F30" s="4"/>
      <c r="G30" s="4"/>
    </row>
    <row r="31" spans="1:7" ht="12" x14ac:dyDescent="0.15">
      <c r="A31" s="4" t="s">
        <v>191</v>
      </c>
      <c r="B31" s="17">
        <v>7412.0079999999998</v>
      </c>
      <c r="C31" s="17">
        <v>8398.1749999999993</v>
      </c>
      <c r="D31" s="17">
        <v>8553.3209999999999</v>
      </c>
      <c r="E31" s="17">
        <v>9998.616</v>
      </c>
      <c r="F31" s="17">
        <v>10928.931</v>
      </c>
      <c r="G31" s="17" t="s">
        <v>28</v>
      </c>
    </row>
    <row r="32" spans="1:7" ht="12" x14ac:dyDescent="0.15">
      <c r="A32" s="4" t="s">
        <v>192</v>
      </c>
      <c r="B32" s="17">
        <v>-3764.8</v>
      </c>
      <c r="C32" s="17">
        <v>-3798.8</v>
      </c>
      <c r="D32" s="17">
        <v>-3528.3</v>
      </c>
      <c r="E32" s="17">
        <v>-3831.2</v>
      </c>
      <c r="F32" s="17">
        <v>-4202</v>
      </c>
      <c r="G32" s="17" t="s">
        <v>28</v>
      </c>
    </row>
    <row r="33" spans="1:7" x14ac:dyDescent="0.15">
      <c r="A33" s="9" t="s">
        <v>193</v>
      </c>
      <c r="B33" s="25">
        <v>3647.2579999999998</v>
      </c>
      <c r="C33" s="25">
        <v>4599.357</v>
      </c>
      <c r="D33" s="25">
        <v>5025.058</v>
      </c>
      <c r="E33" s="25">
        <v>6167.4449999999997</v>
      </c>
      <c r="F33" s="25">
        <v>6726.9059999999999</v>
      </c>
      <c r="G33" s="25">
        <v>6909.7860000000001</v>
      </c>
    </row>
    <row r="34" spans="1:7" x14ac:dyDescent="0.15">
      <c r="A34" s="4"/>
      <c r="B34" s="4"/>
      <c r="C34" s="4"/>
      <c r="D34" s="4"/>
      <c r="E34" s="4"/>
      <c r="F34" s="4"/>
      <c r="G34" s="4"/>
    </row>
    <row r="35" spans="1:7" x14ac:dyDescent="0.15">
      <c r="A35" s="4" t="s">
        <v>194</v>
      </c>
      <c r="B35" s="17">
        <v>430.04</v>
      </c>
      <c r="C35" s="17">
        <v>429.61900000000003</v>
      </c>
      <c r="D35" s="17">
        <v>796.35299999999995</v>
      </c>
      <c r="E35" s="17">
        <v>944.505</v>
      </c>
      <c r="F35" s="17">
        <v>949.15200000000004</v>
      </c>
      <c r="G35" s="17">
        <v>918.08699999999999</v>
      </c>
    </row>
    <row r="36" spans="1:7" ht="12" x14ac:dyDescent="0.15">
      <c r="A36" s="4" t="s">
        <v>195</v>
      </c>
      <c r="B36" s="17">
        <v>96.150999999999996</v>
      </c>
      <c r="C36" s="17">
        <v>89.941999999999993</v>
      </c>
      <c r="D36" s="17">
        <v>88.319000000000003</v>
      </c>
      <c r="E36" s="17">
        <v>102.032</v>
      </c>
      <c r="F36" s="17">
        <v>97.474999999999994</v>
      </c>
      <c r="G36" s="17" t="s">
        <v>28</v>
      </c>
    </row>
    <row r="37" spans="1:7" x14ac:dyDescent="0.15">
      <c r="A37" s="4" t="s">
        <v>196</v>
      </c>
      <c r="B37" s="17">
        <v>95.802000000000007</v>
      </c>
      <c r="C37" s="17">
        <v>91.667000000000002</v>
      </c>
      <c r="D37" s="17">
        <v>89.793000000000006</v>
      </c>
      <c r="E37" s="17">
        <v>95.637</v>
      </c>
      <c r="F37" s="17">
        <v>115.82</v>
      </c>
      <c r="G37" s="17">
        <v>239.80199999999999</v>
      </c>
    </row>
    <row r="38" spans="1:7" ht="12" x14ac:dyDescent="0.15">
      <c r="A38" s="4" t="s">
        <v>197</v>
      </c>
      <c r="B38" s="17">
        <v>35.667999999999999</v>
      </c>
      <c r="C38" s="17">
        <v>36.804000000000002</v>
      </c>
      <c r="D38" s="17">
        <v>36.67</v>
      </c>
      <c r="E38" s="17">
        <v>38.956000000000003</v>
      </c>
      <c r="F38" s="17">
        <v>38.566000000000003</v>
      </c>
      <c r="G38" s="17" t="s">
        <v>28</v>
      </c>
    </row>
    <row r="39" spans="1:7" x14ac:dyDescent="0.15">
      <c r="A39" s="4" t="s">
        <v>198</v>
      </c>
      <c r="B39" s="17">
        <v>210.126</v>
      </c>
      <c r="C39" s="17">
        <v>183.48599999999999</v>
      </c>
      <c r="D39" s="17">
        <v>36.22</v>
      </c>
      <c r="E39" s="17">
        <v>11.599</v>
      </c>
      <c r="F39" s="17">
        <v>0.66900000000000004</v>
      </c>
      <c r="G39" s="17">
        <v>40.314</v>
      </c>
    </row>
    <row r="40" spans="1:7" x14ac:dyDescent="0.15">
      <c r="A40" s="9" t="s">
        <v>199</v>
      </c>
      <c r="B40" s="26">
        <v>5065.777</v>
      </c>
      <c r="C40" s="26">
        <v>6023.2510000000002</v>
      </c>
      <c r="D40" s="26">
        <v>6873.9979999999996</v>
      </c>
      <c r="E40" s="26">
        <v>7973.5240000000003</v>
      </c>
      <c r="F40" s="26">
        <v>8760.9920000000002</v>
      </c>
      <c r="G40" s="26">
        <v>8826.8449999999993</v>
      </c>
    </row>
    <row r="41" spans="1:7" x14ac:dyDescent="0.15">
      <c r="A41" s="4"/>
      <c r="B41" s="4"/>
      <c r="C41" s="4"/>
      <c r="D41" s="4"/>
      <c r="E41" s="4"/>
      <c r="F41" s="4"/>
      <c r="G41" s="4"/>
    </row>
    <row r="42" spans="1:7" x14ac:dyDescent="0.15">
      <c r="A42" s="9" t="s">
        <v>200</v>
      </c>
      <c r="B42" s="4"/>
      <c r="C42" s="4"/>
      <c r="D42" s="4"/>
      <c r="E42" s="4"/>
      <c r="F42" s="4"/>
      <c r="G42" s="4"/>
    </row>
    <row r="43" spans="1:7" x14ac:dyDescent="0.15">
      <c r="A43" s="4" t="s">
        <v>201</v>
      </c>
      <c r="B43" s="17">
        <v>118.583</v>
      </c>
      <c r="C43" s="17">
        <v>147.24</v>
      </c>
      <c r="D43" s="17">
        <v>154.35400000000001</v>
      </c>
      <c r="E43" s="17">
        <v>223.15899999999999</v>
      </c>
      <c r="F43" s="17">
        <v>188.041</v>
      </c>
      <c r="G43" s="17">
        <v>121.812</v>
      </c>
    </row>
    <row r="44" spans="1:7" x14ac:dyDescent="0.15">
      <c r="A44" s="4" t="s">
        <v>202</v>
      </c>
      <c r="B44" s="17">
        <v>86.028000000000006</v>
      </c>
      <c r="C44" s="17">
        <v>79.033000000000001</v>
      </c>
      <c r="D44" s="17">
        <v>84.376000000000005</v>
      </c>
      <c r="E44" s="17">
        <v>107.38500000000001</v>
      </c>
      <c r="F44" s="17">
        <v>114.614</v>
      </c>
      <c r="G44" s="17">
        <v>253.55199999999999</v>
      </c>
    </row>
    <row r="45" spans="1:7" x14ac:dyDescent="0.15">
      <c r="A45" s="4" t="s">
        <v>203</v>
      </c>
      <c r="B45" s="17">
        <v>157.85599999999999</v>
      </c>
      <c r="C45" s="17">
        <v>473.12099999999998</v>
      </c>
      <c r="D45" s="17">
        <v>563.66999999999996</v>
      </c>
      <c r="E45" s="17">
        <v>316.64699999999999</v>
      </c>
      <c r="F45" s="17">
        <v>1117.433</v>
      </c>
      <c r="G45" s="17">
        <v>782.61199999999997</v>
      </c>
    </row>
    <row r="46" spans="1:7" ht="12" x14ac:dyDescent="0.15">
      <c r="A46" s="4" t="s">
        <v>204</v>
      </c>
      <c r="B46" s="17" t="s">
        <v>28</v>
      </c>
      <c r="C46" s="17">
        <v>78.218000000000004</v>
      </c>
      <c r="D46" s="17">
        <v>93.293999999999997</v>
      </c>
      <c r="E46" s="17">
        <v>124.745</v>
      </c>
      <c r="F46" s="17">
        <v>173.90299999999999</v>
      </c>
      <c r="G46" s="17">
        <v>191.47</v>
      </c>
    </row>
    <row r="47" spans="1:7" x14ac:dyDescent="0.15">
      <c r="A47" s="4" t="s">
        <v>205</v>
      </c>
      <c r="B47" s="17">
        <v>88.123999999999995</v>
      </c>
      <c r="C47" s="17">
        <v>72.716999999999999</v>
      </c>
      <c r="D47" s="17">
        <v>63.825000000000003</v>
      </c>
      <c r="E47" s="17">
        <v>132.53200000000001</v>
      </c>
      <c r="F47" s="17">
        <v>119.33</v>
      </c>
      <c r="G47" s="17">
        <v>117.97799999999999</v>
      </c>
    </row>
    <row r="48" spans="1:7" x14ac:dyDescent="0.15">
      <c r="A48" s="4" t="s">
        <v>206</v>
      </c>
      <c r="B48" s="17">
        <v>185.90100000000001</v>
      </c>
      <c r="C48" s="17">
        <v>263.14600000000002</v>
      </c>
      <c r="D48" s="17">
        <v>464.81</v>
      </c>
      <c r="E48" s="17">
        <v>329.58100000000002</v>
      </c>
      <c r="F48" s="17">
        <v>339.64499999999998</v>
      </c>
      <c r="G48" s="17">
        <v>255.399</v>
      </c>
    </row>
    <row r="49" spans="1:7" x14ac:dyDescent="0.15">
      <c r="A49" s="9" t="s">
        <v>207</v>
      </c>
      <c r="B49" s="25">
        <v>636.49199999999996</v>
      </c>
      <c r="C49" s="25">
        <v>1113.4749999999999</v>
      </c>
      <c r="D49" s="25">
        <v>1424.329</v>
      </c>
      <c r="E49" s="25">
        <v>1234.049</v>
      </c>
      <c r="F49" s="25">
        <v>2052.9659999999999</v>
      </c>
      <c r="G49" s="25">
        <v>1722.8230000000001</v>
      </c>
    </row>
    <row r="50" spans="1:7" x14ac:dyDescent="0.15">
      <c r="A50" s="4"/>
      <c r="B50" s="4"/>
      <c r="C50" s="4"/>
      <c r="D50" s="4"/>
      <c r="E50" s="4"/>
      <c r="F50" s="4"/>
      <c r="G50" s="4"/>
    </row>
    <row r="51" spans="1:7" x14ac:dyDescent="0.15">
      <c r="A51" s="4" t="s">
        <v>208</v>
      </c>
      <c r="B51" s="17">
        <v>1619.1990000000001</v>
      </c>
      <c r="C51" s="17">
        <v>1518.4770000000001</v>
      </c>
      <c r="D51" s="17">
        <v>1162.5060000000001</v>
      </c>
      <c r="E51" s="17">
        <v>1300.825</v>
      </c>
      <c r="F51" s="17">
        <v>1120.3779999999999</v>
      </c>
      <c r="G51" s="17">
        <v>911.33900000000006</v>
      </c>
    </row>
    <row r="52" spans="1:7" ht="12" x14ac:dyDescent="0.15">
      <c r="A52" s="4" t="s">
        <v>209</v>
      </c>
      <c r="B52" s="17" t="s">
        <v>28</v>
      </c>
      <c r="C52" s="17">
        <v>619.851</v>
      </c>
      <c r="D52" s="17">
        <v>1372.01</v>
      </c>
      <c r="E52" s="17">
        <v>1865.7429999999999</v>
      </c>
      <c r="F52" s="17">
        <v>1890.2809999999999</v>
      </c>
      <c r="G52" s="17">
        <v>1956.413</v>
      </c>
    </row>
    <row r="53" spans="1:7" x14ac:dyDescent="0.15">
      <c r="A53" s="4" t="s">
        <v>210</v>
      </c>
      <c r="B53" s="17">
        <v>12.864000000000001</v>
      </c>
      <c r="C53" s="17">
        <v>15.183</v>
      </c>
      <c r="D53" s="17">
        <v>14.535</v>
      </c>
      <c r="E53" s="17">
        <v>17.335000000000001</v>
      </c>
      <c r="F53" s="17">
        <v>18.404</v>
      </c>
      <c r="G53" s="17">
        <v>18.908000000000001</v>
      </c>
    </row>
    <row r="54" spans="1:7" x14ac:dyDescent="0.15">
      <c r="A54" s="4" t="s">
        <v>211</v>
      </c>
      <c r="B54" s="17">
        <v>193.648</v>
      </c>
      <c r="C54" s="17">
        <v>186.364</v>
      </c>
      <c r="D54" s="17">
        <v>126.44799999999999</v>
      </c>
      <c r="E54" s="17">
        <v>196.26599999999999</v>
      </c>
      <c r="F54" s="17">
        <v>195.02799999999999</v>
      </c>
      <c r="G54" s="17">
        <v>217.32599999999999</v>
      </c>
    </row>
    <row r="55" spans="1:7" ht="12" x14ac:dyDescent="0.15">
      <c r="A55" s="4" t="s">
        <v>212</v>
      </c>
      <c r="B55" s="17">
        <v>1.51</v>
      </c>
      <c r="C55" s="17">
        <v>9.3759999999999994</v>
      </c>
      <c r="D55" s="17">
        <v>0.14499999999999999</v>
      </c>
      <c r="E55" s="17">
        <v>1E-3</v>
      </c>
      <c r="F55" s="17">
        <v>0</v>
      </c>
      <c r="G55" s="17" t="s">
        <v>28</v>
      </c>
    </row>
    <row r="56" spans="1:7" x14ac:dyDescent="0.15">
      <c r="A56" s="9" t="s">
        <v>213</v>
      </c>
      <c r="B56" s="25">
        <v>2463.7130000000002</v>
      </c>
      <c r="C56" s="25">
        <v>3462.7260000000001</v>
      </c>
      <c r="D56" s="25">
        <v>4099.973</v>
      </c>
      <c r="E56" s="25">
        <v>4614.2190000000001</v>
      </c>
      <c r="F56" s="25">
        <v>5277.0559999999996</v>
      </c>
      <c r="G56" s="25">
        <v>4826.8090000000002</v>
      </c>
    </row>
    <row r="57" spans="1:7" x14ac:dyDescent="0.15">
      <c r="A57" s="4"/>
      <c r="B57" s="4"/>
      <c r="C57" s="4"/>
      <c r="D57" s="4"/>
      <c r="E57" s="4"/>
      <c r="F57" s="4"/>
      <c r="G57" s="4"/>
    </row>
    <row r="58" spans="1:7" x14ac:dyDescent="0.15">
      <c r="A58" s="4" t="s">
        <v>214</v>
      </c>
      <c r="B58" s="17">
        <v>19.594000000000001</v>
      </c>
      <c r="C58" s="17">
        <v>19.594000000000001</v>
      </c>
      <c r="D58" s="17">
        <v>19.594000000000001</v>
      </c>
      <c r="E58" s="17">
        <v>19.594000000000001</v>
      </c>
      <c r="F58" s="17">
        <v>19.594000000000001</v>
      </c>
      <c r="G58" s="17">
        <v>19.594000000000001</v>
      </c>
    </row>
    <row r="59" spans="1:7" x14ac:dyDescent="0.15">
      <c r="A59" s="4" t="s">
        <v>215</v>
      </c>
      <c r="B59" s="17">
        <v>397.57299999999998</v>
      </c>
      <c r="C59" s="17">
        <v>397.57299999999998</v>
      </c>
      <c r="D59" s="17">
        <v>397.57299999999998</v>
      </c>
      <c r="E59" s="17">
        <v>397.57299999999998</v>
      </c>
      <c r="F59" s="17">
        <v>397.57299999999998</v>
      </c>
      <c r="G59" s="17">
        <v>397.57299999999998</v>
      </c>
    </row>
    <row r="60" spans="1:7" x14ac:dyDescent="0.15">
      <c r="A60" s="4" t="s">
        <v>216</v>
      </c>
      <c r="B60" s="17">
        <v>2150.7199999999998</v>
      </c>
      <c r="C60" s="17">
        <v>2167.4180000000001</v>
      </c>
      <c r="D60" s="17">
        <v>2405.5369999999998</v>
      </c>
      <c r="E60" s="17">
        <v>2968.0050000000001</v>
      </c>
      <c r="F60" s="17">
        <v>3135.2420000000002</v>
      </c>
      <c r="G60" s="17">
        <v>3673.915</v>
      </c>
    </row>
    <row r="61" spans="1:7" ht="12" x14ac:dyDescent="0.15">
      <c r="A61" s="4" t="s">
        <v>217</v>
      </c>
      <c r="B61" s="17" t="s">
        <v>28</v>
      </c>
      <c r="C61" s="17" t="s">
        <v>28</v>
      </c>
      <c r="D61" s="17" t="s">
        <v>28</v>
      </c>
      <c r="E61" s="17" t="s">
        <v>28</v>
      </c>
      <c r="F61" s="17" t="s">
        <v>28</v>
      </c>
      <c r="G61" s="17" t="s">
        <v>28</v>
      </c>
    </row>
    <row r="62" spans="1:7" x14ac:dyDescent="0.15">
      <c r="A62" s="4" t="s">
        <v>218</v>
      </c>
      <c r="B62" s="17">
        <v>-22.2</v>
      </c>
      <c r="C62" s="17">
        <v>-73.599999999999994</v>
      </c>
      <c r="D62" s="17">
        <v>-64.400000000000006</v>
      </c>
      <c r="E62" s="17">
        <v>-28</v>
      </c>
      <c r="F62" s="17">
        <v>-69.900000000000006</v>
      </c>
      <c r="G62" s="17">
        <v>-92.2</v>
      </c>
    </row>
    <row r="63" spans="1:7" x14ac:dyDescent="0.15">
      <c r="A63" s="9" t="s">
        <v>219</v>
      </c>
      <c r="B63" s="25">
        <v>2545.6439999999998</v>
      </c>
      <c r="C63" s="25">
        <v>2511.02</v>
      </c>
      <c r="D63" s="25">
        <v>2758.3049999999998</v>
      </c>
      <c r="E63" s="25">
        <v>3357.1770000000001</v>
      </c>
      <c r="F63" s="25">
        <v>3482.4969999999998</v>
      </c>
      <c r="G63" s="25">
        <v>3998.93</v>
      </c>
    </row>
    <row r="64" spans="1:7" x14ac:dyDescent="0.15">
      <c r="A64" s="4"/>
      <c r="B64" s="4"/>
      <c r="C64" s="4"/>
      <c r="D64" s="4"/>
      <c r="E64" s="4"/>
      <c r="F64" s="4"/>
      <c r="G64" s="4"/>
    </row>
    <row r="65" spans="1:7" x14ac:dyDescent="0.15">
      <c r="A65" s="4" t="s">
        <v>220</v>
      </c>
      <c r="B65" s="17">
        <v>56.42</v>
      </c>
      <c r="C65" s="17">
        <v>49.505000000000003</v>
      </c>
      <c r="D65" s="17">
        <v>15.72</v>
      </c>
      <c r="E65" s="17">
        <v>2.1280000000000001</v>
      </c>
      <c r="F65" s="17">
        <v>1.4390000000000001</v>
      </c>
      <c r="G65" s="17">
        <v>1.1060000000000001</v>
      </c>
    </row>
    <row r="66" spans="1:7" x14ac:dyDescent="0.15">
      <c r="A66" s="4"/>
      <c r="B66" s="4"/>
      <c r="C66" s="4"/>
      <c r="D66" s="4"/>
      <c r="E66" s="4"/>
      <c r="F66" s="4"/>
      <c r="G66" s="4"/>
    </row>
    <row r="67" spans="1:7" x14ac:dyDescent="0.15">
      <c r="A67" s="9" t="s">
        <v>221</v>
      </c>
      <c r="B67" s="30">
        <v>2602.0639999999999</v>
      </c>
      <c r="C67" s="30">
        <v>2560.5250000000001</v>
      </c>
      <c r="D67" s="30">
        <v>2774.0250000000001</v>
      </c>
      <c r="E67" s="30">
        <v>3359.3049999999998</v>
      </c>
      <c r="F67" s="30">
        <v>3483.9360000000001</v>
      </c>
      <c r="G67" s="30">
        <v>4000.0360000000001</v>
      </c>
    </row>
    <row r="68" spans="1:7" x14ac:dyDescent="0.15">
      <c r="A68" s="4"/>
      <c r="B68" s="4"/>
      <c r="C68" s="4"/>
      <c r="D68" s="4"/>
      <c r="E68" s="4"/>
      <c r="F68" s="4"/>
      <c r="G68" s="4"/>
    </row>
    <row r="69" spans="1:7" x14ac:dyDescent="0.15">
      <c r="A69" s="9" t="s">
        <v>222</v>
      </c>
      <c r="B69" s="31">
        <v>5065.777</v>
      </c>
      <c r="C69" s="31">
        <v>6023.2510000000002</v>
      </c>
      <c r="D69" s="31">
        <v>6873.9979999999996</v>
      </c>
      <c r="E69" s="31">
        <v>7973.5240000000003</v>
      </c>
      <c r="F69" s="31">
        <v>8760.9920000000002</v>
      </c>
      <c r="G69" s="31">
        <v>8826.8449999999993</v>
      </c>
    </row>
    <row r="70" spans="1:7" x14ac:dyDescent="0.15">
      <c r="A70" s="4"/>
      <c r="B70" s="4"/>
      <c r="C70" s="4"/>
      <c r="D70" s="4"/>
      <c r="E70" s="4"/>
      <c r="F70" s="4"/>
      <c r="G70" s="4"/>
    </row>
    <row r="71" spans="1:7" x14ac:dyDescent="0.15">
      <c r="A71" s="9" t="s">
        <v>142</v>
      </c>
      <c r="B71" s="4"/>
      <c r="C71" s="4"/>
      <c r="D71" s="4"/>
      <c r="E71" s="4"/>
      <c r="F71" s="4"/>
      <c r="G71" s="4"/>
    </row>
    <row r="72" spans="1:7" x14ac:dyDescent="0.15">
      <c r="A72" s="4" t="s">
        <v>223</v>
      </c>
      <c r="B72" s="17">
        <v>78.376056000000005</v>
      </c>
      <c r="C72" s="17">
        <v>78.376056000000005</v>
      </c>
      <c r="D72" s="17">
        <v>78.376056000000005</v>
      </c>
      <c r="E72" s="17">
        <v>78.376056000000005</v>
      </c>
      <c r="F72" s="17">
        <v>78.376056000000005</v>
      </c>
      <c r="G72" s="17">
        <v>78.376056000000005</v>
      </c>
    </row>
    <row r="73" spans="1:7" x14ac:dyDescent="0.15">
      <c r="A73" s="4" t="s">
        <v>224</v>
      </c>
      <c r="B73" s="17">
        <v>78.376056000000005</v>
      </c>
      <c r="C73" s="17">
        <v>78.376056000000005</v>
      </c>
      <c r="D73" s="17">
        <v>78.376056000000005</v>
      </c>
      <c r="E73" s="17">
        <v>78.376056000000005</v>
      </c>
      <c r="F73" s="17">
        <v>78.376056000000005</v>
      </c>
      <c r="G73" s="17">
        <v>78.376056000000005</v>
      </c>
    </row>
    <row r="74" spans="1:7" x14ac:dyDescent="0.15">
      <c r="A74" s="4" t="s">
        <v>225</v>
      </c>
      <c r="B74" s="19">
        <v>32.479868000000003</v>
      </c>
      <c r="C74" s="19">
        <v>32.038100999999997</v>
      </c>
      <c r="D74" s="19">
        <v>35.193210000000001</v>
      </c>
      <c r="E74" s="19">
        <v>42.834217000000002</v>
      </c>
      <c r="F74" s="19">
        <v>44.433174000000001</v>
      </c>
      <c r="G74" s="19">
        <v>51.022342000000002</v>
      </c>
    </row>
    <row r="75" spans="1:7" x14ac:dyDescent="0.15">
      <c r="A75" s="4" t="s">
        <v>226</v>
      </c>
      <c r="B75" s="17">
        <v>2353.6909999999998</v>
      </c>
      <c r="C75" s="17">
        <v>2329.4110000000001</v>
      </c>
      <c r="D75" s="17">
        <v>2580.1930000000002</v>
      </c>
      <c r="E75" s="17">
        <v>3159.5079999999998</v>
      </c>
      <c r="F75" s="17">
        <v>3269.2020000000002</v>
      </c>
      <c r="G75" s="17">
        <v>3759.1280000000002</v>
      </c>
    </row>
    <row r="76" spans="1:7" x14ac:dyDescent="0.15">
      <c r="A76" s="4" t="s">
        <v>227</v>
      </c>
      <c r="B76" s="19">
        <v>30.030740000000002</v>
      </c>
      <c r="C76" s="19">
        <v>29.720952</v>
      </c>
      <c r="D76" s="19">
        <v>32.920679</v>
      </c>
      <c r="E76" s="19">
        <v>40.312157999999997</v>
      </c>
      <c r="F76" s="19">
        <v>41.711744000000003</v>
      </c>
      <c r="G76" s="19">
        <v>47.962708999999997</v>
      </c>
    </row>
    <row r="77" spans="1:7" x14ac:dyDescent="0.15">
      <c r="A77" s="4" t="s">
        <v>228</v>
      </c>
      <c r="B77" s="17">
        <v>1777.0550000000001</v>
      </c>
      <c r="C77" s="17">
        <v>2689.6669999999999</v>
      </c>
      <c r="D77" s="17">
        <v>3191.48</v>
      </c>
      <c r="E77" s="17">
        <v>3607.96</v>
      </c>
      <c r="F77" s="17">
        <v>4301.9949999999999</v>
      </c>
      <c r="G77" s="17">
        <v>3841.8339999999998</v>
      </c>
    </row>
    <row r="78" spans="1:7" x14ac:dyDescent="0.15">
      <c r="A78" s="4" t="s">
        <v>229</v>
      </c>
      <c r="B78" s="17">
        <v>1705.8019999999999</v>
      </c>
      <c r="C78" s="17">
        <v>2630.1</v>
      </c>
      <c r="D78" s="17">
        <v>3164.924</v>
      </c>
      <c r="E78" s="17">
        <v>3583.35</v>
      </c>
      <c r="F78" s="17">
        <v>4270.924</v>
      </c>
      <c r="G78" s="17">
        <v>3815.527</v>
      </c>
    </row>
    <row r="79" spans="1:7" ht="12" x14ac:dyDescent="0.15">
      <c r="A79" s="4" t="s">
        <v>230</v>
      </c>
      <c r="B79" s="17">
        <v>-11</v>
      </c>
      <c r="C79" s="17">
        <v>-9.8000000000000007</v>
      </c>
      <c r="D79" s="17">
        <v>-11.9</v>
      </c>
      <c r="E79" s="17">
        <v>-13.9</v>
      </c>
      <c r="F79" s="17">
        <v>-14.8</v>
      </c>
      <c r="G79" s="17" t="s">
        <v>140</v>
      </c>
    </row>
    <row r="80" spans="1:7" ht="12" x14ac:dyDescent="0.15">
      <c r="A80" s="4" t="s">
        <v>231</v>
      </c>
      <c r="B80" s="17">
        <v>541.67200000000003</v>
      </c>
      <c r="C80" s="17">
        <v>439.12799999999999</v>
      </c>
      <c r="D80" s="17">
        <v>402.45600000000002</v>
      </c>
      <c r="E80" s="17">
        <v>445.27199999999999</v>
      </c>
      <c r="F80" s="17">
        <v>338.76</v>
      </c>
      <c r="G80" s="17" t="s">
        <v>140</v>
      </c>
    </row>
    <row r="81" spans="1:7" x14ac:dyDescent="0.15">
      <c r="A81" s="4" t="s">
        <v>232</v>
      </c>
      <c r="B81" s="17">
        <v>56.42</v>
      </c>
      <c r="C81" s="17">
        <v>49.505000000000003</v>
      </c>
      <c r="D81" s="17">
        <v>15.72</v>
      </c>
      <c r="E81" s="17">
        <v>2.1280000000000001</v>
      </c>
      <c r="F81" s="17">
        <v>1.4390000000000001</v>
      </c>
      <c r="G81" s="17">
        <v>1.1060000000000001</v>
      </c>
    </row>
    <row r="82" spans="1:7" x14ac:dyDescent="0.15">
      <c r="A82" s="4" t="s">
        <v>233</v>
      </c>
      <c r="B82" s="17">
        <v>393.166</v>
      </c>
      <c r="C82" s="17">
        <v>394.68400000000003</v>
      </c>
      <c r="D82" s="17">
        <v>762.56899999999996</v>
      </c>
      <c r="E82" s="17">
        <v>854.26300000000003</v>
      </c>
      <c r="F82" s="17">
        <v>847.58199999999999</v>
      </c>
      <c r="G82" s="17">
        <v>833.25800000000004</v>
      </c>
    </row>
    <row r="83" spans="1:7" ht="12" x14ac:dyDescent="0.15">
      <c r="A83" s="4" t="s">
        <v>234</v>
      </c>
      <c r="B83" s="16" t="s">
        <v>235</v>
      </c>
      <c r="C83" s="16" t="s">
        <v>235</v>
      </c>
      <c r="D83" s="16" t="s">
        <v>235</v>
      </c>
      <c r="E83" s="16" t="s">
        <v>235</v>
      </c>
      <c r="F83" s="16" t="s">
        <v>235</v>
      </c>
      <c r="G83" s="16" t="s">
        <v>140</v>
      </c>
    </row>
    <row r="84" spans="1:7" ht="12" x14ac:dyDescent="0.15">
      <c r="A84" s="4" t="s">
        <v>236</v>
      </c>
      <c r="B84" s="17">
        <v>164.17599999999999</v>
      </c>
      <c r="C84" s="17">
        <v>229.995</v>
      </c>
      <c r="D84" s="17">
        <v>121.114</v>
      </c>
      <c r="E84" s="17">
        <v>188.81</v>
      </c>
      <c r="F84" s="17">
        <v>302.50700000000001</v>
      </c>
      <c r="G84" s="17" t="s">
        <v>140</v>
      </c>
    </row>
    <row r="85" spans="1:7" ht="12" x14ac:dyDescent="0.15">
      <c r="A85" s="4" t="s">
        <v>237</v>
      </c>
      <c r="B85" s="17" t="s">
        <v>140</v>
      </c>
      <c r="C85" s="17" t="s">
        <v>140</v>
      </c>
      <c r="D85" s="17">
        <v>77.56</v>
      </c>
      <c r="E85" s="17">
        <v>107.09399999999999</v>
      </c>
      <c r="F85" s="17">
        <v>88.478999999999999</v>
      </c>
      <c r="G85" s="17" t="s">
        <v>140</v>
      </c>
    </row>
    <row r="86" spans="1:7" ht="12" x14ac:dyDescent="0.15">
      <c r="A86" s="4" t="s">
        <v>238</v>
      </c>
      <c r="B86" s="17">
        <v>219.16200000000001</v>
      </c>
      <c r="C86" s="17">
        <v>182.49299999999999</v>
      </c>
      <c r="D86" s="17">
        <v>183.08600000000001</v>
      </c>
      <c r="E86" s="17">
        <v>255.34</v>
      </c>
      <c r="F86" s="17">
        <v>275.35300000000001</v>
      </c>
      <c r="G86" s="17" t="s">
        <v>140</v>
      </c>
    </row>
    <row r="87" spans="1:7" ht="12" x14ac:dyDescent="0.15">
      <c r="A87" s="4" t="s">
        <v>239</v>
      </c>
      <c r="B87" s="17">
        <v>2533.752</v>
      </c>
      <c r="C87" s="17">
        <v>2605.6289999999999</v>
      </c>
      <c r="D87" s="17">
        <v>2886.9859999999999</v>
      </c>
      <c r="E87" s="17">
        <v>3209.0439999999999</v>
      </c>
      <c r="F87" s="17">
        <v>3342.3919999999998</v>
      </c>
      <c r="G87" s="17" t="s">
        <v>140</v>
      </c>
    </row>
    <row r="88" spans="1:7" ht="12" x14ac:dyDescent="0.15">
      <c r="A88" s="4" t="s">
        <v>240</v>
      </c>
      <c r="B88" s="17">
        <v>3955.0450000000001</v>
      </c>
      <c r="C88" s="17">
        <v>3936.2020000000002</v>
      </c>
      <c r="D88" s="17">
        <v>3394.1669999999999</v>
      </c>
      <c r="E88" s="17">
        <v>3551.806</v>
      </c>
      <c r="F88" s="17">
        <v>3848.913</v>
      </c>
      <c r="G88" s="17" t="s">
        <v>140</v>
      </c>
    </row>
    <row r="89" spans="1:7" ht="12" x14ac:dyDescent="0.15">
      <c r="A89" s="4" t="s">
        <v>241</v>
      </c>
      <c r="B89" s="17">
        <v>460.49700000000001</v>
      </c>
      <c r="C89" s="17">
        <v>622.48800000000006</v>
      </c>
      <c r="D89" s="17">
        <v>302.53199999999998</v>
      </c>
      <c r="E89" s="17">
        <v>564.13599999999997</v>
      </c>
      <c r="F89" s="17">
        <v>837.30100000000004</v>
      </c>
      <c r="G89" s="17" t="s">
        <v>28</v>
      </c>
    </row>
    <row r="90" spans="1:7" ht="12" x14ac:dyDescent="0.15">
      <c r="A90" s="4" t="s">
        <v>242</v>
      </c>
      <c r="B90" s="32">
        <v>473</v>
      </c>
      <c r="C90" s="32">
        <v>468</v>
      </c>
      <c r="D90" s="32">
        <v>1141</v>
      </c>
      <c r="E90" s="32">
        <v>699</v>
      </c>
      <c r="F90" s="32">
        <v>1402</v>
      </c>
      <c r="G90" s="32" t="s">
        <v>140</v>
      </c>
    </row>
    <row r="91" spans="1:7" ht="12" x14ac:dyDescent="0.15">
      <c r="A91" s="4" t="s">
        <v>243</v>
      </c>
      <c r="B91" s="17">
        <v>0.72899999999999998</v>
      </c>
      <c r="C91" s="17">
        <v>0.48499999999999999</v>
      </c>
      <c r="D91" s="17">
        <v>0.78700000000000003</v>
      </c>
      <c r="E91" s="17">
        <v>0.21099999999999999</v>
      </c>
      <c r="F91" s="17">
        <v>2.6150000000000002</v>
      </c>
      <c r="G91" s="17" t="s">
        <v>140</v>
      </c>
    </row>
    <row r="92" spans="1:7" x14ac:dyDescent="0.15">
      <c r="A92" s="4" t="s">
        <v>151</v>
      </c>
      <c r="B92" s="28">
        <v>44151</v>
      </c>
      <c r="C92" s="28">
        <v>44517</v>
      </c>
      <c r="D92" s="28">
        <v>44881</v>
      </c>
      <c r="E92" s="28">
        <v>45245</v>
      </c>
      <c r="F92" s="28">
        <v>45245</v>
      </c>
      <c r="G92" s="28">
        <v>45463</v>
      </c>
    </row>
    <row r="93" spans="1:7" ht="12" x14ac:dyDescent="0.15">
      <c r="A93" s="4" t="s">
        <v>152</v>
      </c>
      <c r="B93" s="16" t="s">
        <v>153</v>
      </c>
      <c r="C93" s="16" t="s">
        <v>244</v>
      </c>
      <c r="D93" s="16" t="s">
        <v>244</v>
      </c>
      <c r="E93" s="16" t="s">
        <v>153</v>
      </c>
      <c r="F93" s="16" t="s">
        <v>155</v>
      </c>
      <c r="G93" s="16" t="s">
        <v>155</v>
      </c>
    </row>
    <row r="94" spans="1:7" ht="12" x14ac:dyDescent="0.15">
      <c r="A94" s="4" t="s">
        <v>156</v>
      </c>
      <c r="B94" s="16" t="s">
        <v>157</v>
      </c>
      <c r="C94" s="16" t="s">
        <v>157</v>
      </c>
      <c r="D94" s="16" t="s">
        <v>157</v>
      </c>
      <c r="E94" s="16" t="s">
        <v>157</v>
      </c>
      <c r="F94" s="16" t="s">
        <v>157</v>
      </c>
      <c r="G94" s="16" t="s">
        <v>157</v>
      </c>
    </row>
    <row r="95" spans="1:7" x14ac:dyDescent="0.15">
      <c r="A95" s="4"/>
      <c r="B95" s="4"/>
      <c r="C95" s="4"/>
      <c r="D95" s="4"/>
      <c r="E95" s="4"/>
      <c r="F95" s="4"/>
      <c r="G95" s="4"/>
    </row>
    <row r="96" spans="1:7" x14ac:dyDescent="0.15">
      <c r="A96" s="11"/>
      <c r="B96" s="11"/>
      <c r="C96" s="11"/>
      <c r="D96" s="11"/>
      <c r="E96" s="11"/>
      <c r="F96" s="11"/>
      <c r="G96" s="11"/>
    </row>
    <row r="97" spans="1:1" x14ac:dyDescent="0.15">
      <c r="A97" t="s">
        <v>245</v>
      </c>
    </row>
    <row r="98" spans="1:1" x14ac:dyDescent="0.15">
      <c r="A98" s="22" t="s">
        <v>72</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CAE9F-03AD-914F-8D44-CDB3B8A93729}">
  <sheetPr>
    <outlinePr summaryBelow="0" summaryRight="0"/>
    <pageSetUpPr autoPageBreaks="0"/>
  </sheetPr>
  <dimension ref="A5:IU72"/>
  <sheetViews>
    <sheetView topLeftCell="A26" workbookViewId="0">
      <selection activeCell="A64" sqref="A64:G64"/>
    </sheetView>
  </sheetViews>
  <sheetFormatPr baseColWidth="10" defaultRowHeight="11" x14ac:dyDescent="0.15"/>
  <cols>
    <col min="1" max="1" width="45.83203125" customWidth="1"/>
    <col min="2" max="7" width="14.83203125" customWidth="1"/>
    <col min="8" max="256" width="8.83203125" customWidth="1"/>
  </cols>
  <sheetData>
    <row r="5" spans="1:255" ht="17" x14ac:dyDescent="0.2">
      <c r="A5" s="1" t="s">
        <v>246</v>
      </c>
    </row>
    <row r="7" spans="1:255" ht="12" x14ac:dyDescent="0.15">
      <c r="A7" s="2" t="s">
        <v>247</v>
      </c>
      <c r="B7" s="3" t="s">
        <v>248</v>
      </c>
      <c r="C7" t="s">
        <v>76</v>
      </c>
      <c r="D7" s="4" t="s">
        <v>4</v>
      </c>
      <c r="E7" s="3" t="s">
        <v>249</v>
      </c>
      <c r="F7" t="s">
        <v>78</v>
      </c>
    </row>
    <row r="8" spans="1:255" x14ac:dyDescent="0.15">
      <c r="A8" s="4"/>
      <c r="B8" s="3" t="s">
        <v>250</v>
      </c>
      <c r="C8" t="s">
        <v>80</v>
      </c>
      <c r="D8" s="4" t="s">
        <v>4</v>
      </c>
      <c r="E8" s="3" t="s">
        <v>251</v>
      </c>
      <c r="F8" t="s">
        <v>8</v>
      </c>
    </row>
    <row r="9" spans="1:255" x14ac:dyDescent="0.15">
      <c r="A9" s="4"/>
      <c r="B9" s="3" t="s">
        <v>252</v>
      </c>
      <c r="C9" t="s">
        <v>83</v>
      </c>
      <c r="D9" s="4" t="s">
        <v>4</v>
      </c>
      <c r="E9" s="3" t="s">
        <v>253</v>
      </c>
      <c r="F9" t="s">
        <v>6</v>
      </c>
    </row>
    <row r="10" spans="1:255" x14ac:dyDescent="0.15">
      <c r="A10" s="4"/>
      <c r="B10" s="3" t="s">
        <v>254</v>
      </c>
      <c r="C10" t="s">
        <v>10</v>
      </c>
      <c r="D10" s="4" t="s">
        <v>4</v>
      </c>
      <c r="E10" s="3" t="s">
        <v>255</v>
      </c>
      <c r="F10" s="5" t="s">
        <v>12</v>
      </c>
    </row>
    <row r="11" spans="1:255" x14ac:dyDescent="0.15">
      <c r="A11" s="4"/>
      <c r="B11" s="3" t="s">
        <v>256</v>
      </c>
      <c r="C11" t="s">
        <v>88</v>
      </c>
      <c r="D11" s="4" t="s">
        <v>4</v>
      </c>
      <c r="E11" s="23"/>
      <c r="F11" s="23"/>
    </row>
    <row r="14" spans="1:255" x14ac:dyDescent="0.15">
      <c r="A14" s="6" t="s">
        <v>257</v>
      </c>
      <c r="B14" s="6"/>
      <c r="C14" s="6"/>
      <c r="D14" s="6"/>
      <c r="E14" s="6"/>
      <c r="F14" s="6"/>
      <c r="G14" s="6"/>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1"/>
      <c r="CE14" s="61"/>
      <c r="CF14" s="61"/>
      <c r="CG14" s="61"/>
      <c r="CH14" s="61"/>
      <c r="CI14" s="61"/>
      <c r="CJ14" s="61"/>
      <c r="CK14" s="61"/>
      <c r="CL14" s="61"/>
      <c r="CM14" s="61"/>
      <c r="CN14" s="61"/>
      <c r="CO14" s="61"/>
      <c r="CP14" s="61"/>
      <c r="CQ14" s="61"/>
      <c r="CR14" s="61"/>
      <c r="CS14" s="61"/>
      <c r="CT14" s="61"/>
      <c r="CU14" s="61"/>
      <c r="CV14" s="61"/>
      <c r="CW14" s="61"/>
      <c r="CX14" s="61"/>
      <c r="CY14" s="61"/>
      <c r="CZ14" s="61"/>
      <c r="DA14" s="61"/>
      <c r="DB14" s="61"/>
      <c r="DC14" s="61"/>
      <c r="DD14" s="61"/>
      <c r="DE14" s="61"/>
      <c r="DF14" s="61"/>
      <c r="DG14" s="61"/>
      <c r="DH14" s="61"/>
      <c r="DI14" s="61"/>
      <c r="DJ14" s="61"/>
      <c r="DK14" s="61"/>
      <c r="DL14" s="61"/>
      <c r="DM14" s="61"/>
      <c r="DN14" s="61"/>
      <c r="DO14" s="61"/>
      <c r="DP14" s="61"/>
      <c r="DQ14" s="61"/>
      <c r="DR14" s="61"/>
      <c r="DS14" s="61"/>
      <c r="DT14" s="61"/>
      <c r="DU14" s="61"/>
      <c r="DV14" s="61"/>
      <c r="DW14" s="61"/>
      <c r="DX14" s="61"/>
      <c r="DY14" s="61"/>
      <c r="DZ14" s="61"/>
      <c r="EA14" s="61"/>
      <c r="EB14" s="61"/>
      <c r="EC14" s="61"/>
      <c r="ED14" s="61"/>
      <c r="EE14" s="61"/>
      <c r="EF14" s="61"/>
      <c r="EG14" s="61"/>
      <c r="EH14" s="61"/>
      <c r="EI14" s="61"/>
      <c r="EJ14" s="61"/>
      <c r="EK14" s="61"/>
      <c r="EL14" s="61"/>
      <c r="EM14" s="61"/>
      <c r="EN14" s="61"/>
      <c r="EO14" s="61"/>
      <c r="EP14" s="61"/>
      <c r="EQ14" s="61"/>
      <c r="ER14" s="61"/>
      <c r="ES14" s="61"/>
      <c r="ET14" s="61"/>
      <c r="EU14" s="61"/>
      <c r="EV14" s="61"/>
      <c r="EW14" s="61"/>
      <c r="EX14" s="61"/>
      <c r="EY14" s="61"/>
      <c r="EZ14" s="61"/>
      <c r="FA14" s="61"/>
      <c r="FB14" s="61"/>
      <c r="FC14" s="61"/>
      <c r="FD14" s="61"/>
      <c r="FE14" s="61"/>
      <c r="FF14" s="61"/>
      <c r="FG14" s="61"/>
      <c r="FH14" s="61"/>
      <c r="FI14" s="61"/>
      <c r="FJ14" s="61"/>
      <c r="FK14" s="61"/>
      <c r="FL14" s="61"/>
      <c r="FM14" s="61"/>
      <c r="FN14" s="61"/>
      <c r="FO14" s="61"/>
      <c r="FP14" s="61"/>
      <c r="FQ14" s="61"/>
      <c r="FR14" s="61"/>
      <c r="FS14" s="61"/>
      <c r="FT14" s="61"/>
      <c r="FU14" s="61"/>
      <c r="FV14" s="61"/>
      <c r="FW14" s="61"/>
      <c r="FX14" s="61"/>
      <c r="FY14" s="61"/>
      <c r="FZ14" s="61"/>
      <c r="GA14" s="61"/>
      <c r="GB14" s="61"/>
      <c r="GC14" s="61"/>
      <c r="GD14" s="61"/>
      <c r="GE14" s="61"/>
      <c r="GF14" s="61"/>
      <c r="GG14" s="61"/>
      <c r="GH14" s="61"/>
      <c r="GI14" s="61"/>
      <c r="GJ14" s="61"/>
      <c r="GK14" s="61"/>
      <c r="GL14" s="61"/>
      <c r="GM14" s="61"/>
      <c r="GN14" s="61"/>
      <c r="GO14" s="61"/>
      <c r="GP14" s="61"/>
      <c r="GQ14" s="61"/>
      <c r="GR14" s="61"/>
      <c r="GS14" s="61"/>
      <c r="GT14" s="61"/>
      <c r="GU14" s="61"/>
      <c r="GV14" s="61"/>
      <c r="GW14" s="61"/>
      <c r="GX14" s="61"/>
      <c r="GY14" s="61"/>
      <c r="GZ14" s="61"/>
      <c r="HA14" s="61"/>
      <c r="HB14" s="61"/>
      <c r="HC14" s="61"/>
      <c r="HD14" s="61"/>
      <c r="HE14" s="61"/>
      <c r="HF14" s="61"/>
      <c r="HG14" s="61"/>
      <c r="HH14" s="61"/>
      <c r="HI14" s="61"/>
      <c r="HJ14" s="61"/>
      <c r="HK14" s="61"/>
      <c r="HL14" s="61"/>
      <c r="HM14" s="61"/>
      <c r="HN14" s="61"/>
      <c r="HO14" s="61"/>
      <c r="HP14" s="61"/>
      <c r="HQ14" s="61"/>
      <c r="HR14" s="61"/>
      <c r="HS14" s="61"/>
      <c r="HT14" s="61"/>
      <c r="HU14" s="61"/>
      <c r="HV14" s="61"/>
      <c r="HW14" s="61"/>
      <c r="HX14" s="61"/>
      <c r="HY14" s="61"/>
      <c r="HZ14" s="61"/>
      <c r="IA14" s="61"/>
      <c r="IB14" s="61"/>
      <c r="IC14" s="61"/>
      <c r="ID14" s="61"/>
      <c r="IE14" s="61"/>
      <c r="IF14" s="61"/>
      <c r="IG14" s="61"/>
      <c r="IH14" s="61"/>
      <c r="II14" s="61"/>
      <c r="IJ14" s="61"/>
      <c r="IK14" s="61"/>
      <c r="IL14" s="61"/>
      <c r="IM14" s="61"/>
      <c r="IN14" s="61"/>
      <c r="IO14" s="61"/>
      <c r="IP14" s="61"/>
      <c r="IQ14" s="61"/>
      <c r="IR14" s="61"/>
      <c r="IS14" s="61"/>
      <c r="IT14" s="61"/>
      <c r="IU14" s="61"/>
    </row>
    <row r="15" spans="1:255" ht="36" x14ac:dyDescent="0.15">
      <c r="A15" s="7" t="s">
        <v>16</v>
      </c>
      <c r="B15" s="12" t="s">
        <v>90</v>
      </c>
      <c r="C15" s="12" t="s">
        <v>258</v>
      </c>
      <c r="D15" s="12" t="s">
        <v>259</v>
      </c>
      <c r="E15" s="12" t="s">
        <v>93</v>
      </c>
      <c r="F15" s="12" t="s">
        <v>94</v>
      </c>
      <c r="G15" s="12" t="s">
        <v>95</v>
      </c>
    </row>
    <row r="16" spans="1:255" ht="12" x14ac:dyDescent="0.15">
      <c r="A16" s="8" t="s">
        <v>23</v>
      </c>
      <c r="B16" s="13" t="s">
        <v>24</v>
      </c>
      <c r="C16" s="13" t="s">
        <v>24</v>
      </c>
      <c r="D16" s="13" t="s">
        <v>24</v>
      </c>
      <c r="E16" s="13" t="s">
        <v>24</v>
      </c>
      <c r="F16" s="13" t="s">
        <v>24</v>
      </c>
      <c r="G16" s="13" t="s">
        <v>24</v>
      </c>
    </row>
    <row r="17" spans="1:7" x14ac:dyDescent="0.15">
      <c r="A17" s="9" t="s">
        <v>34</v>
      </c>
      <c r="B17" s="4"/>
      <c r="C17" s="4"/>
      <c r="D17" s="4"/>
      <c r="E17" s="4"/>
      <c r="F17" s="4"/>
      <c r="G17" s="4"/>
    </row>
    <row r="18" spans="1:7" x14ac:dyDescent="0.15">
      <c r="A18" s="9" t="s">
        <v>33</v>
      </c>
      <c r="B18" s="14">
        <v>466.303</v>
      </c>
      <c r="C18" s="14">
        <v>291.01299999999998</v>
      </c>
      <c r="D18" s="14">
        <v>238.119</v>
      </c>
      <c r="E18" s="14">
        <v>666.52499999999998</v>
      </c>
      <c r="F18" s="14">
        <v>402.36599999999999</v>
      </c>
      <c r="G18" s="14">
        <v>539.61500000000001</v>
      </c>
    </row>
    <row r="19" spans="1:7" x14ac:dyDescent="0.15">
      <c r="A19" s="4" t="s">
        <v>103</v>
      </c>
      <c r="B19" s="17">
        <v>254.577</v>
      </c>
      <c r="C19" s="17">
        <v>357.346</v>
      </c>
      <c r="D19" s="17">
        <v>355.96</v>
      </c>
      <c r="E19" s="17">
        <v>395.23099999999999</v>
      </c>
      <c r="F19" s="17">
        <v>468.18400000000003</v>
      </c>
      <c r="G19" s="17">
        <v>516.62699999999995</v>
      </c>
    </row>
    <row r="20" spans="1:7" x14ac:dyDescent="0.15">
      <c r="A20" s="4" t="s">
        <v>260</v>
      </c>
      <c r="B20" s="17">
        <v>2.718</v>
      </c>
      <c r="C20" s="17">
        <v>3.3220000000000001</v>
      </c>
      <c r="D20" s="17">
        <v>3.6240000000000001</v>
      </c>
      <c r="E20" s="17">
        <v>3.5</v>
      </c>
      <c r="F20" s="17">
        <v>3.0630000000000002</v>
      </c>
      <c r="G20" s="17">
        <v>3.0630000000000002</v>
      </c>
    </row>
    <row r="21" spans="1:7" x14ac:dyDescent="0.15">
      <c r="A21" s="9" t="s">
        <v>261</v>
      </c>
      <c r="B21" s="25">
        <v>257.29500000000002</v>
      </c>
      <c r="C21" s="25">
        <v>360.66800000000001</v>
      </c>
      <c r="D21" s="25">
        <v>359.584</v>
      </c>
      <c r="E21" s="25">
        <v>398.73099999999999</v>
      </c>
      <c r="F21" s="25">
        <v>471.24700000000001</v>
      </c>
      <c r="G21" s="25">
        <v>519.69000000000005</v>
      </c>
    </row>
    <row r="22" spans="1:7" x14ac:dyDescent="0.15">
      <c r="A22" s="4"/>
      <c r="B22" s="4"/>
      <c r="C22" s="4"/>
      <c r="D22" s="4"/>
      <c r="E22" s="4"/>
      <c r="F22" s="4"/>
      <c r="G22" s="4"/>
    </row>
    <row r="23" spans="1:7" x14ac:dyDescent="0.15">
      <c r="A23" s="4" t="s">
        <v>262</v>
      </c>
      <c r="B23" s="17">
        <v>16.088999999999999</v>
      </c>
      <c r="C23" s="17">
        <v>12.592000000000001</v>
      </c>
      <c r="D23" s="17">
        <v>12.891999999999999</v>
      </c>
      <c r="E23" s="17">
        <v>14.419</v>
      </c>
      <c r="F23" s="17">
        <v>16.792999999999999</v>
      </c>
      <c r="G23" s="17">
        <v>16.792999999999999</v>
      </c>
    </row>
    <row r="24" spans="1:7" x14ac:dyDescent="0.15">
      <c r="A24" s="4" t="s">
        <v>263</v>
      </c>
      <c r="B24" s="17">
        <v>-1.6</v>
      </c>
      <c r="C24" s="17">
        <v>7.4740000000000002</v>
      </c>
      <c r="D24" s="17">
        <v>-174.2</v>
      </c>
      <c r="E24" s="17">
        <v>-53.9</v>
      </c>
      <c r="F24" s="17">
        <v>1.133</v>
      </c>
      <c r="G24" s="17">
        <v>1.133</v>
      </c>
    </row>
    <row r="25" spans="1:7" ht="12" x14ac:dyDescent="0.15">
      <c r="A25" s="4" t="s">
        <v>264</v>
      </c>
      <c r="B25" s="17" t="s">
        <v>28</v>
      </c>
      <c r="C25" s="17" t="s">
        <v>28</v>
      </c>
      <c r="D25" s="17">
        <v>150</v>
      </c>
      <c r="E25" s="17" t="s">
        <v>28</v>
      </c>
      <c r="F25" s="17" t="s">
        <v>28</v>
      </c>
      <c r="G25" s="17" t="s">
        <v>28</v>
      </c>
    </row>
    <row r="26" spans="1:7" x14ac:dyDescent="0.15">
      <c r="A26" s="4" t="s">
        <v>265</v>
      </c>
      <c r="B26" s="17">
        <v>-21.5</v>
      </c>
      <c r="C26" s="17">
        <v>-2.7</v>
      </c>
      <c r="D26" s="17">
        <v>-8.6</v>
      </c>
      <c r="E26" s="17">
        <v>-64.5</v>
      </c>
      <c r="F26" s="17">
        <v>-2.4</v>
      </c>
      <c r="G26" s="17">
        <v>-2.4</v>
      </c>
    </row>
    <row r="27" spans="1:7" x14ac:dyDescent="0.15">
      <c r="A27" s="4" t="s">
        <v>266</v>
      </c>
      <c r="B27" s="17">
        <v>8.1839999999999993</v>
      </c>
      <c r="C27" s="17">
        <v>2.355</v>
      </c>
      <c r="D27" s="17">
        <v>-88.3</v>
      </c>
      <c r="E27" s="17">
        <v>75.819999999999993</v>
      </c>
      <c r="F27" s="17">
        <v>-84.2</v>
      </c>
      <c r="G27" s="17">
        <v>-26.7</v>
      </c>
    </row>
    <row r="28" spans="1:7" x14ac:dyDescent="0.15">
      <c r="A28" s="4" t="s">
        <v>267</v>
      </c>
      <c r="B28" s="17">
        <v>78.891999999999996</v>
      </c>
      <c r="C28" s="17">
        <v>24.131</v>
      </c>
      <c r="D28" s="17">
        <v>146.97800000000001</v>
      </c>
      <c r="E28" s="17">
        <v>161.68199999999999</v>
      </c>
      <c r="F28" s="17">
        <v>-66.2</v>
      </c>
      <c r="G28" s="17">
        <v>-66.2</v>
      </c>
    </row>
    <row r="29" spans="1:7" x14ac:dyDescent="0.15">
      <c r="A29" s="4" t="s">
        <v>268</v>
      </c>
      <c r="B29" s="17">
        <v>1.8620000000000001</v>
      </c>
      <c r="C29" s="17">
        <v>-67.900000000000006</v>
      </c>
      <c r="D29" s="17">
        <v>28.8</v>
      </c>
      <c r="E29" s="17">
        <v>-93.8</v>
      </c>
      <c r="F29" s="17">
        <v>-111</v>
      </c>
      <c r="G29" s="17">
        <v>-111</v>
      </c>
    </row>
    <row r="30" spans="1:7" x14ac:dyDescent="0.15">
      <c r="A30" s="4" t="s">
        <v>269</v>
      </c>
      <c r="B30" s="17">
        <v>-83.2</v>
      </c>
      <c r="C30" s="17">
        <v>107.057</v>
      </c>
      <c r="D30" s="17">
        <v>33.244</v>
      </c>
      <c r="E30" s="17">
        <v>132.68100000000001</v>
      </c>
      <c r="F30" s="17">
        <v>41.69</v>
      </c>
      <c r="G30" s="17">
        <v>199.53399999999999</v>
      </c>
    </row>
    <row r="31" spans="1:7" x14ac:dyDescent="0.15">
      <c r="A31" s="9" t="s">
        <v>270</v>
      </c>
      <c r="B31" s="25">
        <v>722.35</v>
      </c>
      <c r="C31" s="25">
        <v>734.64599999999996</v>
      </c>
      <c r="D31" s="25">
        <v>698.50199999999995</v>
      </c>
      <c r="E31" s="25">
        <v>1237.5940000000001</v>
      </c>
      <c r="F31" s="25">
        <v>669.36400000000003</v>
      </c>
      <c r="G31" s="25">
        <v>1070.365</v>
      </c>
    </row>
    <row r="32" spans="1:7" x14ac:dyDescent="0.15">
      <c r="A32" s="4"/>
      <c r="B32" s="4"/>
      <c r="C32" s="4"/>
      <c r="D32" s="4"/>
      <c r="E32" s="4"/>
      <c r="F32" s="4"/>
      <c r="G32" s="4"/>
    </row>
    <row r="33" spans="1:7" x14ac:dyDescent="0.15">
      <c r="A33" s="4" t="s">
        <v>271</v>
      </c>
      <c r="B33" s="17">
        <v>-483.6</v>
      </c>
      <c r="C33" s="17">
        <v>-598.20000000000005</v>
      </c>
      <c r="D33" s="17">
        <v>-581.79999999999995</v>
      </c>
      <c r="E33" s="17">
        <v>-763.2</v>
      </c>
      <c r="F33" s="17">
        <v>-767.3</v>
      </c>
      <c r="G33" s="17">
        <v>-674.1</v>
      </c>
    </row>
    <row r="34" spans="1:7" x14ac:dyDescent="0.15">
      <c r="A34" s="4" t="s">
        <v>272</v>
      </c>
      <c r="B34" s="17">
        <v>4.556</v>
      </c>
      <c r="C34" s="17">
        <v>3.3319999999999999</v>
      </c>
      <c r="D34" s="17">
        <v>4.7169999999999996</v>
      </c>
      <c r="E34" s="17">
        <v>4.6390000000000002</v>
      </c>
      <c r="F34" s="17">
        <v>7.4180000000000001</v>
      </c>
      <c r="G34" s="17">
        <v>26.606999999999999</v>
      </c>
    </row>
    <row r="35" spans="1:7" x14ac:dyDescent="0.15">
      <c r="A35" s="4" t="s">
        <v>273</v>
      </c>
      <c r="B35" s="17">
        <v>-12.5</v>
      </c>
      <c r="C35" s="17">
        <v>-17.8</v>
      </c>
      <c r="D35" s="17">
        <v>-118.6</v>
      </c>
      <c r="E35" s="17">
        <v>-34.299999999999997</v>
      </c>
      <c r="F35" s="17">
        <v>-28.9</v>
      </c>
      <c r="G35" s="17">
        <v>-56.5</v>
      </c>
    </row>
    <row r="36" spans="1:7" ht="12" x14ac:dyDescent="0.15">
      <c r="A36" s="4" t="s">
        <v>274</v>
      </c>
      <c r="B36" s="17" t="s">
        <v>28</v>
      </c>
      <c r="C36" s="17" t="s">
        <v>28</v>
      </c>
      <c r="D36" s="17">
        <v>485.91</v>
      </c>
      <c r="E36" s="17">
        <v>45.9</v>
      </c>
      <c r="F36" s="17" t="s">
        <v>28</v>
      </c>
      <c r="G36" s="17">
        <v>92.734999999999999</v>
      </c>
    </row>
    <row r="37" spans="1:7" x14ac:dyDescent="0.15">
      <c r="A37" s="4" t="s">
        <v>275</v>
      </c>
      <c r="B37" s="17">
        <v>-16.600000000000001</v>
      </c>
      <c r="C37" s="17">
        <v>-13.5</v>
      </c>
      <c r="D37" s="17">
        <v>-12.3</v>
      </c>
      <c r="E37" s="17">
        <v>-29.3</v>
      </c>
      <c r="F37" s="17">
        <v>-41.1</v>
      </c>
      <c r="G37" s="17">
        <v>-41.1</v>
      </c>
    </row>
    <row r="38" spans="1:7" x14ac:dyDescent="0.15">
      <c r="A38" s="4" t="s">
        <v>276</v>
      </c>
      <c r="B38" s="17">
        <v>4.9290000000000003</v>
      </c>
      <c r="C38" s="17">
        <v>-26.4</v>
      </c>
      <c r="D38" s="17">
        <v>-408.1</v>
      </c>
      <c r="E38" s="17">
        <v>-23.5</v>
      </c>
      <c r="F38" s="17">
        <v>-22.8</v>
      </c>
      <c r="G38" s="17">
        <v>-22.8</v>
      </c>
    </row>
    <row r="39" spans="1:7" ht="12" x14ac:dyDescent="0.15">
      <c r="A39" s="4" t="s">
        <v>277</v>
      </c>
      <c r="B39" s="17" t="s">
        <v>28</v>
      </c>
      <c r="C39" s="17" t="s">
        <v>28</v>
      </c>
      <c r="D39" s="17" t="s">
        <v>28</v>
      </c>
      <c r="E39" s="17" t="s">
        <v>28</v>
      </c>
      <c r="F39" s="17" t="s">
        <v>28</v>
      </c>
      <c r="G39" s="17" t="s">
        <v>28</v>
      </c>
    </row>
    <row r="40" spans="1:7" ht="12" x14ac:dyDescent="0.15">
      <c r="A40" s="4" t="s">
        <v>278</v>
      </c>
      <c r="B40" s="17" t="s">
        <v>28</v>
      </c>
      <c r="C40" s="17" t="s">
        <v>28</v>
      </c>
      <c r="D40" s="17" t="s">
        <v>28</v>
      </c>
      <c r="E40" s="17" t="s">
        <v>28</v>
      </c>
      <c r="F40" s="17" t="s">
        <v>28</v>
      </c>
      <c r="G40" s="17">
        <v>16.52</v>
      </c>
    </row>
    <row r="41" spans="1:7" x14ac:dyDescent="0.15">
      <c r="A41" s="9" t="s">
        <v>279</v>
      </c>
      <c r="B41" s="25">
        <v>-503.2</v>
      </c>
      <c r="C41" s="25">
        <v>-652.6</v>
      </c>
      <c r="D41" s="25">
        <v>-630.20000000000005</v>
      </c>
      <c r="E41" s="25">
        <v>-799.8</v>
      </c>
      <c r="F41" s="25">
        <v>-852.7</v>
      </c>
      <c r="G41" s="25">
        <v>-658.6</v>
      </c>
    </row>
    <row r="42" spans="1:7" x14ac:dyDescent="0.15">
      <c r="A42" s="4"/>
      <c r="B42" s="4"/>
      <c r="C42" s="4"/>
      <c r="D42" s="4"/>
      <c r="E42" s="4"/>
      <c r="F42" s="4"/>
      <c r="G42" s="4"/>
    </row>
    <row r="43" spans="1:7" ht="12" x14ac:dyDescent="0.15">
      <c r="A43" s="4" t="s">
        <v>280</v>
      </c>
      <c r="B43" s="17" t="s">
        <v>28</v>
      </c>
      <c r="C43" s="17" t="s">
        <v>28</v>
      </c>
      <c r="D43" s="17" t="s">
        <v>28</v>
      </c>
      <c r="E43" s="17" t="s">
        <v>28</v>
      </c>
      <c r="F43" s="17" t="s">
        <v>28</v>
      </c>
      <c r="G43" s="17" t="s">
        <v>28</v>
      </c>
    </row>
    <row r="44" spans="1:7" ht="12" x14ac:dyDescent="0.15">
      <c r="A44" s="4" t="s">
        <v>281</v>
      </c>
      <c r="B44" s="17">
        <v>775.01599999999996</v>
      </c>
      <c r="C44" s="17">
        <v>1030.8869999999999</v>
      </c>
      <c r="D44" s="17">
        <v>557.45299999999997</v>
      </c>
      <c r="E44" s="17">
        <v>856.38199999999995</v>
      </c>
      <c r="F44" s="17">
        <v>1036.5989999999999</v>
      </c>
      <c r="G44" s="17" t="s">
        <v>28</v>
      </c>
    </row>
    <row r="45" spans="1:7" x14ac:dyDescent="0.15">
      <c r="A45" s="9" t="s">
        <v>282</v>
      </c>
      <c r="B45" s="25">
        <v>775.01599999999996</v>
      </c>
      <c r="C45" s="25">
        <v>1030.8869999999999</v>
      </c>
      <c r="D45" s="25">
        <v>557.45299999999997</v>
      </c>
      <c r="E45" s="25">
        <v>856.38199999999995</v>
      </c>
      <c r="F45" s="25">
        <v>1036.5989999999999</v>
      </c>
      <c r="G45" s="25">
        <v>1145.3620000000001</v>
      </c>
    </row>
    <row r="46" spans="1:7" ht="12" x14ac:dyDescent="0.15">
      <c r="A46" s="4" t="s">
        <v>283</v>
      </c>
      <c r="B46" s="17" t="s">
        <v>28</v>
      </c>
      <c r="C46" s="17" t="s">
        <v>28</v>
      </c>
      <c r="D46" s="17" t="s">
        <v>28</v>
      </c>
      <c r="E46" s="17" t="s">
        <v>28</v>
      </c>
      <c r="F46" s="17" t="s">
        <v>28</v>
      </c>
      <c r="G46" s="17" t="s">
        <v>28</v>
      </c>
    </row>
    <row r="47" spans="1:7" ht="12" x14ac:dyDescent="0.15">
      <c r="A47" s="4" t="s">
        <v>284</v>
      </c>
      <c r="B47" s="17">
        <v>-721.5</v>
      </c>
      <c r="C47" s="17">
        <v>-850.3</v>
      </c>
      <c r="D47" s="17">
        <v>-631.79999999999995</v>
      </c>
      <c r="E47" s="17">
        <v>-1180.4000000000001</v>
      </c>
      <c r="F47" s="17">
        <v>-610.6</v>
      </c>
      <c r="G47" s="17" t="s">
        <v>28</v>
      </c>
    </row>
    <row r="48" spans="1:7" x14ac:dyDescent="0.15">
      <c r="A48" s="9" t="s">
        <v>285</v>
      </c>
      <c r="B48" s="25">
        <v>-721.5</v>
      </c>
      <c r="C48" s="25">
        <v>-850.3</v>
      </c>
      <c r="D48" s="25">
        <v>-631.79999999999995</v>
      </c>
      <c r="E48" s="25">
        <v>-1180.4000000000001</v>
      </c>
      <c r="F48" s="25">
        <v>-610.6</v>
      </c>
      <c r="G48" s="25">
        <v>-1367.1</v>
      </c>
    </row>
    <row r="49" spans="1:7" x14ac:dyDescent="0.15">
      <c r="A49" s="4"/>
      <c r="B49" s="4"/>
      <c r="C49" s="4"/>
      <c r="D49" s="4"/>
      <c r="E49" s="4"/>
      <c r="F49" s="4"/>
      <c r="G49" s="4"/>
    </row>
    <row r="50" spans="1:7" ht="12" x14ac:dyDescent="0.15">
      <c r="A50" s="4" t="s">
        <v>286</v>
      </c>
      <c r="B50" s="17">
        <v>-274.3</v>
      </c>
      <c r="C50" s="17">
        <v>-274.3</v>
      </c>
      <c r="D50" s="17" t="s">
        <v>28</v>
      </c>
      <c r="E50" s="17">
        <v>-117.6</v>
      </c>
      <c r="F50" s="17">
        <v>-235.1</v>
      </c>
      <c r="G50" s="17">
        <v>-203.8</v>
      </c>
    </row>
    <row r="51" spans="1:7" ht="12" x14ac:dyDescent="0.15">
      <c r="A51" s="9" t="s">
        <v>287</v>
      </c>
      <c r="B51" s="25">
        <v>-274.3</v>
      </c>
      <c r="C51" s="25">
        <v>-274.3</v>
      </c>
      <c r="D51" s="25" t="s">
        <v>28</v>
      </c>
      <c r="E51" s="25">
        <v>-117.6</v>
      </c>
      <c r="F51" s="25">
        <v>-235.1</v>
      </c>
      <c r="G51" s="25">
        <v>-203.8</v>
      </c>
    </row>
    <row r="52" spans="1:7" x14ac:dyDescent="0.15">
      <c r="A52" s="4"/>
      <c r="B52" s="4"/>
      <c r="C52" s="4"/>
      <c r="D52" s="4"/>
      <c r="E52" s="4"/>
      <c r="F52" s="4"/>
      <c r="G52" s="4"/>
    </row>
    <row r="53" spans="1:7" ht="12" x14ac:dyDescent="0.15">
      <c r="A53" s="4" t="s">
        <v>288</v>
      </c>
      <c r="B53" s="17" t="s">
        <v>28</v>
      </c>
      <c r="C53" s="17" t="s">
        <v>28</v>
      </c>
      <c r="D53" s="17" t="s">
        <v>28</v>
      </c>
      <c r="E53" s="17" t="s">
        <v>28</v>
      </c>
      <c r="F53" s="17" t="s">
        <v>28</v>
      </c>
      <c r="G53" s="17" t="s">
        <v>28</v>
      </c>
    </row>
    <row r="54" spans="1:7" ht="12" x14ac:dyDescent="0.15">
      <c r="A54" s="4" t="s">
        <v>289</v>
      </c>
      <c r="B54" s="17" t="s">
        <v>28</v>
      </c>
      <c r="C54" s="17" t="s">
        <v>28</v>
      </c>
      <c r="D54" s="17" t="s">
        <v>28</v>
      </c>
      <c r="E54" s="17" t="s">
        <v>28</v>
      </c>
      <c r="F54" s="17" t="s">
        <v>28</v>
      </c>
      <c r="G54" s="17" t="s">
        <v>28</v>
      </c>
    </row>
    <row r="55" spans="1:7" x14ac:dyDescent="0.15">
      <c r="A55" s="9" t="s">
        <v>290</v>
      </c>
      <c r="B55" s="25">
        <v>-220.8</v>
      </c>
      <c r="C55" s="25">
        <v>-93.7</v>
      </c>
      <c r="D55" s="25">
        <v>-74.400000000000006</v>
      </c>
      <c r="E55" s="25">
        <v>-441.5</v>
      </c>
      <c r="F55" s="25">
        <v>190.87</v>
      </c>
      <c r="G55" s="25">
        <v>-425.5</v>
      </c>
    </row>
    <row r="56" spans="1:7" x14ac:dyDescent="0.15">
      <c r="A56" s="4"/>
      <c r="B56" s="4"/>
      <c r="C56" s="4"/>
      <c r="D56" s="4"/>
      <c r="E56" s="4"/>
      <c r="F56" s="4"/>
      <c r="G56" s="4"/>
    </row>
    <row r="57" spans="1:7" x14ac:dyDescent="0.15">
      <c r="A57" s="4" t="s">
        <v>291</v>
      </c>
      <c r="B57" s="17">
        <v>-0.2</v>
      </c>
      <c r="C57" s="17">
        <v>-0.1</v>
      </c>
      <c r="D57" s="17">
        <v>-0.1</v>
      </c>
      <c r="E57" s="17">
        <v>1.7509999999999999</v>
      </c>
      <c r="F57" s="17">
        <v>-1.1000000000000001</v>
      </c>
      <c r="G57" s="17">
        <v>1.093</v>
      </c>
    </row>
    <row r="58" spans="1:7" ht="12" x14ac:dyDescent="0.15">
      <c r="A58" s="4" t="s">
        <v>292</v>
      </c>
      <c r="B58" s="17" t="s">
        <v>28</v>
      </c>
      <c r="C58" s="17" t="s">
        <v>28</v>
      </c>
      <c r="D58" s="17">
        <v>-26.8</v>
      </c>
      <c r="E58" s="17">
        <v>0</v>
      </c>
      <c r="F58" s="17">
        <v>0</v>
      </c>
      <c r="G58" s="17">
        <v>0</v>
      </c>
    </row>
    <row r="59" spans="1:7" x14ac:dyDescent="0.15">
      <c r="A59" s="9" t="s">
        <v>293</v>
      </c>
      <c r="B59" s="26">
        <v>-1.9</v>
      </c>
      <c r="C59" s="26">
        <v>-11.7</v>
      </c>
      <c r="D59" s="26">
        <v>-33</v>
      </c>
      <c r="E59" s="26">
        <v>-1.9</v>
      </c>
      <c r="F59" s="26">
        <v>6.4610000000000003</v>
      </c>
      <c r="G59" s="26">
        <v>-12.7</v>
      </c>
    </row>
    <row r="60" spans="1:7" x14ac:dyDescent="0.15">
      <c r="A60" s="4"/>
      <c r="B60" s="4"/>
      <c r="C60" s="4"/>
      <c r="D60" s="4"/>
      <c r="E60" s="4"/>
      <c r="F60" s="4"/>
      <c r="G60" s="4"/>
    </row>
    <row r="61" spans="1:7" x14ac:dyDescent="0.15">
      <c r="A61" s="9" t="s">
        <v>142</v>
      </c>
      <c r="B61" s="4"/>
      <c r="C61" s="4"/>
      <c r="D61" s="4"/>
      <c r="E61" s="4"/>
      <c r="F61" s="4"/>
      <c r="G61" s="4"/>
    </row>
    <row r="62" spans="1:7" x14ac:dyDescent="0.15">
      <c r="A62" s="4" t="s">
        <v>294</v>
      </c>
      <c r="B62" s="17">
        <v>33.204000000000001</v>
      </c>
      <c r="C62" s="17">
        <v>30.649000000000001</v>
      </c>
      <c r="D62" s="17">
        <v>38.561999999999998</v>
      </c>
      <c r="E62" s="17">
        <v>41.569000000000003</v>
      </c>
      <c r="F62" s="17">
        <v>49.804000000000002</v>
      </c>
      <c r="G62" s="17">
        <v>49.804000000000002</v>
      </c>
    </row>
    <row r="63" spans="1:7" x14ac:dyDescent="0.15">
      <c r="A63" s="4" t="s">
        <v>295</v>
      </c>
      <c r="B63" s="17">
        <v>68.269000000000005</v>
      </c>
      <c r="C63" s="17">
        <v>88.725999999999999</v>
      </c>
      <c r="D63" s="17">
        <v>91.745000000000005</v>
      </c>
      <c r="E63" s="17">
        <v>76.418000000000006</v>
      </c>
      <c r="F63" s="17">
        <v>137.001</v>
      </c>
      <c r="G63" s="17">
        <v>149.709</v>
      </c>
    </row>
    <row r="64" spans="1:7" x14ac:dyDescent="0.15">
      <c r="A64" s="4" t="s">
        <v>296</v>
      </c>
      <c r="B64" s="17">
        <v>130.99462500000001</v>
      </c>
      <c r="C64" s="17">
        <v>53.28</v>
      </c>
      <c r="D64" s="17">
        <v>-26.3</v>
      </c>
      <c r="E64" s="17">
        <v>345.21924999999999</v>
      </c>
      <c r="F64" s="17">
        <v>-156.6</v>
      </c>
      <c r="G64" s="17">
        <v>263.89162499999998</v>
      </c>
    </row>
    <row r="65" spans="1:7" x14ac:dyDescent="0.15">
      <c r="A65" s="4" t="s">
        <v>297</v>
      </c>
      <c r="B65" s="17">
        <v>173.9315</v>
      </c>
      <c r="C65" s="17">
        <v>85.758125000000007</v>
      </c>
      <c r="D65" s="17">
        <v>5.1288749999999999</v>
      </c>
      <c r="E65" s="17">
        <v>350.37675000000002</v>
      </c>
      <c r="F65" s="17">
        <v>-94.6</v>
      </c>
      <c r="G65" s="17">
        <v>340.272875</v>
      </c>
    </row>
    <row r="66" spans="1:7" x14ac:dyDescent="0.15">
      <c r="A66" s="4" t="s">
        <v>298</v>
      </c>
      <c r="B66" s="17">
        <v>-0.7</v>
      </c>
      <c r="C66" s="17">
        <v>-30.2</v>
      </c>
      <c r="D66" s="17">
        <v>36.991</v>
      </c>
      <c r="E66" s="17">
        <v>-211.6</v>
      </c>
      <c r="F66" s="17">
        <v>243.62</v>
      </c>
      <c r="G66" s="17">
        <v>86.332999999999998</v>
      </c>
    </row>
    <row r="67" spans="1:7" x14ac:dyDescent="0.15">
      <c r="A67" s="4" t="s">
        <v>299</v>
      </c>
      <c r="B67" s="17">
        <v>53.497</v>
      </c>
      <c r="C67" s="17">
        <v>180.63399999999999</v>
      </c>
      <c r="D67" s="17">
        <v>-74.400000000000006</v>
      </c>
      <c r="E67" s="17">
        <v>-324</v>
      </c>
      <c r="F67" s="17">
        <v>425.99799999999999</v>
      </c>
      <c r="G67" s="17">
        <v>-221.7</v>
      </c>
    </row>
    <row r="68" spans="1:7" x14ac:dyDescent="0.15">
      <c r="A68" s="4" t="s">
        <v>151</v>
      </c>
      <c r="B68" s="28">
        <v>44151</v>
      </c>
      <c r="C68" s="28">
        <v>44517</v>
      </c>
      <c r="D68" s="28">
        <v>44881</v>
      </c>
      <c r="E68" s="28">
        <v>45245</v>
      </c>
      <c r="F68" s="28">
        <v>45245</v>
      </c>
      <c r="G68" s="28">
        <v>45463</v>
      </c>
    </row>
    <row r="69" spans="1:7" ht="12" x14ac:dyDescent="0.15">
      <c r="A69" s="4" t="s">
        <v>152</v>
      </c>
      <c r="B69" s="16" t="s">
        <v>153</v>
      </c>
      <c r="C69" s="16" t="s">
        <v>153</v>
      </c>
      <c r="D69" s="16" t="s">
        <v>153</v>
      </c>
      <c r="E69" s="16" t="s">
        <v>153</v>
      </c>
      <c r="F69" s="16" t="s">
        <v>155</v>
      </c>
      <c r="G69" s="16" t="s">
        <v>155</v>
      </c>
    </row>
    <row r="70" spans="1:7" ht="12" x14ac:dyDescent="0.15">
      <c r="A70" s="4" t="s">
        <v>156</v>
      </c>
      <c r="B70" s="16" t="s">
        <v>157</v>
      </c>
      <c r="C70" s="16" t="s">
        <v>157</v>
      </c>
      <c r="D70" s="16" t="s">
        <v>157</v>
      </c>
      <c r="E70" s="16" t="s">
        <v>157</v>
      </c>
      <c r="F70" s="16" t="s">
        <v>157</v>
      </c>
      <c r="G70" s="16" t="s">
        <v>158</v>
      </c>
    </row>
    <row r="71" spans="1:7" x14ac:dyDescent="0.15">
      <c r="A71" s="4"/>
      <c r="B71" s="4"/>
      <c r="C71" s="4"/>
      <c r="D71" s="4"/>
      <c r="E71" s="4"/>
      <c r="F71" s="4"/>
      <c r="G71" s="4"/>
    </row>
    <row r="72" spans="1:7" ht="72" x14ac:dyDescent="0.15">
      <c r="A72" s="33" t="s">
        <v>72</v>
      </c>
      <c r="B72" s="11"/>
      <c r="C72" s="11"/>
      <c r="D72" s="11"/>
      <c r="E72" s="11"/>
      <c r="F72" s="11"/>
      <c r="G72" s="11"/>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B08C9-9F1C-2D4C-B0D8-3AE5B27D3A47}">
  <sheetPr>
    <outlinePr summaryBelow="0" summaryRight="0"/>
    <pageSetUpPr autoPageBreaks="0"/>
  </sheetPr>
  <dimension ref="A5:IU86"/>
  <sheetViews>
    <sheetView workbookViewId="0"/>
  </sheetViews>
  <sheetFormatPr baseColWidth="10" defaultRowHeight="11" x14ac:dyDescent="0.15"/>
  <cols>
    <col min="1" max="1" width="45.83203125" customWidth="1"/>
    <col min="2" max="6" width="14.83203125" customWidth="1"/>
    <col min="7" max="8" width="9.33203125" customWidth="1"/>
    <col min="9" max="256" width="8.83203125" customWidth="1"/>
  </cols>
  <sheetData>
    <row r="5" spans="1:255" ht="17" x14ac:dyDescent="0.2">
      <c r="A5" s="1" t="s">
        <v>300</v>
      </c>
    </row>
    <row r="7" spans="1:255" x14ac:dyDescent="0.15">
      <c r="A7" s="4"/>
      <c r="B7" s="3" t="s">
        <v>301</v>
      </c>
      <c r="C7" t="s">
        <v>302</v>
      </c>
      <c r="D7" s="4" t="s">
        <v>4</v>
      </c>
      <c r="E7" s="3" t="s">
        <v>303</v>
      </c>
      <c r="F7" t="s">
        <v>304</v>
      </c>
    </row>
    <row r="8" spans="1:255" x14ac:dyDescent="0.15">
      <c r="A8" s="4"/>
      <c r="B8" s="3" t="s">
        <v>305</v>
      </c>
      <c r="C8" t="s">
        <v>8</v>
      </c>
      <c r="D8" s="4" t="s">
        <v>4</v>
      </c>
      <c r="E8" s="3" t="s">
        <v>306</v>
      </c>
      <c r="F8" s="5" t="s">
        <v>12</v>
      </c>
    </row>
    <row r="9" spans="1:255" x14ac:dyDescent="0.15">
      <c r="A9" s="4"/>
      <c r="B9" s="3" t="s">
        <v>307</v>
      </c>
      <c r="C9" t="s">
        <v>14</v>
      </c>
      <c r="D9" s="4" t="s">
        <v>4</v>
      </c>
      <c r="E9" s="23"/>
      <c r="F9" s="23"/>
    </row>
    <row r="12" spans="1:255" x14ac:dyDescent="0.15">
      <c r="A12" s="6" t="s">
        <v>308</v>
      </c>
      <c r="B12" s="6"/>
      <c r="C12" s="6"/>
      <c r="D12" s="6"/>
      <c r="E12" s="6"/>
      <c r="F12" s="6"/>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1"/>
      <c r="CE12" s="61"/>
      <c r="CF12" s="61"/>
      <c r="CG12" s="61"/>
      <c r="CH12" s="61"/>
      <c r="CI12" s="61"/>
      <c r="CJ12" s="61"/>
      <c r="CK12" s="61"/>
      <c r="CL12" s="61"/>
      <c r="CM12" s="61"/>
      <c r="CN12" s="61"/>
      <c r="CO12" s="61"/>
      <c r="CP12" s="61"/>
      <c r="CQ12" s="61"/>
      <c r="CR12" s="61"/>
      <c r="CS12" s="61"/>
      <c r="CT12" s="61"/>
      <c r="CU12" s="61"/>
      <c r="CV12" s="61"/>
      <c r="CW12" s="61"/>
      <c r="CX12" s="61"/>
      <c r="CY12" s="61"/>
      <c r="CZ12" s="61"/>
      <c r="DA12" s="61"/>
      <c r="DB12" s="61"/>
      <c r="DC12" s="61"/>
      <c r="DD12" s="61"/>
      <c r="DE12" s="61"/>
      <c r="DF12" s="61"/>
      <c r="DG12" s="61"/>
      <c r="DH12" s="61"/>
      <c r="DI12" s="61"/>
      <c r="DJ12" s="61"/>
      <c r="DK12" s="61"/>
      <c r="DL12" s="61"/>
      <c r="DM12" s="61"/>
      <c r="DN12" s="61"/>
      <c r="DO12" s="61"/>
      <c r="DP12" s="61"/>
      <c r="DQ12" s="61"/>
      <c r="DR12" s="61"/>
      <c r="DS12" s="61"/>
      <c r="DT12" s="61"/>
      <c r="DU12" s="61"/>
      <c r="DV12" s="61"/>
      <c r="DW12" s="61"/>
      <c r="DX12" s="61"/>
      <c r="DY12" s="61"/>
      <c r="DZ12" s="61"/>
      <c r="EA12" s="61"/>
      <c r="EB12" s="61"/>
      <c r="EC12" s="61"/>
      <c r="ED12" s="61"/>
      <c r="EE12" s="61"/>
      <c r="EF12" s="61"/>
      <c r="EG12" s="61"/>
      <c r="EH12" s="61"/>
      <c r="EI12" s="61"/>
      <c r="EJ12" s="61"/>
      <c r="EK12" s="61"/>
      <c r="EL12" s="61"/>
      <c r="EM12" s="61"/>
      <c r="EN12" s="61"/>
      <c r="EO12" s="61"/>
      <c r="EP12" s="61"/>
      <c r="EQ12" s="61"/>
      <c r="ER12" s="61"/>
      <c r="ES12" s="61"/>
      <c r="ET12" s="61"/>
      <c r="EU12" s="61"/>
      <c r="EV12" s="61"/>
      <c r="EW12" s="61"/>
      <c r="EX12" s="61"/>
      <c r="EY12" s="61"/>
      <c r="EZ12" s="61"/>
      <c r="FA12" s="61"/>
      <c r="FB12" s="61"/>
      <c r="FC12" s="61"/>
      <c r="FD12" s="61"/>
      <c r="FE12" s="61"/>
      <c r="FF12" s="61"/>
      <c r="FG12" s="61"/>
      <c r="FH12" s="61"/>
      <c r="FI12" s="61"/>
      <c r="FJ12" s="61"/>
      <c r="FK12" s="61"/>
      <c r="FL12" s="61"/>
      <c r="FM12" s="61"/>
      <c r="FN12" s="61"/>
      <c r="FO12" s="61"/>
      <c r="FP12" s="61"/>
      <c r="FQ12" s="61"/>
      <c r="FR12" s="61"/>
      <c r="FS12" s="61"/>
      <c r="FT12" s="61"/>
      <c r="FU12" s="61"/>
      <c r="FV12" s="61"/>
      <c r="FW12" s="61"/>
      <c r="FX12" s="61"/>
      <c r="FY12" s="61"/>
      <c r="FZ12" s="61"/>
      <c r="GA12" s="61"/>
      <c r="GB12" s="61"/>
      <c r="GC12" s="61"/>
      <c r="GD12" s="61"/>
      <c r="GE12" s="61"/>
      <c r="GF12" s="61"/>
      <c r="GG12" s="61"/>
      <c r="GH12" s="61"/>
      <c r="GI12" s="61"/>
      <c r="GJ12" s="61"/>
      <c r="GK12" s="61"/>
      <c r="GL12" s="61"/>
      <c r="GM12" s="61"/>
      <c r="GN12" s="61"/>
      <c r="GO12" s="61"/>
      <c r="GP12" s="61"/>
      <c r="GQ12" s="61"/>
      <c r="GR12" s="61"/>
      <c r="GS12" s="61"/>
      <c r="GT12" s="61"/>
      <c r="GU12" s="61"/>
      <c r="GV12" s="61"/>
      <c r="GW12" s="61"/>
      <c r="GX12" s="61"/>
      <c r="GY12" s="61"/>
      <c r="GZ12" s="61"/>
      <c r="HA12" s="61"/>
      <c r="HB12" s="61"/>
      <c r="HC12" s="61"/>
      <c r="HD12" s="61"/>
      <c r="HE12" s="61"/>
      <c r="HF12" s="61"/>
      <c r="HG12" s="61"/>
      <c r="HH12" s="61"/>
      <c r="HI12" s="61"/>
      <c r="HJ12" s="61"/>
      <c r="HK12" s="61"/>
      <c r="HL12" s="61"/>
      <c r="HM12" s="61"/>
      <c r="HN12" s="61"/>
      <c r="HO12" s="61"/>
      <c r="HP12" s="61"/>
      <c r="HQ12" s="61"/>
      <c r="HR12" s="61"/>
      <c r="HS12" s="61"/>
      <c r="HT12" s="61"/>
      <c r="HU12" s="61"/>
      <c r="HV12" s="61"/>
      <c r="HW12" s="61"/>
      <c r="HX12" s="61"/>
      <c r="HY12" s="61"/>
      <c r="HZ12" s="61"/>
      <c r="IA12" s="61"/>
      <c r="IB12" s="61"/>
      <c r="IC12" s="61"/>
      <c r="ID12" s="61"/>
      <c r="IE12" s="61"/>
      <c r="IF12" s="61"/>
      <c r="IG12" s="61"/>
      <c r="IH12" s="61"/>
      <c r="II12" s="61"/>
      <c r="IJ12" s="61"/>
      <c r="IK12" s="61"/>
      <c r="IL12" s="61"/>
      <c r="IM12" s="61"/>
      <c r="IN12" s="61"/>
      <c r="IO12" s="61"/>
      <c r="IP12" s="61"/>
      <c r="IQ12" s="61"/>
      <c r="IR12" s="61"/>
      <c r="IS12" s="61"/>
      <c r="IT12" s="61"/>
      <c r="IU12" s="61"/>
    </row>
    <row r="13" spans="1:255" ht="14" x14ac:dyDescent="0.3">
      <c r="A13" s="34"/>
      <c r="B13" s="35"/>
      <c r="C13" s="35"/>
      <c r="D13" s="35"/>
      <c r="E13" s="35"/>
      <c r="F13" s="35"/>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c r="FT13" s="61"/>
      <c r="FU13" s="61"/>
      <c r="FV13" s="61"/>
      <c r="FW13" s="61"/>
      <c r="FX13" s="61"/>
      <c r="FY13" s="61"/>
      <c r="FZ13" s="61"/>
      <c r="GA13" s="61"/>
      <c r="GB13" s="61"/>
      <c r="GC13" s="61"/>
      <c r="GD13" s="61"/>
      <c r="GE13" s="61"/>
      <c r="GF13" s="61"/>
      <c r="GG13" s="61"/>
      <c r="GH13" s="61"/>
      <c r="GI13" s="61"/>
      <c r="GJ13" s="61"/>
      <c r="GK13" s="61"/>
      <c r="GL13" s="61"/>
      <c r="GM13" s="61"/>
      <c r="GN13" s="61"/>
      <c r="GO13" s="61"/>
      <c r="GP13" s="61"/>
      <c r="GQ13" s="61"/>
      <c r="GR13" s="61"/>
      <c r="GS13" s="61"/>
      <c r="GT13" s="61"/>
      <c r="GU13" s="61"/>
      <c r="GV13" s="61"/>
      <c r="GW13" s="61"/>
      <c r="GX13" s="61"/>
      <c r="GY13" s="61"/>
      <c r="GZ13" s="61"/>
      <c r="HA13" s="61"/>
      <c r="HB13" s="61"/>
      <c r="HC13" s="61"/>
      <c r="HD13" s="61"/>
      <c r="HE13" s="61"/>
      <c r="HF13" s="61"/>
      <c r="HG13" s="61"/>
      <c r="HH13" s="61"/>
      <c r="HI13" s="61"/>
      <c r="HJ13" s="61"/>
      <c r="HK13" s="61"/>
      <c r="HL13" s="61"/>
      <c r="HM13" s="61"/>
      <c r="HN13" s="61"/>
      <c r="HO13" s="61"/>
      <c r="HP13" s="61"/>
      <c r="HQ13" s="61"/>
      <c r="HR13" s="61"/>
      <c r="HS13" s="61"/>
      <c r="HT13" s="61"/>
      <c r="HU13" s="61"/>
      <c r="HV13" s="61"/>
      <c r="HW13" s="61"/>
      <c r="HX13" s="61"/>
      <c r="HY13" s="61"/>
      <c r="HZ13" s="61"/>
      <c r="IA13" s="61"/>
      <c r="IB13" s="61"/>
      <c r="IC13" s="61"/>
      <c r="ID13" s="61"/>
      <c r="IE13" s="61"/>
      <c r="IF13" s="61"/>
      <c r="IG13" s="61"/>
      <c r="IH13" s="61"/>
      <c r="II13" s="61"/>
      <c r="IJ13" s="61"/>
      <c r="IK13" s="61"/>
      <c r="IL13" s="61"/>
      <c r="IM13" s="61"/>
      <c r="IN13" s="61"/>
      <c r="IO13" s="61"/>
      <c r="IP13" s="61"/>
      <c r="IQ13" s="61"/>
      <c r="IR13" s="61"/>
      <c r="IS13" s="61"/>
      <c r="IT13" s="61"/>
      <c r="IU13" s="61"/>
    </row>
    <row r="14" spans="1:255" x14ac:dyDescent="0.15">
      <c r="A14" s="36" t="s">
        <v>309</v>
      </c>
      <c r="B14" s="37"/>
      <c r="C14" s="38">
        <v>45289</v>
      </c>
      <c r="D14" s="38">
        <v>45379</v>
      </c>
      <c r="E14" s="38">
        <v>45471</v>
      </c>
      <c r="F14" s="38">
        <v>45506</v>
      </c>
    </row>
    <row r="15" spans="1:255" x14ac:dyDescent="0.15">
      <c r="A15" s="36" t="s">
        <v>310</v>
      </c>
      <c r="B15" s="39" t="s">
        <v>311</v>
      </c>
      <c r="C15" s="40">
        <v>3.0188500158730158</v>
      </c>
      <c r="D15" s="40">
        <v>3.3444969841269843</v>
      </c>
      <c r="E15" s="40">
        <v>3.4018697666666666</v>
      </c>
      <c r="F15" s="40">
        <v>3.4004379199999999</v>
      </c>
    </row>
    <row r="16" spans="1:255" x14ac:dyDescent="0.15">
      <c r="A16" s="39"/>
      <c r="B16" s="39" t="s">
        <v>312</v>
      </c>
      <c r="C16" s="41">
        <v>3.1974689999999999</v>
      </c>
      <c r="D16" s="41">
        <v>3.6304889999999999</v>
      </c>
      <c r="E16" s="41">
        <v>3.5539290000000001</v>
      </c>
      <c r="F16" s="41">
        <v>3.4657399999999998</v>
      </c>
    </row>
    <row r="17" spans="1:6" x14ac:dyDescent="0.15">
      <c r="A17" s="39"/>
      <c r="B17" s="39" t="s">
        <v>313</v>
      </c>
      <c r="C17" s="41">
        <v>2.8212069999999998</v>
      </c>
      <c r="D17" s="41">
        <v>3.1612330000000002</v>
      </c>
      <c r="E17" s="41">
        <v>3.248291</v>
      </c>
      <c r="F17" s="41">
        <v>3.3101799999999999</v>
      </c>
    </row>
    <row r="18" spans="1:6" x14ac:dyDescent="0.15">
      <c r="A18" s="39"/>
      <c r="B18" s="39" t="s">
        <v>314</v>
      </c>
      <c r="C18" s="41">
        <v>3.159421</v>
      </c>
      <c r="D18" s="41">
        <v>3.5242900000000001</v>
      </c>
      <c r="E18" s="41">
        <v>3.296799</v>
      </c>
      <c r="F18" s="41">
        <v>3.348652</v>
      </c>
    </row>
    <row r="19" spans="1:6" x14ac:dyDescent="0.15">
      <c r="A19" s="36"/>
      <c r="B19" s="39"/>
      <c r="C19" s="39"/>
      <c r="D19" s="39"/>
      <c r="E19" s="39"/>
      <c r="F19" s="39"/>
    </row>
    <row r="20" spans="1:6" x14ac:dyDescent="0.15">
      <c r="A20" s="36" t="s">
        <v>315</v>
      </c>
      <c r="B20" s="39" t="s">
        <v>311</v>
      </c>
      <c r="C20" s="40">
        <v>2.9351850000000002</v>
      </c>
      <c r="D20" s="40">
        <v>3.1308590000000001</v>
      </c>
      <c r="E20" s="40">
        <v>3.2335029999999998</v>
      </c>
      <c r="F20" s="40">
        <v>3.3195749999999999</v>
      </c>
    </row>
    <row r="21" spans="1:6" x14ac:dyDescent="0.15">
      <c r="A21" s="39"/>
      <c r="B21" s="39" t="s">
        <v>312</v>
      </c>
      <c r="C21" s="41">
        <v>3.0905740000000002</v>
      </c>
      <c r="D21" s="41">
        <v>3.396048</v>
      </c>
      <c r="E21" s="41">
        <v>3.365586</v>
      </c>
      <c r="F21" s="41">
        <v>3.383343</v>
      </c>
    </row>
    <row r="22" spans="1:6" x14ac:dyDescent="0.15">
      <c r="A22" s="39"/>
      <c r="B22" s="39" t="s">
        <v>313</v>
      </c>
      <c r="C22" s="41">
        <v>2.7659739999999999</v>
      </c>
      <c r="D22" s="41">
        <v>2.95357</v>
      </c>
      <c r="E22" s="41">
        <v>3.088209</v>
      </c>
      <c r="F22" s="41">
        <v>3.2314530000000001</v>
      </c>
    </row>
    <row r="23" spans="1:6" x14ac:dyDescent="0.15">
      <c r="A23" s="39"/>
      <c r="B23" s="39" t="s">
        <v>314</v>
      </c>
      <c r="C23" s="41">
        <v>2.9518779999999998</v>
      </c>
      <c r="D23" s="41">
        <v>3.3375080000000001</v>
      </c>
      <c r="E23" s="41">
        <v>3.2183999999999999</v>
      </c>
      <c r="F23" s="41">
        <v>3.2690139999999999</v>
      </c>
    </row>
    <row r="24" spans="1:6" x14ac:dyDescent="0.15">
      <c r="A24" s="36"/>
      <c r="B24" s="39"/>
      <c r="C24" s="39"/>
      <c r="D24" s="39"/>
      <c r="E24" s="39"/>
      <c r="F24" s="39"/>
    </row>
    <row r="25" spans="1:6" x14ac:dyDescent="0.15">
      <c r="A25" s="36" t="s">
        <v>316</v>
      </c>
      <c r="B25" s="39" t="s">
        <v>311</v>
      </c>
      <c r="C25" s="40">
        <v>11.287347825396825</v>
      </c>
      <c r="D25" s="40">
        <v>11.879783444444444</v>
      </c>
      <c r="E25" s="40">
        <v>12.49629545</v>
      </c>
      <c r="F25" s="40">
        <v>10.64507248</v>
      </c>
    </row>
    <row r="26" spans="1:6" x14ac:dyDescent="0.15">
      <c r="A26" s="39"/>
      <c r="B26" s="39" t="s">
        <v>312</v>
      </c>
      <c r="C26" s="41">
        <v>12.25853</v>
      </c>
      <c r="D26" s="41">
        <v>13.151356</v>
      </c>
      <c r="E26" s="41">
        <v>13.261957000000001</v>
      </c>
      <c r="F26" s="41">
        <v>10.849499</v>
      </c>
    </row>
    <row r="27" spans="1:6" x14ac:dyDescent="0.15">
      <c r="A27" s="39"/>
      <c r="B27" s="39" t="s">
        <v>313</v>
      </c>
      <c r="C27" s="41">
        <v>10.631368</v>
      </c>
      <c r="D27" s="41">
        <v>11.156362</v>
      </c>
      <c r="E27" s="41">
        <v>10.168775</v>
      </c>
      <c r="F27" s="41">
        <v>10.36252</v>
      </c>
    </row>
    <row r="28" spans="1:6" x14ac:dyDescent="0.15">
      <c r="A28" s="39"/>
      <c r="B28" s="39" t="s">
        <v>314</v>
      </c>
      <c r="C28" s="41">
        <v>11.149967999999999</v>
      </c>
      <c r="D28" s="41">
        <v>13.151356</v>
      </c>
      <c r="E28" s="41">
        <v>10.320629</v>
      </c>
      <c r="F28" s="41">
        <v>10.482955</v>
      </c>
    </row>
    <row r="29" spans="1:6" x14ac:dyDescent="0.15">
      <c r="A29" s="36"/>
      <c r="B29" s="39"/>
      <c r="C29" s="39"/>
      <c r="D29" s="39"/>
      <c r="E29" s="39"/>
      <c r="F29" s="39"/>
    </row>
    <row r="30" spans="1:6" x14ac:dyDescent="0.15">
      <c r="A30" s="36" t="s">
        <v>317</v>
      </c>
      <c r="B30" s="39" t="s">
        <v>311</v>
      </c>
      <c r="C30" s="40">
        <v>10.897228999999999</v>
      </c>
      <c r="D30" s="40">
        <v>11.048895</v>
      </c>
      <c r="E30" s="40">
        <v>11.254382</v>
      </c>
      <c r="F30" s="40">
        <v>11.339119</v>
      </c>
    </row>
    <row r="31" spans="1:6" x14ac:dyDescent="0.15">
      <c r="A31" s="39"/>
      <c r="B31" s="39" t="s">
        <v>312</v>
      </c>
      <c r="C31" s="41">
        <v>11.465140999999999</v>
      </c>
      <c r="D31" s="41">
        <v>11.988568000000001</v>
      </c>
      <c r="E31" s="41">
        <v>11.73875</v>
      </c>
      <c r="F31" s="41">
        <v>11.556937</v>
      </c>
    </row>
    <row r="32" spans="1:6" x14ac:dyDescent="0.15">
      <c r="A32" s="39"/>
      <c r="B32" s="39" t="s">
        <v>313</v>
      </c>
      <c r="C32" s="41">
        <v>10.179399999999999</v>
      </c>
      <c r="D32" s="41">
        <v>10.438955999999999</v>
      </c>
      <c r="E32" s="41">
        <v>10.771293</v>
      </c>
      <c r="F32" s="41">
        <v>11.038107</v>
      </c>
    </row>
    <row r="33" spans="1:6" x14ac:dyDescent="0.15">
      <c r="A33" s="39"/>
      <c r="B33" s="39" t="s">
        <v>314</v>
      </c>
      <c r="C33" s="41">
        <v>10.432975000000001</v>
      </c>
      <c r="D33" s="41">
        <v>11.640817999999999</v>
      </c>
      <c r="E33" s="41">
        <v>10.993518</v>
      </c>
      <c r="F33" s="41">
        <v>11.166408000000001</v>
      </c>
    </row>
    <row r="34" spans="1:6" x14ac:dyDescent="0.15">
      <c r="A34" s="36"/>
      <c r="B34" s="39"/>
      <c r="C34" s="39"/>
      <c r="D34" s="39"/>
      <c r="E34" s="39"/>
      <c r="F34" s="39"/>
    </row>
    <row r="35" spans="1:6" x14ac:dyDescent="0.15">
      <c r="A35" s="36" t="s">
        <v>318</v>
      </c>
      <c r="B35" s="39" t="s">
        <v>311</v>
      </c>
      <c r="C35" s="40">
        <v>19.309019809523811</v>
      </c>
      <c r="D35" s="40">
        <v>19.501670317460317</v>
      </c>
      <c r="E35" s="40">
        <v>19.203728850000001</v>
      </c>
      <c r="F35" s="40">
        <v>16.306964000000001</v>
      </c>
    </row>
    <row r="36" spans="1:6" x14ac:dyDescent="0.15">
      <c r="A36" s="39"/>
      <c r="B36" s="39" t="s">
        <v>312</v>
      </c>
      <c r="C36" s="41">
        <v>21.897924</v>
      </c>
      <c r="D36" s="41">
        <v>21.213180000000001</v>
      </c>
      <c r="E36" s="41">
        <v>20.386182999999999</v>
      </c>
      <c r="F36" s="41">
        <v>16.620121000000001</v>
      </c>
    </row>
    <row r="37" spans="1:6" x14ac:dyDescent="0.15">
      <c r="A37" s="39"/>
      <c r="B37" s="39" t="s">
        <v>313</v>
      </c>
      <c r="C37" s="41">
        <v>17.281672</v>
      </c>
      <c r="D37" s="41">
        <v>18.471288000000001</v>
      </c>
      <c r="E37" s="41">
        <v>15.577334</v>
      </c>
      <c r="F37" s="41">
        <v>15.874127</v>
      </c>
    </row>
    <row r="38" spans="1:6" x14ac:dyDescent="0.15">
      <c r="A38" s="39"/>
      <c r="B38" s="39" t="s">
        <v>314</v>
      </c>
      <c r="C38" s="41">
        <v>18.460702000000001</v>
      </c>
      <c r="D38" s="41">
        <v>20.216168</v>
      </c>
      <c r="E38" s="41">
        <v>15.809956</v>
      </c>
      <c r="F38" s="41">
        <v>16.058620000000001</v>
      </c>
    </row>
    <row r="39" spans="1:6" x14ac:dyDescent="0.15">
      <c r="A39" s="36"/>
      <c r="B39" s="39"/>
      <c r="C39" s="39"/>
      <c r="D39" s="39"/>
      <c r="E39" s="39"/>
      <c r="F39" s="39"/>
    </row>
    <row r="40" spans="1:6" x14ac:dyDescent="0.15">
      <c r="A40" s="36" t="s">
        <v>319</v>
      </c>
      <c r="B40" s="39" t="s">
        <v>311</v>
      </c>
      <c r="C40" s="40">
        <v>18.198312999999999</v>
      </c>
      <c r="D40" s="40">
        <v>17.898918999999999</v>
      </c>
      <c r="E40" s="40">
        <v>17.935167</v>
      </c>
      <c r="F40" s="40">
        <v>18.101859000000001</v>
      </c>
    </row>
    <row r="41" spans="1:6" x14ac:dyDescent="0.15">
      <c r="A41" s="39"/>
      <c r="B41" s="39" t="s">
        <v>312</v>
      </c>
      <c r="C41" s="41">
        <v>19.402828</v>
      </c>
      <c r="D41" s="41">
        <v>19.993666000000001</v>
      </c>
      <c r="E41" s="41">
        <v>18.707773</v>
      </c>
      <c r="F41" s="41">
        <v>18.449584999999999</v>
      </c>
    </row>
    <row r="42" spans="1:6" x14ac:dyDescent="0.15">
      <c r="A42" s="39"/>
      <c r="B42" s="39" t="s">
        <v>313</v>
      </c>
      <c r="C42" s="41">
        <v>16.787412</v>
      </c>
      <c r="D42" s="41">
        <v>16.903625000000002</v>
      </c>
      <c r="E42" s="41">
        <v>17.165959999999998</v>
      </c>
      <c r="F42" s="41">
        <v>17.621321999999999</v>
      </c>
    </row>
    <row r="43" spans="1:6" x14ac:dyDescent="0.15">
      <c r="A43" s="39"/>
      <c r="B43" s="39" t="s">
        <v>314</v>
      </c>
      <c r="C43" s="41">
        <v>16.893940000000001</v>
      </c>
      <c r="D43" s="41">
        <v>18.551701000000001</v>
      </c>
      <c r="E43" s="41">
        <v>17.550139000000001</v>
      </c>
      <c r="F43" s="41">
        <v>17.826142000000001</v>
      </c>
    </row>
    <row r="44" spans="1:6" x14ac:dyDescent="0.15">
      <c r="A44" s="36"/>
      <c r="B44" s="39"/>
      <c r="C44" s="39"/>
      <c r="D44" s="39"/>
      <c r="E44" s="39"/>
      <c r="F44" s="39"/>
    </row>
    <row r="45" spans="1:6" x14ac:dyDescent="0.15">
      <c r="A45" s="36" t="s">
        <v>320</v>
      </c>
      <c r="B45" s="39" t="s">
        <v>311</v>
      </c>
      <c r="C45" s="40">
        <v>21.592125158730159</v>
      </c>
      <c r="D45" s="40">
        <v>24.79089184126984</v>
      </c>
      <c r="E45" s="40">
        <v>24.228354866666667</v>
      </c>
      <c r="F45" s="40">
        <v>22.454202840000001</v>
      </c>
    </row>
    <row r="46" spans="1:6" x14ac:dyDescent="0.15">
      <c r="A46" s="39"/>
      <c r="B46" s="39" t="s">
        <v>312</v>
      </c>
      <c r="C46" s="41">
        <v>23.357944</v>
      </c>
      <c r="D46" s="41">
        <v>27.941317000000002</v>
      </c>
      <c r="E46" s="41">
        <v>25.800014000000001</v>
      </c>
      <c r="F46" s="41">
        <v>23.021236999999999</v>
      </c>
    </row>
    <row r="47" spans="1:6" x14ac:dyDescent="0.15">
      <c r="A47" s="39"/>
      <c r="B47" s="39" t="s">
        <v>313</v>
      </c>
      <c r="C47" s="41">
        <v>19.556712999999998</v>
      </c>
      <c r="D47" s="41">
        <v>22.974398000000001</v>
      </c>
      <c r="E47" s="41">
        <v>21.13306</v>
      </c>
      <c r="F47" s="41">
        <v>21.670463999999999</v>
      </c>
    </row>
    <row r="48" spans="1:6" x14ac:dyDescent="0.15">
      <c r="A48" s="39"/>
      <c r="B48" s="39" t="s">
        <v>314</v>
      </c>
      <c r="C48" s="41">
        <v>22.955221000000002</v>
      </c>
      <c r="D48" s="41">
        <v>25.530933999999998</v>
      </c>
      <c r="E48" s="41">
        <v>21.554269000000001</v>
      </c>
      <c r="F48" s="41">
        <v>22.004525999999998</v>
      </c>
    </row>
    <row r="49" spans="1:6" x14ac:dyDescent="0.15">
      <c r="A49" s="36"/>
      <c r="B49" s="39"/>
      <c r="C49" s="39"/>
      <c r="D49" s="39"/>
      <c r="E49" s="39"/>
      <c r="F49" s="39"/>
    </row>
    <row r="50" spans="1:6" x14ac:dyDescent="0.15">
      <c r="A50" s="36" t="s">
        <v>321</v>
      </c>
      <c r="B50" s="39" t="s">
        <v>311</v>
      </c>
      <c r="C50" s="40">
        <v>18.269431999999998</v>
      </c>
      <c r="D50" s="40">
        <v>20.999986</v>
      </c>
      <c r="E50" s="40">
        <v>22.089303999999998</v>
      </c>
      <c r="F50" s="40">
        <v>21.036306</v>
      </c>
    </row>
    <row r="51" spans="1:6" x14ac:dyDescent="0.15">
      <c r="A51" s="39"/>
      <c r="B51" s="39" t="s">
        <v>312</v>
      </c>
      <c r="C51" s="41">
        <v>19.503720999999999</v>
      </c>
      <c r="D51" s="41">
        <v>23.330660000000002</v>
      </c>
      <c r="E51" s="41">
        <v>23.385961000000002</v>
      </c>
      <c r="F51" s="41">
        <v>21.567646</v>
      </c>
    </row>
    <row r="52" spans="1:6" x14ac:dyDescent="0.15">
      <c r="A52" s="39"/>
      <c r="B52" s="39" t="s">
        <v>313</v>
      </c>
      <c r="C52" s="41">
        <v>16.614543999999999</v>
      </c>
      <c r="D52" s="41">
        <v>19.291385999999999</v>
      </c>
      <c r="E52" s="41">
        <v>19.907533000000001</v>
      </c>
      <c r="F52" s="41">
        <v>20.301993</v>
      </c>
    </row>
    <row r="53" spans="1:6" x14ac:dyDescent="0.15">
      <c r="A53" s="39"/>
      <c r="B53" s="39" t="s">
        <v>314</v>
      </c>
      <c r="C53" s="41">
        <v>19.275286999999999</v>
      </c>
      <c r="D53" s="41">
        <v>23.141978999999999</v>
      </c>
      <c r="E53" s="41">
        <v>20.193189</v>
      </c>
      <c r="F53" s="41">
        <v>20.614977</v>
      </c>
    </row>
    <row r="54" spans="1:6" x14ac:dyDescent="0.15">
      <c r="A54" s="36"/>
      <c r="B54" s="39"/>
      <c r="C54" s="39"/>
      <c r="D54" s="39"/>
      <c r="E54" s="39"/>
      <c r="F54" s="39"/>
    </row>
    <row r="55" spans="1:6" x14ac:dyDescent="0.15">
      <c r="A55" s="36" t="s">
        <v>322</v>
      </c>
      <c r="B55" s="39" t="s">
        <v>311</v>
      </c>
      <c r="C55" s="40">
        <v>23.663709809523809</v>
      </c>
      <c r="D55" s="40">
        <v>25.448232126984127</v>
      </c>
      <c r="E55" s="40">
        <v>28.681807549999998</v>
      </c>
      <c r="F55" s="40">
        <v>22.853456040000001</v>
      </c>
    </row>
    <row r="56" spans="1:6" x14ac:dyDescent="0.15">
      <c r="A56" s="39"/>
      <c r="B56" s="39" t="s">
        <v>312</v>
      </c>
      <c r="C56" s="41">
        <v>27.481743000000002</v>
      </c>
      <c r="D56" s="41">
        <v>30.637899999999998</v>
      </c>
      <c r="E56" s="41">
        <v>30.960804</v>
      </c>
      <c r="F56" s="41">
        <v>23.430572000000002</v>
      </c>
    </row>
    <row r="57" spans="1:6" x14ac:dyDescent="0.15">
      <c r="A57" s="39"/>
      <c r="B57" s="39" t="s">
        <v>313</v>
      </c>
      <c r="C57" s="41">
        <v>20.868773000000001</v>
      </c>
      <c r="D57" s="41">
        <v>23.092608999999999</v>
      </c>
      <c r="E57" s="41">
        <v>21.508821999999999</v>
      </c>
      <c r="F57" s="41">
        <v>22.055782000000001</v>
      </c>
    </row>
    <row r="58" spans="1:6" x14ac:dyDescent="0.15">
      <c r="A58" s="39"/>
      <c r="B58" s="39" t="s">
        <v>314</v>
      </c>
      <c r="C58" s="41">
        <v>23.073333000000002</v>
      </c>
      <c r="D58" s="41">
        <v>30.637899999999998</v>
      </c>
      <c r="E58" s="41">
        <v>21.937519999999999</v>
      </c>
      <c r="F58" s="41">
        <v>22.395783999999999</v>
      </c>
    </row>
    <row r="59" spans="1:6" x14ac:dyDescent="0.15">
      <c r="A59" s="36"/>
      <c r="B59" s="39"/>
      <c r="C59" s="39"/>
      <c r="D59" s="39"/>
      <c r="E59" s="39"/>
      <c r="F59" s="39"/>
    </row>
    <row r="60" spans="1:6" x14ac:dyDescent="0.15">
      <c r="A60" s="36" t="s">
        <v>70</v>
      </c>
      <c r="B60" s="39" t="s">
        <v>311</v>
      </c>
      <c r="C60" s="40">
        <v>2.5398421904761905</v>
      </c>
      <c r="D60" s="40">
        <v>3.329619984126984</v>
      </c>
      <c r="E60" s="40">
        <v>3.2913991833333331</v>
      </c>
      <c r="F60" s="40">
        <v>3.02996628</v>
      </c>
    </row>
    <row r="61" spans="1:6" x14ac:dyDescent="0.15">
      <c r="A61" s="39"/>
      <c r="B61" s="39" t="s">
        <v>312</v>
      </c>
      <c r="C61" s="41">
        <v>3.1324749999999999</v>
      </c>
      <c r="D61" s="41">
        <v>3.7471399999999999</v>
      </c>
      <c r="E61" s="41">
        <v>3.507199</v>
      </c>
      <c r="F61" s="41">
        <v>3.1064820000000002</v>
      </c>
    </row>
    <row r="62" spans="1:6" x14ac:dyDescent="0.15">
      <c r="A62" s="39"/>
      <c r="B62" s="39" t="s">
        <v>313</v>
      </c>
      <c r="C62" s="41">
        <v>2.2595719999999999</v>
      </c>
      <c r="D62" s="41">
        <v>3.0810390000000001</v>
      </c>
      <c r="E62" s="41">
        <v>2.8516910000000002</v>
      </c>
      <c r="F62" s="41">
        <v>2.9242089999999998</v>
      </c>
    </row>
    <row r="63" spans="1:6" x14ac:dyDescent="0.15">
      <c r="A63" s="39"/>
      <c r="B63" s="39" t="s">
        <v>314</v>
      </c>
      <c r="C63" s="41">
        <v>3.0784669999999998</v>
      </c>
      <c r="D63" s="41">
        <v>3.470621</v>
      </c>
      <c r="E63" s="41">
        <v>2.9085290000000001</v>
      </c>
      <c r="F63" s="41">
        <v>2.969287</v>
      </c>
    </row>
    <row r="64" spans="1:6" x14ac:dyDescent="0.15">
      <c r="A64" s="36"/>
      <c r="B64" s="39"/>
      <c r="C64" s="39"/>
      <c r="D64" s="39"/>
      <c r="E64" s="39"/>
      <c r="F64" s="39"/>
    </row>
    <row r="65" spans="1:6" x14ac:dyDescent="0.15">
      <c r="A65" s="36" t="s">
        <v>323</v>
      </c>
      <c r="B65" s="39" t="s">
        <v>311</v>
      </c>
      <c r="C65" s="40">
        <v>2.7098019206349204</v>
      </c>
      <c r="D65" s="40">
        <v>3.587304761904762</v>
      </c>
      <c r="E65" s="40">
        <v>3.5146296666666665</v>
      </c>
      <c r="F65" s="40">
        <v>3.22325368</v>
      </c>
    </row>
    <row r="66" spans="1:6" x14ac:dyDescent="0.15">
      <c r="A66" s="39"/>
      <c r="B66" s="39" t="s">
        <v>312</v>
      </c>
      <c r="C66" s="41">
        <v>3.3784920000000001</v>
      </c>
      <c r="D66" s="41">
        <v>4.0414310000000002</v>
      </c>
      <c r="E66" s="41">
        <v>3.7464360000000001</v>
      </c>
      <c r="F66" s="41">
        <v>3.3046500000000001</v>
      </c>
    </row>
    <row r="67" spans="1:6" x14ac:dyDescent="0.15">
      <c r="A67" s="39"/>
      <c r="B67" s="39" t="s">
        <v>313</v>
      </c>
      <c r="C67" s="41">
        <v>2.4069950000000002</v>
      </c>
      <c r="D67" s="41">
        <v>3.323016</v>
      </c>
      <c r="E67" s="41">
        <v>3.0336059999999998</v>
      </c>
      <c r="F67" s="41">
        <v>3.1107499999999999</v>
      </c>
    </row>
    <row r="68" spans="1:6" x14ac:dyDescent="0.15">
      <c r="A68" s="39"/>
      <c r="B68" s="39" t="s">
        <v>314</v>
      </c>
      <c r="C68" s="41">
        <v>3.3202419999999999</v>
      </c>
      <c r="D68" s="41">
        <v>3.707363</v>
      </c>
      <c r="E68" s="41">
        <v>3.0940699999999999</v>
      </c>
      <c r="F68" s="41">
        <v>3.158703</v>
      </c>
    </row>
    <row r="69" spans="1:6" x14ac:dyDescent="0.15">
      <c r="A69" s="36"/>
      <c r="B69" s="39"/>
      <c r="C69" s="39"/>
      <c r="D69" s="39"/>
      <c r="E69" s="39"/>
      <c r="F69" s="39"/>
    </row>
    <row r="70" spans="1:6" x14ac:dyDescent="0.15">
      <c r="A70" s="36" t="s">
        <v>324</v>
      </c>
      <c r="B70" s="39" t="s">
        <v>311</v>
      </c>
      <c r="C70" s="40">
        <v>110.70717985714286</v>
      </c>
      <c r="D70" s="40">
        <v>110.25169842857143</v>
      </c>
      <c r="E70" s="40">
        <v>54.756059649999997</v>
      </c>
      <c r="F70" s="40">
        <v>46.824941920000001</v>
      </c>
    </row>
    <row r="71" spans="1:6" x14ac:dyDescent="0.15">
      <c r="A71" s="39"/>
      <c r="B71" s="39" t="s">
        <v>312</v>
      </c>
      <c r="C71" s="41">
        <v>112.187437</v>
      </c>
      <c r="D71" s="41">
        <v>127.38050699999999</v>
      </c>
      <c r="E71" s="41">
        <v>58.090767999999997</v>
      </c>
      <c r="F71" s="41">
        <v>47.724162</v>
      </c>
    </row>
    <row r="72" spans="1:6" x14ac:dyDescent="0.15">
      <c r="A72" s="39"/>
      <c r="B72" s="39" t="s">
        <v>313</v>
      </c>
      <c r="C72" s="41">
        <v>110.15321900000001</v>
      </c>
      <c r="D72" s="41">
        <v>53.303142999999999</v>
      </c>
      <c r="E72" s="41">
        <v>44.729832999999999</v>
      </c>
      <c r="F72" s="41">
        <v>45.582065</v>
      </c>
    </row>
    <row r="73" spans="1:6" x14ac:dyDescent="0.15">
      <c r="A73" s="39"/>
      <c r="B73" s="39" t="s">
        <v>314</v>
      </c>
      <c r="C73" s="41">
        <v>110.852481</v>
      </c>
      <c r="D73" s="41">
        <v>57.606305999999996</v>
      </c>
      <c r="E73" s="41">
        <v>45.397798999999999</v>
      </c>
      <c r="F73" s="41">
        <v>46.111831000000002</v>
      </c>
    </row>
    <row r="74" spans="1:6" x14ac:dyDescent="0.15">
      <c r="A74" s="36"/>
      <c r="B74" s="39"/>
      <c r="C74" s="39"/>
      <c r="D74" s="39"/>
      <c r="E74" s="39"/>
      <c r="F74" s="39"/>
    </row>
    <row r="75" spans="1:6" x14ac:dyDescent="0.15">
      <c r="A75" s="36" t="s">
        <v>325</v>
      </c>
      <c r="B75" s="39" t="s">
        <v>311</v>
      </c>
      <c r="C75" s="40">
        <v>178.23396057142858</v>
      </c>
      <c r="D75" s="40">
        <v>178.4206582063492</v>
      </c>
      <c r="E75" s="40">
        <v>58.914588049999999</v>
      </c>
      <c r="F75" s="40">
        <v>45.915154039999997</v>
      </c>
    </row>
    <row r="76" spans="1:6" x14ac:dyDescent="0.15">
      <c r="A76" s="39"/>
      <c r="B76" s="39" t="s">
        <v>312</v>
      </c>
      <c r="C76" s="41">
        <v>181.70785000000001</v>
      </c>
      <c r="D76" s="41">
        <v>217.363167</v>
      </c>
      <c r="E76" s="41">
        <v>63.711154999999998</v>
      </c>
      <c r="F76" s="41">
        <v>47.074646000000001</v>
      </c>
    </row>
    <row r="77" spans="1:6" x14ac:dyDescent="0.15">
      <c r="A77" s="39"/>
      <c r="B77" s="39" t="s">
        <v>313</v>
      </c>
      <c r="C77" s="41">
        <v>176.93391600000001</v>
      </c>
      <c r="D77" s="41">
        <v>57.144606000000003</v>
      </c>
      <c r="E77" s="41">
        <v>43.213633999999999</v>
      </c>
      <c r="F77" s="41">
        <v>44.312536999999999</v>
      </c>
    </row>
    <row r="78" spans="1:6" x14ac:dyDescent="0.15">
      <c r="A78" s="39"/>
      <c r="B78" s="39" t="s">
        <v>314</v>
      </c>
      <c r="C78" s="41">
        <v>178.57495599999999</v>
      </c>
      <c r="D78" s="41">
        <v>63.046683000000002</v>
      </c>
      <c r="E78" s="41">
        <v>44.074936000000001</v>
      </c>
      <c r="F78" s="41">
        <v>44.995638999999997</v>
      </c>
    </row>
    <row r="79" spans="1:6" x14ac:dyDescent="0.15">
      <c r="A79" s="36"/>
      <c r="B79" s="39"/>
      <c r="C79" s="39"/>
      <c r="D79" s="39"/>
      <c r="E79" s="39"/>
      <c r="F79" s="39"/>
    </row>
    <row r="80" spans="1:6" x14ac:dyDescent="0.15">
      <c r="A80" s="42" t="s">
        <v>326</v>
      </c>
    </row>
    <row r="82" spans="1:1" x14ac:dyDescent="0.15">
      <c r="A82" s="42" t="s">
        <v>327</v>
      </c>
    </row>
    <row r="86" spans="1:1" ht="25" customHeight="1" x14ac:dyDescent="0.15">
      <c r="A86" s="43" t="s">
        <v>328</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1D52D-4929-BF46-B2A3-DCBBAD9A31A4}">
  <sheetPr>
    <outlinePr summaryBelow="0" summaryRight="0"/>
    <pageSetUpPr autoPageBreaks="0"/>
  </sheetPr>
  <dimension ref="A5:IU39"/>
  <sheetViews>
    <sheetView workbookViewId="0"/>
  </sheetViews>
  <sheetFormatPr baseColWidth="10" defaultRowHeight="11" x14ac:dyDescent="0.15"/>
  <cols>
    <col min="1" max="1" width="45.83203125" customWidth="1"/>
    <col min="2" max="7" width="14.83203125" customWidth="1"/>
    <col min="8" max="8" width="9.33203125" customWidth="1"/>
    <col min="9" max="256" width="8.83203125" customWidth="1"/>
  </cols>
  <sheetData>
    <row r="5" spans="1:255" ht="17" x14ac:dyDescent="0.2">
      <c r="A5" s="1" t="s">
        <v>329</v>
      </c>
    </row>
    <row r="7" spans="1:255" ht="12" x14ac:dyDescent="0.15">
      <c r="A7" s="2" t="s">
        <v>330</v>
      </c>
      <c r="B7" s="3" t="s">
        <v>331</v>
      </c>
      <c r="C7" t="s">
        <v>304</v>
      </c>
      <c r="D7" s="4" t="s">
        <v>4</v>
      </c>
      <c r="E7" s="3" t="s">
        <v>332</v>
      </c>
      <c r="F7" t="s">
        <v>8</v>
      </c>
    </row>
    <row r="8" spans="1:255" x14ac:dyDescent="0.15">
      <c r="A8" s="4"/>
      <c r="B8" s="3" t="s">
        <v>333</v>
      </c>
      <c r="C8" t="s">
        <v>3</v>
      </c>
      <c r="D8" s="4" t="s">
        <v>4</v>
      </c>
      <c r="E8" s="3" t="s">
        <v>334</v>
      </c>
      <c r="F8" t="s">
        <v>6</v>
      </c>
    </row>
    <row r="9" spans="1:255" x14ac:dyDescent="0.15">
      <c r="A9" s="4"/>
      <c r="B9" s="3" t="s">
        <v>335</v>
      </c>
      <c r="C9" t="s">
        <v>10</v>
      </c>
      <c r="D9" s="4" t="s">
        <v>4</v>
      </c>
      <c r="E9" s="3" t="s">
        <v>336</v>
      </c>
      <c r="F9" s="5" t="s">
        <v>12</v>
      </c>
    </row>
    <row r="10" spans="1:255" x14ac:dyDescent="0.15">
      <c r="A10" s="4"/>
      <c r="B10" s="3" t="s">
        <v>337</v>
      </c>
      <c r="C10" t="s">
        <v>14</v>
      </c>
      <c r="D10" s="4" t="s">
        <v>4</v>
      </c>
      <c r="E10" s="23"/>
      <c r="F10" s="23"/>
    </row>
    <row r="13" spans="1:255" x14ac:dyDescent="0.15">
      <c r="A13" s="6" t="s">
        <v>338</v>
      </c>
      <c r="B13" s="6"/>
      <c r="C13" s="6"/>
      <c r="D13" s="6"/>
      <c r="E13" s="6"/>
      <c r="F13" s="6"/>
      <c r="G13" s="6"/>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c r="FT13" s="61"/>
      <c r="FU13" s="61"/>
      <c r="FV13" s="61"/>
      <c r="FW13" s="61"/>
      <c r="FX13" s="61"/>
      <c r="FY13" s="61"/>
      <c r="FZ13" s="61"/>
      <c r="GA13" s="61"/>
      <c r="GB13" s="61"/>
      <c r="GC13" s="61"/>
      <c r="GD13" s="61"/>
      <c r="GE13" s="61"/>
      <c r="GF13" s="61"/>
      <c r="GG13" s="61"/>
      <c r="GH13" s="61"/>
      <c r="GI13" s="61"/>
      <c r="GJ13" s="61"/>
      <c r="GK13" s="61"/>
      <c r="GL13" s="61"/>
      <c r="GM13" s="61"/>
      <c r="GN13" s="61"/>
      <c r="GO13" s="61"/>
      <c r="GP13" s="61"/>
      <c r="GQ13" s="61"/>
      <c r="GR13" s="61"/>
      <c r="GS13" s="61"/>
      <c r="GT13" s="61"/>
      <c r="GU13" s="61"/>
      <c r="GV13" s="61"/>
      <c r="GW13" s="61"/>
      <c r="GX13" s="61"/>
      <c r="GY13" s="61"/>
      <c r="GZ13" s="61"/>
      <c r="HA13" s="61"/>
      <c r="HB13" s="61"/>
      <c r="HC13" s="61"/>
      <c r="HD13" s="61"/>
      <c r="HE13" s="61"/>
      <c r="HF13" s="61"/>
      <c r="HG13" s="61"/>
      <c r="HH13" s="61"/>
      <c r="HI13" s="61"/>
      <c r="HJ13" s="61"/>
      <c r="HK13" s="61"/>
      <c r="HL13" s="61"/>
      <c r="HM13" s="61"/>
      <c r="HN13" s="61"/>
      <c r="HO13" s="61"/>
      <c r="HP13" s="61"/>
      <c r="HQ13" s="61"/>
      <c r="HR13" s="61"/>
      <c r="HS13" s="61"/>
      <c r="HT13" s="61"/>
      <c r="HU13" s="61"/>
      <c r="HV13" s="61"/>
      <c r="HW13" s="61"/>
      <c r="HX13" s="61"/>
      <c r="HY13" s="61"/>
      <c r="HZ13" s="61"/>
      <c r="IA13" s="61"/>
      <c r="IB13" s="61"/>
      <c r="IC13" s="61"/>
      <c r="ID13" s="61"/>
      <c r="IE13" s="61"/>
      <c r="IF13" s="61"/>
      <c r="IG13" s="61"/>
      <c r="IH13" s="61"/>
      <c r="II13" s="61"/>
      <c r="IJ13" s="61"/>
      <c r="IK13" s="61"/>
      <c r="IL13" s="61"/>
      <c r="IM13" s="61"/>
      <c r="IN13" s="61"/>
      <c r="IO13" s="61"/>
      <c r="IP13" s="61"/>
      <c r="IQ13" s="61"/>
      <c r="IR13" s="61"/>
      <c r="IS13" s="61"/>
      <c r="IT13" s="61"/>
      <c r="IU13" s="61"/>
    </row>
    <row r="14" spans="1:255" ht="24" x14ac:dyDescent="0.15">
      <c r="A14" s="7" t="s">
        <v>177</v>
      </c>
      <c r="B14" s="29">
        <v>44985</v>
      </c>
      <c r="C14" s="29">
        <v>45077</v>
      </c>
      <c r="D14" s="29">
        <v>45169</v>
      </c>
      <c r="E14" s="29">
        <v>45260</v>
      </c>
      <c r="F14" s="29">
        <v>45351</v>
      </c>
      <c r="G14" s="29">
        <v>45443</v>
      </c>
    </row>
    <row r="15" spans="1:255" ht="12" x14ac:dyDescent="0.15">
      <c r="A15" s="7" t="s">
        <v>339</v>
      </c>
      <c r="B15" s="29">
        <v>45006</v>
      </c>
      <c r="C15" s="29">
        <v>45097</v>
      </c>
      <c r="D15" s="29">
        <v>45245</v>
      </c>
      <c r="E15" s="29">
        <v>45279</v>
      </c>
      <c r="F15" s="29">
        <v>45371</v>
      </c>
      <c r="G15" s="29">
        <v>45463</v>
      </c>
    </row>
    <row r="16" spans="1:255" ht="12" x14ac:dyDescent="0.15">
      <c r="A16" s="8" t="s">
        <v>23</v>
      </c>
      <c r="B16" s="13" t="s">
        <v>24</v>
      </c>
      <c r="C16" s="13" t="s">
        <v>24</v>
      </c>
      <c r="D16" s="13" t="s">
        <v>24</v>
      </c>
      <c r="E16" s="13" t="s">
        <v>24</v>
      </c>
      <c r="F16" s="13" t="s">
        <v>24</v>
      </c>
      <c r="G16" s="13" t="s">
        <v>24</v>
      </c>
    </row>
    <row r="17" spans="1:7" x14ac:dyDescent="0.15">
      <c r="A17" s="9" t="s">
        <v>340</v>
      </c>
      <c r="B17" s="4"/>
      <c r="C17" s="4"/>
      <c r="D17" s="4"/>
      <c r="E17" s="4"/>
      <c r="F17" s="4"/>
      <c r="G17" s="4"/>
    </row>
    <row r="18" spans="1:7" x14ac:dyDescent="0.15">
      <c r="A18" s="4" t="s">
        <v>41</v>
      </c>
      <c r="B18" s="19">
        <v>109.200001</v>
      </c>
      <c r="C18" s="19">
        <v>111.400001</v>
      </c>
      <c r="D18" s="19">
        <v>113.299997</v>
      </c>
      <c r="E18" s="19">
        <v>119.100004</v>
      </c>
      <c r="F18" s="19">
        <v>146.20000099999999</v>
      </c>
      <c r="G18" s="19">
        <v>145.50000399999999</v>
      </c>
    </row>
    <row r="19" spans="1:7" x14ac:dyDescent="0.15">
      <c r="A19" s="4" t="s">
        <v>42</v>
      </c>
      <c r="B19" s="17">
        <v>78.376056000000005</v>
      </c>
      <c r="C19" s="17">
        <v>78.376056000000005</v>
      </c>
      <c r="D19" s="17">
        <v>78.376056000000005</v>
      </c>
      <c r="E19" s="17">
        <v>78.376056000000005</v>
      </c>
      <c r="F19" s="17">
        <v>78.376056000000005</v>
      </c>
      <c r="G19" s="17">
        <v>78.376056000000005</v>
      </c>
    </row>
    <row r="20" spans="1:7" x14ac:dyDescent="0.15">
      <c r="A20" s="4"/>
      <c r="B20" s="4"/>
      <c r="C20" s="4"/>
      <c r="D20" s="4"/>
      <c r="E20" s="4"/>
      <c r="F20" s="4"/>
      <c r="G20" s="4"/>
    </row>
    <row r="21" spans="1:7" x14ac:dyDescent="0.15">
      <c r="A21" s="9" t="s">
        <v>43</v>
      </c>
      <c r="B21" s="14">
        <v>8558.6653150000002</v>
      </c>
      <c r="C21" s="14">
        <v>8731.0926380000001</v>
      </c>
      <c r="D21" s="14">
        <v>8880.0071439999992</v>
      </c>
      <c r="E21" s="14">
        <v>9334.5882689999999</v>
      </c>
      <c r="F21" s="14">
        <v>11458.579387</v>
      </c>
      <c r="G21" s="14">
        <v>11403.716148</v>
      </c>
    </row>
    <row r="22" spans="1:7" x14ac:dyDescent="0.15">
      <c r="A22" s="4" t="s">
        <v>50</v>
      </c>
      <c r="B22" s="17">
        <v>255.905</v>
      </c>
      <c r="C22" s="17">
        <v>38.978000000000002</v>
      </c>
      <c r="D22" s="17">
        <v>31.071000000000002</v>
      </c>
      <c r="E22" s="17">
        <v>16.7</v>
      </c>
      <c r="F22" s="17">
        <v>104.337</v>
      </c>
      <c r="G22" s="17">
        <v>26.306999999999999</v>
      </c>
    </row>
    <row r="23" spans="1:7" x14ac:dyDescent="0.15">
      <c r="A23" s="4" t="s">
        <v>51</v>
      </c>
      <c r="B23" s="17">
        <v>3357.902</v>
      </c>
      <c r="C23" s="17">
        <v>3715.1379999999999</v>
      </c>
      <c r="D23" s="17">
        <v>4301.9949999999999</v>
      </c>
      <c r="E23" s="17">
        <v>4301.1989999999996</v>
      </c>
      <c r="F23" s="17">
        <v>3304.2979999999998</v>
      </c>
      <c r="G23" s="17">
        <v>3841.8339999999998</v>
      </c>
    </row>
    <row r="24" spans="1:7" ht="12" x14ac:dyDescent="0.15">
      <c r="A24" s="4" t="s">
        <v>52</v>
      </c>
      <c r="B24" s="17" t="s">
        <v>28</v>
      </c>
      <c r="C24" s="17" t="s">
        <v>28</v>
      </c>
      <c r="D24" s="17" t="s">
        <v>28</v>
      </c>
      <c r="E24" s="17" t="s">
        <v>28</v>
      </c>
      <c r="F24" s="17" t="s">
        <v>28</v>
      </c>
      <c r="G24" s="17" t="s">
        <v>28</v>
      </c>
    </row>
    <row r="25" spans="1:7" x14ac:dyDescent="0.15">
      <c r="A25" s="4" t="s">
        <v>53</v>
      </c>
      <c r="B25" s="17">
        <v>1.8280000000000001</v>
      </c>
      <c r="C25" s="17">
        <v>1.694</v>
      </c>
      <c r="D25" s="17">
        <v>1.4390000000000001</v>
      </c>
      <c r="E25" s="17">
        <v>1.139</v>
      </c>
      <c r="F25" s="17">
        <v>1.17</v>
      </c>
      <c r="G25" s="17">
        <v>1.1060000000000001</v>
      </c>
    </row>
    <row r="26" spans="1:7" ht="12" x14ac:dyDescent="0.15">
      <c r="A26" s="4" t="s">
        <v>54</v>
      </c>
      <c r="B26" s="17" t="s">
        <v>28</v>
      </c>
      <c r="C26" s="17" t="s">
        <v>28</v>
      </c>
      <c r="D26" s="17" t="s">
        <v>28</v>
      </c>
      <c r="E26" s="17" t="s">
        <v>28</v>
      </c>
      <c r="F26" s="17" t="s">
        <v>28</v>
      </c>
      <c r="G26" s="17" t="s">
        <v>28</v>
      </c>
    </row>
    <row r="27" spans="1:7" x14ac:dyDescent="0.15">
      <c r="A27" s="9" t="s">
        <v>55</v>
      </c>
      <c r="B27" s="25">
        <v>11662.490314999999</v>
      </c>
      <c r="C27" s="25">
        <v>12408.946637999999</v>
      </c>
      <c r="D27" s="25">
        <v>13152.370144</v>
      </c>
      <c r="E27" s="25">
        <v>13620.226269000001</v>
      </c>
      <c r="F27" s="25">
        <v>14659.710386999999</v>
      </c>
      <c r="G27" s="25">
        <v>15220.349147999999</v>
      </c>
    </row>
    <row r="28" spans="1:7" x14ac:dyDescent="0.15">
      <c r="A28" s="4"/>
      <c r="B28" s="4"/>
      <c r="C28" s="4"/>
      <c r="D28" s="4"/>
      <c r="E28" s="4"/>
      <c r="F28" s="4"/>
      <c r="G28" s="4"/>
    </row>
    <row r="29" spans="1:7" x14ac:dyDescent="0.15">
      <c r="A29" s="4" t="s">
        <v>56</v>
      </c>
      <c r="B29" s="17">
        <v>3411.6210000000001</v>
      </c>
      <c r="C29" s="17">
        <v>3635.2280000000001</v>
      </c>
      <c r="D29" s="17">
        <v>3482.4969999999998</v>
      </c>
      <c r="E29" s="17">
        <v>3047.4949999999999</v>
      </c>
      <c r="F29" s="17">
        <v>3642.5920000000001</v>
      </c>
      <c r="G29" s="17">
        <v>3998.93</v>
      </c>
    </row>
    <row r="30" spans="1:7" ht="12" x14ac:dyDescent="0.15">
      <c r="A30" s="4" t="s">
        <v>52</v>
      </c>
      <c r="B30" s="17" t="s">
        <v>28</v>
      </c>
      <c r="C30" s="17" t="s">
        <v>28</v>
      </c>
      <c r="D30" s="17" t="s">
        <v>28</v>
      </c>
      <c r="E30" s="17" t="s">
        <v>28</v>
      </c>
      <c r="F30" s="17" t="s">
        <v>28</v>
      </c>
      <c r="G30" s="17" t="s">
        <v>28</v>
      </c>
    </row>
    <row r="31" spans="1:7" x14ac:dyDescent="0.15">
      <c r="A31" s="4" t="s">
        <v>53</v>
      </c>
      <c r="B31" s="17">
        <v>1.8280000000000001</v>
      </c>
      <c r="C31" s="17">
        <v>1.694</v>
      </c>
      <c r="D31" s="17">
        <v>1.4390000000000001</v>
      </c>
      <c r="E31" s="17">
        <v>1.139</v>
      </c>
      <c r="F31" s="17">
        <v>1.17</v>
      </c>
      <c r="G31" s="17">
        <v>1.1060000000000001</v>
      </c>
    </row>
    <row r="32" spans="1:7" x14ac:dyDescent="0.15">
      <c r="A32" s="4" t="s">
        <v>51</v>
      </c>
      <c r="B32" s="17">
        <v>3357.902</v>
      </c>
      <c r="C32" s="17">
        <v>3715.1379999999999</v>
      </c>
      <c r="D32" s="17">
        <v>4301.9949999999999</v>
      </c>
      <c r="E32" s="17">
        <v>4301.1989999999996</v>
      </c>
      <c r="F32" s="17">
        <v>3304.2979999999998</v>
      </c>
      <c r="G32" s="17">
        <v>3841.8339999999998</v>
      </c>
    </row>
    <row r="33" spans="1:7" x14ac:dyDescent="0.15">
      <c r="A33" s="9" t="s">
        <v>57</v>
      </c>
      <c r="B33" s="25">
        <v>6771.3509999999997</v>
      </c>
      <c r="C33" s="25">
        <v>7352.06</v>
      </c>
      <c r="D33" s="25">
        <v>7785.9309999999996</v>
      </c>
      <c r="E33" s="25">
        <v>7349.8329999999996</v>
      </c>
      <c r="F33" s="25">
        <v>6948.06</v>
      </c>
      <c r="G33" s="25">
        <v>7841.87</v>
      </c>
    </row>
    <row r="34" spans="1:7" x14ac:dyDescent="0.15">
      <c r="A34" s="4"/>
      <c r="B34" s="4"/>
      <c r="C34" s="4"/>
      <c r="D34" s="4"/>
      <c r="E34" s="4"/>
      <c r="F34" s="4"/>
      <c r="G34" s="4"/>
    </row>
    <row r="35" spans="1:7" x14ac:dyDescent="0.15">
      <c r="A35" s="11"/>
      <c r="B35" s="11"/>
      <c r="C35" s="11"/>
      <c r="D35" s="11"/>
      <c r="E35" s="11"/>
      <c r="F35" s="11"/>
      <c r="G35" s="11"/>
    </row>
    <row r="36" spans="1:7" ht="96" x14ac:dyDescent="0.15">
      <c r="A36" s="44" t="s">
        <v>341</v>
      </c>
    </row>
    <row r="37" spans="1:7" ht="60" x14ac:dyDescent="0.15">
      <c r="A37" s="44" t="s">
        <v>342</v>
      </c>
    </row>
    <row r="39" spans="1:7" ht="25" customHeight="1" x14ac:dyDescent="0.15">
      <c r="A39" s="43" t="s">
        <v>328</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E764B-9C59-2141-8354-48D4284583C5}">
  <sheetPr>
    <outlinePr summaryBelow="0" summaryRight="0"/>
    <pageSetUpPr autoPageBreaks="0"/>
  </sheetPr>
  <dimension ref="A5:IU88"/>
  <sheetViews>
    <sheetView workbookViewId="0"/>
  </sheetViews>
  <sheetFormatPr baseColWidth="10" defaultRowHeight="11" x14ac:dyDescent="0.15"/>
  <cols>
    <col min="1" max="1" width="45.83203125" customWidth="1"/>
    <col min="2" max="7" width="14.83203125" customWidth="1"/>
    <col min="8" max="256" width="8.83203125" customWidth="1"/>
  </cols>
  <sheetData>
    <row r="5" spans="1:255" ht="17" x14ac:dyDescent="0.2">
      <c r="A5" s="1" t="s">
        <v>343</v>
      </c>
    </row>
    <row r="7" spans="1:255" ht="12" x14ac:dyDescent="0.15">
      <c r="A7" s="2" t="s">
        <v>344</v>
      </c>
      <c r="B7" s="3" t="s">
        <v>345</v>
      </c>
      <c r="C7" t="s">
        <v>78</v>
      </c>
      <c r="D7" s="4" t="s">
        <v>4</v>
      </c>
      <c r="E7" s="3" t="s">
        <v>346</v>
      </c>
      <c r="F7" t="s">
        <v>80</v>
      </c>
    </row>
    <row r="8" spans="1:255" x14ac:dyDescent="0.15">
      <c r="A8" s="4"/>
      <c r="B8" s="3" t="s">
        <v>347</v>
      </c>
      <c r="C8" t="s">
        <v>83</v>
      </c>
      <c r="D8" s="4" t="s">
        <v>4</v>
      </c>
      <c r="E8" s="3" t="s">
        <v>348</v>
      </c>
      <c r="F8" t="s">
        <v>6</v>
      </c>
    </row>
    <row r="9" spans="1:255" x14ac:dyDescent="0.15">
      <c r="A9" s="4"/>
      <c r="B9" s="3" t="s">
        <v>349</v>
      </c>
      <c r="C9" t="s">
        <v>10</v>
      </c>
      <c r="D9" s="4" t="s">
        <v>4</v>
      </c>
      <c r="E9" s="3" t="s">
        <v>350</v>
      </c>
      <c r="F9" s="5" t="s">
        <v>12</v>
      </c>
    </row>
    <row r="10" spans="1:255" x14ac:dyDescent="0.15">
      <c r="A10" s="4"/>
      <c r="B10" s="3" t="s">
        <v>351</v>
      </c>
      <c r="C10" t="s">
        <v>8</v>
      </c>
      <c r="D10" s="4" t="s">
        <v>4</v>
      </c>
      <c r="E10" s="23"/>
      <c r="F10" s="23"/>
    </row>
    <row r="13" spans="1:255" x14ac:dyDescent="0.15">
      <c r="A13" s="6" t="s">
        <v>352</v>
      </c>
      <c r="B13" s="6"/>
      <c r="C13" s="6"/>
      <c r="D13" s="6"/>
      <c r="E13" s="6"/>
      <c r="F13" s="6"/>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c r="FT13" s="61"/>
      <c r="FU13" s="61"/>
      <c r="FV13" s="61"/>
      <c r="FW13" s="61"/>
      <c r="FX13" s="61"/>
      <c r="FY13" s="61"/>
      <c r="FZ13" s="61"/>
      <c r="GA13" s="61"/>
      <c r="GB13" s="61"/>
      <c r="GC13" s="61"/>
      <c r="GD13" s="61"/>
      <c r="GE13" s="61"/>
      <c r="GF13" s="61"/>
      <c r="GG13" s="61"/>
      <c r="GH13" s="61"/>
      <c r="GI13" s="61"/>
      <c r="GJ13" s="61"/>
      <c r="GK13" s="61"/>
      <c r="GL13" s="61"/>
      <c r="GM13" s="61"/>
      <c r="GN13" s="61"/>
      <c r="GO13" s="61"/>
      <c r="GP13" s="61"/>
      <c r="GQ13" s="61"/>
      <c r="GR13" s="61"/>
      <c r="GS13" s="61"/>
      <c r="GT13" s="61"/>
      <c r="GU13" s="61"/>
      <c r="GV13" s="61"/>
      <c r="GW13" s="61"/>
      <c r="GX13" s="61"/>
      <c r="GY13" s="61"/>
      <c r="GZ13" s="61"/>
      <c r="HA13" s="61"/>
      <c r="HB13" s="61"/>
      <c r="HC13" s="61"/>
      <c r="HD13" s="61"/>
      <c r="HE13" s="61"/>
      <c r="HF13" s="61"/>
      <c r="HG13" s="61"/>
      <c r="HH13" s="61"/>
      <c r="HI13" s="61"/>
      <c r="HJ13" s="61"/>
      <c r="HK13" s="61"/>
      <c r="HL13" s="61"/>
      <c r="HM13" s="61"/>
      <c r="HN13" s="61"/>
      <c r="HO13" s="61"/>
      <c r="HP13" s="61"/>
      <c r="HQ13" s="61"/>
      <c r="HR13" s="61"/>
      <c r="HS13" s="61"/>
      <c r="HT13" s="61"/>
      <c r="HU13" s="61"/>
      <c r="HV13" s="61"/>
      <c r="HW13" s="61"/>
      <c r="HX13" s="61"/>
      <c r="HY13" s="61"/>
      <c r="HZ13" s="61"/>
      <c r="IA13" s="61"/>
      <c r="IB13" s="61"/>
      <c r="IC13" s="61"/>
      <c r="ID13" s="61"/>
      <c r="IE13" s="61"/>
      <c r="IF13" s="61"/>
      <c r="IG13" s="61"/>
      <c r="IH13" s="61"/>
      <c r="II13" s="61"/>
      <c r="IJ13" s="61"/>
      <c r="IK13" s="61"/>
      <c r="IL13" s="61"/>
      <c r="IM13" s="61"/>
      <c r="IN13" s="61"/>
      <c r="IO13" s="61"/>
      <c r="IP13" s="61"/>
      <c r="IQ13" s="61"/>
      <c r="IR13" s="61"/>
      <c r="IS13" s="61"/>
      <c r="IT13" s="61"/>
      <c r="IU13" s="61"/>
    </row>
    <row r="14" spans="1:255" ht="24" x14ac:dyDescent="0.15">
      <c r="A14" s="7" t="s">
        <v>353</v>
      </c>
      <c r="B14" s="89" t="s">
        <v>354</v>
      </c>
      <c r="C14" s="90"/>
      <c r="D14" s="89" t="s">
        <v>355</v>
      </c>
      <c r="E14" s="91"/>
      <c r="F14" s="92" t="s">
        <v>356</v>
      </c>
      <c r="G14" s="91"/>
    </row>
    <row r="15" spans="1:255" ht="12" x14ac:dyDescent="0.15">
      <c r="A15" s="8" t="s">
        <v>357</v>
      </c>
      <c r="B15" s="13" t="s">
        <v>358</v>
      </c>
      <c r="C15" s="13"/>
      <c r="D15" s="13" t="s">
        <v>358</v>
      </c>
      <c r="E15" s="47"/>
      <c r="F15" s="47" t="s">
        <v>358</v>
      </c>
      <c r="G15" s="47"/>
    </row>
    <row r="16" spans="1:255" ht="12" x14ac:dyDescent="0.15">
      <c r="A16" s="7" t="s">
        <v>359</v>
      </c>
      <c r="B16" s="12" t="s">
        <v>360</v>
      </c>
      <c r="C16" s="12" t="s">
        <v>361</v>
      </c>
      <c r="D16" s="12" t="s">
        <v>360</v>
      </c>
      <c r="E16" s="48" t="s">
        <v>361</v>
      </c>
      <c r="F16" s="48" t="s">
        <v>360</v>
      </c>
      <c r="G16" s="48" t="s">
        <v>361</v>
      </c>
    </row>
    <row r="17" spans="1:255" x14ac:dyDescent="0.15">
      <c r="A17" s="9" t="s">
        <v>34</v>
      </c>
      <c r="B17" s="4"/>
      <c r="C17" s="45"/>
      <c r="D17" s="4"/>
      <c r="F17" s="42"/>
    </row>
    <row r="18" spans="1:255" x14ac:dyDescent="0.15">
      <c r="A18" s="4" t="s">
        <v>228</v>
      </c>
      <c r="B18" s="17">
        <v>3607.96</v>
      </c>
      <c r="C18" s="15">
        <v>0.51784452005199999</v>
      </c>
      <c r="D18" s="17">
        <v>4301.9949999999999</v>
      </c>
      <c r="E18" s="49">
        <v>0.55253443679400005</v>
      </c>
      <c r="F18" s="51">
        <v>3841.8339999999998</v>
      </c>
      <c r="G18" s="49">
        <v>0.489912992692</v>
      </c>
    </row>
    <row r="19" spans="1:255" x14ac:dyDescent="0.15">
      <c r="A19" s="4" t="s">
        <v>362</v>
      </c>
      <c r="B19" s="17">
        <v>3357.1770000000001</v>
      </c>
      <c r="C19" s="15">
        <v>0.48185005163400002</v>
      </c>
      <c r="D19" s="17">
        <v>3482.4969999999998</v>
      </c>
      <c r="E19" s="49">
        <v>0.447280742663</v>
      </c>
      <c r="F19" s="51">
        <v>3998.93</v>
      </c>
      <c r="G19" s="49">
        <v>0.50994596952000004</v>
      </c>
    </row>
    <row r="20" spans="1:255" x14ac:dyDescent="0.15">
      <c r="A20" s="4" t="s">
        <v>232</v>
      </c>
      <c r="B20" s="17">
        <v>2.1280000000000001</v>
      </c>
      <c r="C20" s="15">
        <v>3.05428314E-4</v>
      </c>
      <c r="D20" s="17">
        <v>1.4390000000000001</v>
      </c>
      <c r="E20" s="49">
        <v>1.84820544E-4</v>
      </c>
      <c r="F20" s="51">
        <v>1.1060000000000001</v>
      </c>
      <c r="G20" s="49">
        <v>1.4103778799999999E-4</v>
      </c>
    </row>
    <row r="21" spans="1:255" x14ac:dyDescent="0.15">
      <c r="A21" s="9" t="s">
        <v>363</v>
      </c>
      <c r="B21" s="14">
        <v>6967.2650000000003</v>
      </c>
      <c r="C21" s="46">
        <v>1</v>
      </c>
      <c r="D21" s="14">
        <v>7785.9309999999996</v>
      </c>
      <c r="E21" s="50">
        <v>1</v>
      </c>
      <c r="F21" s="52">
        <v>7841.87</v>
      </c>
      <c r="G21" s="50">
        <v>1</v>
      </c>
    </row>
    <row r="22" spans="1:255" x14ac:dyDescent="0.15">
      <c r="A22" s="4"/>
      <c r="B22" s="4"/>
      <c r="C22" s="45"/>
      <c r="D22" s="4"/>
      <c r="F22" s="42"/>
    </row>
    <row r="23" spans="1:255" x14ac:dyDescent="0.15">
      <c r="A23" s="11"/>
      <c r="B23" s="11"/>
      <c r="C23" s="11"/>
      <c r="D23" s="11"/>
    </row>
    <row r="25" spans="1:255" x14ac:dyDescent="0.15">
      <c r="A25" s="6" t="s">
        <v>364</v>
      </c>
      <c r="B25" s="6"/>
      <c r="C25" s="6"/>
      <c r="D25" s="6"/>
      <c r="E25" s="6"/>
      <c r="F25" s="6"/>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M25" s="61"/>
      <c r="CN25" s="61"/>
      <c r="CO25" s="61"/>
      <c r="CP25" s="61"/>
      <c r="CQ25" s="61"/>
      <c r="CR25" s="61"/>
      <c r="CS25" s="61"/>
      <c r="CT25" s="61"/>
      <c r="CU25" s="61"/>
      <c r="CV25" s="61"/>
      <c r="CW25" s="61"/>
      <c r="CX25" s="61"/>
      <c r="CY25" s="61"/>
      <c r="CZ25" s="61"/>
      <c r="DA25" s="61"/>
      <c r="DB25" s="61"/>
      <c r="DC25" s="61"/>
      <c r="DD25" s="61"/>
      <c r="DE25" s="61"/>
      <c r="DF25" s="61"/>
      <c r="DG25" s="61"/>
      <c r="DH25" s="61"/>
      <c r="DI25" s="61"/>
      <c r="DJ25" s="61"/>
      <c r="DK25" s="61"/>
      <c r="DL25" s="61"/>
      <c r="DM25" s="61"/>
      <c r="DN25" s="61"/>
      <c r="DO25" s="61"/>
      <c r="DP25" s="61"/>
      <c r="DQ25" s="61"/>
      <c r="DR25" s="61"/>
      <c r="DS25" s="61"/>
      <c r="DT25" s="61"/>
      <c r="DU25" s="61"/>
      <c r="DV25" s="61"/>
      <c r="DW25" s="61"/>
      <c r="DX25" s="61"/>
      <c r="DY25" s="61"/>
      <c r="DZ25" s="61"/>
      <c r="EA25" s="61"/>
      <c r="EB25" s="61"/>
      <c r="EC25" s="61"/>
      <c r="ED25" s="61"/>
      <c r="EE25" s="61"/>
      <c r="EF25" s="61"/>
      <c r="EG25" s="61"/>
      <c r="EH25" s="61"/>
      <c r="EI25" s="61"/>
      <c r="EJ25" s="61"/>
      <c r="EK25" s="61"/>
      <c r="EL25" s="61"/>
      <c r="EM25" s="61"/>
      <c r="EN25" s="61"/>
      <c r="EO25" s="61"/>
      <c r="EP25" s="61"/>
      <c r="EQ25" s="61"/>
      <c r="ER25" s="61"/>
      <c r="ES25" s="61"/>
      <c r="ET25" s="61"/>
      <c r="EU25" s="61"/>
      <c r="EV25" s="61"/>
      <c r="EW25" s="61"/>
      <c r="EX25" s="61"/>
      <c r="EY25" s="61"/>
      <c r="EZ25" s="61"/>
      <c r="FA25" s="61"/>
      <c r="FB25" s="61"/>
      <c r="FC25" s="61"/>
      <c r="FD25" s="61"/>
      <c r="FE25" s="61"/>
      <c r="FF25" s="61"/>
      <c r="FG25" s="61"/>
      <c r="FH25" s="61"/>
      <c r="FI25" s="61"/>
      <c r="FJ25" s="61"/>
      <c r="FK25" s="61"/>
      <c r="FL25" s="61"/>
      <c r="FM25" s="61"/>
      <c r="FN25" s="61"/>
      <c r="FO25" s="61"/>
      <c r="FP25" s="61"/>
      <c r="FQ25" s="61"/>
      <c r="FR25" s="61"/>
      <c r="FS25" s="61"/>
      <c r="FT25" s="61"/>
      <c r="FU25" s="61"/>
      <c r="FV25" s="61"/>
      <c r="FW25" s="61"/>
      <c r="FX25" s="61"/>
      <c r="FY25" s="61"/>
      <c r="FZ25" s="61"/>
      <c r="GA25" s="61"/>
      <c r="GB25" s="61"/>
      <c r="GC25" s="61"/>
      <c r="GD25" s="61"/>
      <c r="GE25" s="61"/>
      <c r="GF25" s="61"/>
      <c r="GG25" s="61"/>
      <c r="GH25" s="61"/>
      <c r="GI25" s="61"/>
      <c r="GJ25" s="61"/>
      <c r="GK25" s="61"/>
      <c r="GL25" s="61"/>
      <c r="GM25" s="61"/>
      <c r="GN25" s="61"/>
      <c r="GO25" s="61"/>
      <c r="GP25" s="61"/>
      <c r="GQ25" s="61"/>
      <c r="GR25" s="61"/>
      <c r="GS25" s="61"/>
      <c r="GT25" s="61"/>
      <c r="GU25" s="61"/>
      <c r="GV25" s="61"/>
      <c r="GW25" s="61"/>
      <c r="GX25" s="61"/>
      <c r="GY25" s="61"/>
      <c r="GZ25" s="61"/>
      <c r="HA25" s="61"/>
      <c r="HB25" s="61"/>
      <c r="HC25" s="61"/>
      <c r="HD25" s="61"/>
      <c r="HE25" s="61"/>
      <c r="HF25" s="61"/>
      <c r="HG25" s="61"/>
      <c r="HH25" s="61"/>
      <c r="HI25" s="61"/>
      <c r="HJ25" s="61"/>
      <c r="HK25" s="61"/>
      <c r="HL25" s="61"/>
      <c r="HM25" s="61"/>
      <c r="HN25" s="61"/>
      <c r="HO25" s="61"/>
      <c r="HP25" s="61"/>
      <c r="HQ25" s="61"/>
      <c r="HR25" s="61"/>
      <c r="HS25" s="61"/>
      <c r="HT25" s="61"/>
      <c r="HU25" s="61"/>
      <c r="HV25" s="61"/>
      <c r="HW25" s="61"/>
      <c r="HX25" s="61"/>
      <c r="HY25" s="61"/>
      <c r="HZ25" s="61"/>
      <c r="IA25" s="61"/>
      <c r="IB25" s="61"/>
      <c r="IC25" s="61"/>
      <c r="ID25" s="61"/>
      <c r="IE25" s="61"/>
      <c r="IF25" s="61"/>
      <c r="IG25" s="61"/>
      <c r="IH25" s="61"/>
      <c r="II25" s="61"/>
      <c r="IJ25" s="61"/>
      <c r="IK25" s="61"/>
      <c r="IL25" s="61"/>
      <c r="IM25" s="61"/>
      <c r="IN25" s="61"/>
      <c r="IO25" s="61"/>
      <c r="IP25" s="61"/>
      <c r="IQ25" s="61"/>
      <c r="IR25" s="61"/>
      <c r="IS25" s="61"/>
      <c r="IT25" s="61"/>
      <c r="IU25" s="61"/>
    </row>
    <row r="26" spans="1:255" ht="24" x14ac:dyDescent="0.15">
      <c r="A26" s="7" t="s">
        <v>353</v>
      </c>
      <c r="B26" s="89" t="s">
        <v>354</v>
      </c>
      <c r="C26" s="90"/>
      <c r="D26" s="89" t="s">
        <v>355</v>
      </c>
      <c r="E26" s="91"/>
      <c r="F26" s="92" t="s">
        <v>356</v>
      </c>
      <c r="G26" s="91"/>
    </row>
    <row r="27" spans="1:255" ht="12" x14ac:dyDescent="0.15">
      <c r="A27" s="8" t="s">
        <v>357</v>
      </c>
      <c r="B27" s="13" t="s">
        <v>358</v>
      </c>
      <c r="C27" s="13"/>
      <c r="D27" s="13" t="s">
        <v>358</v>
      </c>
      <c r="E27" s="47"/>
      <c r="F27" s="47" t="s">
        <v>358</v>
      </c>
      <c r="G27" s="47"/>
    </row>
    <row r="28" spans="1:255" ht="12" x14ac:dyDescent="0.15">
      <c r="A28" s="7" t="s">
        <v>359</v>
      </c>
      <c r="B28" s="12" t="s">
        <v>360</v>
      </c>
      <c r="C28" s="12" t="s">
        <v>361</v>
      </c>
      <c r="D28" s="12" t="s">
        <v>360</v>
      </c>
      <c r="E28" s="48" t="s">
        <v>361</v>
      </c>
      <c r="F28" s="48" t="s">
        <v>360</v>
      </c>
      <c r="G28" s="48" t="s">
        <v>361</v>
      </c>
    </row>
    <row r="29" spans="1:255" x14ac:dyDescent="0.15">
      <c r="A29" s="9" t="s">
        <v>34</v>
      </c>
      <c r="B29" s="4"/>
      <c r="C29" s="45"/>
      <c r="D29" s="4"/>
      <c r="F29" s="42"/>
    </row>
    <row r="30" spans="1:255" x14ac:dyDescent="0.15">
      <c r="A30" s="4" t="s">
        <v>365</v>
      </c>
      <c r="B30" s="17">
        <v>112.818</v>
      </c>
      <c r="C30" s="15">
        <v>3.1268999999999998E-2</v>
      </c>
      <c r="D30" s="17">
        <v>756.74699999999996</v>
      </c>
      <c r="E30" s="49">
        <v>0.17590600000000001</v>
      </c>
      <c r="F30" s="51" t="s">
        <v>28</v>
      </c>
      <c r="G30" s="49" t="s">
        <v>28</v>
      </c>
    </row>
    <row r="31" spans="1:255" x14ac:dyDescent="0.15">
      <c r="A31" s="4" t="s">
        <v>366</v>
      </c>
      <c r="B31" s="17">
        <v>1504.653</v>
      </c>
      <c r="C31" s="15">
        <v>0.41703699999999999</v>
      </c>
      <c r="D31" s="17">
        <v>1481.0640000000001</v>
      </c>
      <c r="E31" s="49">
        <v>0.344273</v>
      </c>
      <c r="F31" s="51">
        <v>1685.462</v>
      </c>
      <c r="G31" s="49">
        <v>0.43871199999999999</v>
      </c>
    </row>
    <row r="32" spans="1:255" x14ac:dyDescent="0.15">
      <c r="A32" s="4" t="s">
        <v>367</v>
      </c>
      <c r="B32" s="17">
        <v>1990.4880000000001</v>
      </c>
      <c r="C32" s="15">
        <v>0.55169299999999999</v>
      </c>
      <c r="D32" s="17">
        <v>2064.1840000000002</v>
      </c>
      <c r="E32" s="49">
        <v>0.47982000000000002</v>
      </c>
      <c r="F32" s="51">
        <v>2147.8829999999998</v>
      </c>
      <c r="G32" s="49">
        <v>0.55907700000000005</v>
      </c>
    </row>
    <row r="33" spans="1:7" x14ac:dyDescent="0.15">
      <c r="A33" s="9" t="s">
        <v>368</v>
      </c>
      <c r="B33" s="14">
        <v>3607.9589999999998</v>
      </c>
      <c r="C33" s="46">
        <v>0.99999899999999997</v>
      </c>
      <c r="D33" s="14">
        <v>4301.9949999999999</v>
      </c>
      <c r="E33" s="50">
        <v>1</v>
      </c>
      <c r="F33" s="52">
        <v>3833.3449999999998</v>
      </c>
      <c r="G33" s="50">
        <v>0.99778999999999995</v>
      </c>
    </row>
    <row r="34" spans="1:7" x14ac:dyDescent="0.15">
      <c r="A34" s="4"/>
      <c r="B34" s="4"/>
      <c r="C34" s="45"/>
      <c r="D34" s="4"/>
      <c r="F34" s="42"/>
    </row>
    <row r="35" spans="1:7" ht="12" x14ac:dyDescent="0.15">
      <c r="A35" s="4" t="s">
        <v>369</v>
      </c>
      <c r="B35" s="17">
        <v>1E-3</v>
      </c>
      <c r="C35" s="15">
        <v>0</v>
      </c>
      <c r="D35" s="17" t="s">
        <v>28</v>
      </c>
      <c r="E35" s="49" t="s">
        <v>28</v>
      </c>
      <c r="F35" s="51">
        <v>8.4890000000000008</v>
      </c>
      <c r="G35" s="49">
        <v>2.209E-3</v>
      </c>
    </row>
    <row r="36" spans="1:7" x14ac:dyDescent="0.15">
      <c r="A36" s="9" t="s">
        <v>370</v>
      </c>
      <c r="B36" s="14">
        <v>3607.96</v>
      </c>
      <c r="C36" s="46">
        <v>1</v>
      </c>
      <c r="D36" s="14">
        <v>4301.9949999999999</v>
      </c>
      <c r="E36" s="50">
        <v>1</v>
      </c>
      <c r="F36" s="52">
        <v>3841.8339999999998</v>
      </c>
      <c r="G36" s="50">
        <v>1</v>
      </c>
    </row>
    <row r="37" spans="1:7" x14ac:dyDescent="0.15">
      <c r="A37" s="4"/>
      <c r="B37" s="4"/>
      <c r="C37" s="45"/>
      <c r="D37" s="4"/>
      <c r="F37" s="42"/>
    </row>
    <row r="38" spans="1:7" x14ac:dyDescent="0.15">
      <c r="A38" s="9" t="s">
        <v>371</v>
      </c>
      <c r="B38" s="4"/>
      <c r="C38" s="45"/>
      <c r="D38" s="4"/>
      <c r="F38" s="42"/>
    </row>
    <row r="39" spans="1:7" ht="12" x14ac:dyDescent="0.15">
      <c r="A39" s="4" t="s">
        <v>372</v>
      </c>
      <c r="B39" s="17">
        <v>657.18200000000002</v>
      </c>
      <c r="C39" s="15" t="s">
        <v>28</v>
      </c>
      <c r="D39" s="17">
        <v>344</v>
      </c>
      <c r="E39" s="49" t="s">
        <v>28</v>
      </c>
      <c r="F39" s="51">
        <v>463</v>
      </c>
      <c r="G39" s="49" t="s">
        <v>28</v>
      </c>
    </row>
    <row r="40" spans="1:7" ht="12" x14ac:dyDescent="0.15">
      <c r="A40" s="9" t="s">
        <v>373</v>
      </c>
      <c r="B40" s="14">
        <v>657.18200000000002</v>
      </c>
      <c r="C40" s="46" t="s">
        <v>28</v>
      </c>
      <c r="D40" s="14">
        <v>344</v>
      </c>
      <c r="E40" s="50" t="s">
        <v>28</v>
      </c>
      <c r="F40" s="52">
        <v>463</v>
      </c>
      <c r="G40" s="50" t="s">
        <v>28</v>
      </c>
    </row>
    <row r="41" spans="1:7" x14ac:dyDescent="0.15">
      <c r="A41" s="4"/>
      <c r="B41" s="4"/>
      <c r="C41" s="45"/>
      <c r="D41" s="4"/>
      <c r="F41" s="42"/>
    </row>
    <row r="42" spans="1:7" x14ac:dyDescent="0.15">
      <c r="A42" s="9" t="s">
        <v>374</v>
      </c>
      <c r="B42" s="4"/>
      <c r="C42" s="45"/>
      <c r="D42" s="4"/>
      <c r="F42" s="42"/>
    </row>
    <row r="43" spans="1:7" ht="12" x14ac:dyDescent="0.15">
      <c r="A43" s="4" t="s">
        <v>375</v>
      </c>
      <c r="B43" s="17">
        <v>24.61</v>
      </c>
      <c r="C43" s="15" t="s">
        <v>28</v>
      </c>
      <c r="D43" s="17">
        <v>31.071000000000002</v>
      </c>
      <c r="E43" s="49" t="s">
        <v>28</v>
      </c>
      <c r="F43" s="51">
        <v>26.306999999999999</v>
      </c>
      <c r="G43" s="49" t="s">
        <v>28</v>
      </c>
    </row>
    <row r="44" spans="1:7" ht="12" x14ac:dyDescent="0.15">
      <c r="A44" s="4" t="s">
        <v>229</v>
      </c>
      <c r="B44" s="17">
        <v>3583.35</v>
      </c>
      <c r="C44" s="15" t="s">
        <v>28</v>
      </c>
      <c r="D44" s="17">
        <v>4270.924</v>
      </c>
      <c r="E44" s="49" t="s">
        <v>28</v>
      </c>
      <c r="F44" s="51">
        <v>3815.527</v>
      </c>
      <c r="G44" s="49" t="s">
        <v>28</v>
      </c>
    </row>
    <row r="45" spans="1:7" x14ac:dyDescent="0.15">
      <c r="A45" s="4" t="s">
        <v>376</v>
      </c>
      <c r="B45" s="17">
        <v>3607.9589999999998</v>
      </c>
      <c r="C45" s="15">
        <v>0.99999899999999997</v>
      </c>
      <c r="D45" s="17">
        <v>4301.9949999999999</v>
      </c>
      <c r="E45" s="49">
        <v>1</v>
      </c>
      <c r="F45" s="51">
        <v>3833.3449999999998</v>
      </c>
      <c r="G45" s="49">
        <v>0.99778999999999995</v>
      </c>
    </row>
    <row r="46" spans="1:7" x14ac:dyDescent="0.15">
      <c r="A46" s="4" t="s">
        <v>377</v>
      </c>
      <c r="B46" s="17">
        <v>441.392</v>
      </c>
      <c r="C46" s="15">
        <v>0.122338</v>
      </c>
      <c r="D46" s="17">
        <v>1291.336</v>
      </c>
      <c r="E46" s="49">
        <v>0.30017100000000002</v>
      </c>
      <c r="F46" s="51">
        <v>974.08199999999999</v>
      </c>
      <c r="G46" s="49">
        <v>0.25354599999999999</v>
      </c>
    </row>
    <row r="47" spans="1:7" x14ac:dyDescent="0.15">
      <c r="A47" s="4" t="s">
        <v>378</v>
      </c>
      <c r="B47" s="17">
        <v>3166.5680000000002</v>
      </c>
      <c r="C47" s="15">
        <v>0.87766100000000002</v>
      </c>
      <c r="D47" s="17">
        <v>3010.6590000000001</v>
      </c>
      <c r="E47" s="49">
        <v>0.69982800000000001</v>
      </c>
      <c r="F47" s="51">
        <v>2867.752</v>
      </c>
      <c r="G47" s="49">
        <v>0.74645300000000003</v>
      </c>
    </row>
    <row r="48" spans="1:7" x14ac:dyDescent="0.15">
      <c r="A48" s="4" t="s">
        <v>379</v>
      </c>
      <c r="B48" s="17">
        <v>1617.471</v>
      </c>
      <c r="C48" s="15">
        <v>0.44830599999999998</v>
      </c>
      <c r="D48" s="17">
        <v>2237.8110000000001</v>
      </c>
      <c r="E48" s="49">
        <v>0.52017899999999995</v>
      </c>
      <c r="F48" s="51">
        <v>1685.462</v>
      </c>
      <c r="G48" s="49">
        <v>0.43871199999999999</v>
      </c>
    </row>
    <row r="49" spans="1:7" x14ac:dyDescent="0.15">
      <c r="A49" s="4" t="s">
        <v>380</v>
      </c>
      <c r="B49" s="17">
        <v>1990.4880000000001</v>
      </c>
      <c r="C49" s="15">
        <v>0.55169299999999999</v>
      </c>
      <c r="D49" s="17">
        <v>2211.8679999999999</v>
      </c>
      <c r="E49" s="49">
        <v>0.51414899999999997</v>
      </c>
      <c r="F49" s="51">
        <v>2147.8829999999998</v>
      </c>
      <c r="G49" s="49">
        <v>0.55907700000000005</v>
      </c>
    </row>
    <row r="50" spans="1:7" ht="12" x14ac:dyDescent="0.15">
      <c r="A50" s="4" t="s">
        <v>381</v>
      </c>
      <c r="B50" s="17" t="s">
        <v>28</v>
      </c>
      <c r="C50" s="15" t="s">
        <v>28</v>
      </c>
      <c r="D50" s="17">
        <v>147.684</v>
      </c>
      <c r="E50" s="49">
        <v>3.4328999999999998E-2</v>
      </c>
      <c r="F50" s="51" t="s">
        <v>28</v>
      </c>
      <c r="G50" s="49" t="s">
        <v>28</v>
      </c>
    </row>
    <row r="51" spans="1:7" x14ac:dyDescent="0.15">
      <c r="A51" s="4" t="s">
        <v>382</v>
      </c>
      <c r="B51" s="17">
        <v>1990.4880000000001</v>
      </c>
      <c r="C51" s="15">
        <v>0.55169299999999999</v>
      </c>
      <c r="D51" s="17">
        <v>2211.8679999999999</v>
      </c>
      <c r="E51" s="49">
        <v>0.51414899999999997</v>
      </c>
      <c r="F51" s="51">
        <v>2147.8829999999998</v>
      </c>
      <c r="G51" s="49">
        <v>0.55907700000000005</v>
      </c>
    </row>
    <row r="52" spans="1:7" x14ac:dyDescent="0.15">
      <c r="A52" s="4" t="s">
        <v>383</v>
      </c>
      <c r="B52" s="17">
        <v>1617.471</v>
      </c>
      <c r="C52" s="15">
        <v>0.44830599999999998</v>
      </c>
      <c r="D52" s="17">
        <v>2090.127</v>
      </c>
      <c r="E52" s="49">
        <v>0.48585</v>
      </c>
      <c r="F52" s="51">
        <v>1685.462</v>
      </c>
      <c r="G52" s="49">
        <v>0.43871199999999999</v>
      </c>
    </row>
    <row r="53" spans="1:7" x14ac:dyDescent="0.15">
      <c r="A53" s="4" t="s">
        <v>384</v>
      </c>
      <c r="B53" s="17">
        <v>1617.471</v>
      </c>
      <c r="C53" s="15">
        <v>0.44830599999999998</v>
      </c>
      <c r="D53" s="17">
        <v>2090.127</v>
      </c>
      <c r="E53" s="49">
        <v>0.48585</v>
      </c>
      <c r="F53" s="51" t="s">
        <v>28</v>
      </c>
      <c r="G53" s="49" t="s">
        <v>28</v>
      </c>
    </row>
    <row r="54" spans="1:7" ht="12" x14ac:dyDescent="0.15">
      <c r="A54" s="4" t="s">
        <v>385</v>
      </c>
      <c r="B54" s="17" t="s">
        <v>28</v>
      </c>
      <c r="C54" s="15" t="s">
        <v>28</v>
      </c>
      <c r="D54" s="17" t="s">
        <v>28</v>
      </c>
      <c r="E54" s="49" t="s">
        <v>28</v>
      </c>
      <c r="F54" s="51">
        <v>8.4890000000000008</v>
      </c>
      <c r="G54" s="49">
        <v>2.209E-3</v>
      </c>
    </row>
    <row r="55" spans="1:7" x14ac:dyDescent="0.15">
      <c r="A55" s="4"/>
      <c r="B55" s="4"/>
      <c r="C55" s="45"/>
      <c r="D55" s="4"/>
      <c r="F55" s="42"/>
    </row>
    <row r="56" spans="1:7" x14ac:dyDescent="0.15">
      <c r="A56" s="9" t="s">
        <v>386</v>
      </c>
      <c r="B56" s="4"/>
      <c r="C56" s="45"/>
      <c r="D56" s="4"/>
      <c r="F56" s="42"/>
    </row>
    <row r="57" spans="1:7" ht="12" x14ac:dyDescent="0.15">
      <c r="A57" s="4" t="s">
        <v>387</v>
      </c>
      <c r="B57" s="20">
        <v>2.9185859999999999</v>
      </c>
      <c r="C57" s="15" t="s">
        <v>28</v>
      </c>
      <c r="D57" s="20">
        <v>3.4943409999999999</v>
      </c>
      <c r="E57" s="49" t="s">
        <v>28</v>
      </c>
      <c r="F57" s="53">
        <v>1.641194</v>
      </c>
      <c r="G57" s="49" t="s">
        <v>28</v>
      </c>
    </row>
    <row r="58" spans="1:7" ht="12" x14ac:dyDescent="0.15">
      <c r="A58" s="4" t="s">
        <v>388</v>
      </c>
      <c r="B58" s="20">
        <v>2.9386299999999999</v>
      </c>
      <c r="C58" s="15" t="s">
        <v>28</v>
      </c>
      <c r="D58" s="20">
        <v>3.5197620000000001</v>
      </c>
      <c r="E58" s="49" t="s">
        <v>28</v>
      </c>
      <c r="F58" s="53">
        <v>1.6525099999999999</v>
      </c>
      <c r="G58" s="49" t="s">
        <v>28</v>
      </c>
    </row>
    <row r="59" spans="1:7" ht="12" x14ac:dyDescent="0.15">
      <c r="A59" s="4" t="s">
        <v>389</v>
      </c>
      <c r="B59" s="20">
        <v>2.9386299999999999</v>
      </c>
      <c r="C59" s="15" t="s">
        <v>28</v>
      </c>
      <c r="D59" s="20">
        <v>3.5197620000000001</v>
      </c>
      <c r="E59" s="49" t="s">
        <v>28</v>
      </c>
      <c r="F59" s="53">
        <v>1.6488579999999999</v>
      </c>
      <c r="G59" s="49" t="s">
        <v>28</v>
      </c>
    </row>
    <row r="60" spans="1:7" ht="12" x14ac:dyDescent="0.15">
      <c r="A60" s="4" t="s">
        <v>390</v>
      </c>
      <c r="B60" s="20">
        <v>1.6212230000000001</v>
      </c>
      <c r="C60" s="15" t="s">
        <v>28</v>
      </c>
      <c r="D60" s="20">
        <v>1.8096829999999999</v>
      </c>
      <c r="E60" s="49" t="s">
        <v>28</v>
      </c>
      <c r="F60" s="53">
        <v>0.92388099999999995</v>
      </c>
      <c r="G60" s="49" t="s">
        <v>28</v>
      </c>
    </row>
    <row r="61" spans="1:7" ht="12" x14ac:dyDescent="0.15">
      <c r="A61" s="4" t="s">
        <v>391</v>
      </c>
      <c r="B61" s="20">
        <v>7.7131449999999999</v>
      </c>
      <c r="C61" s="15" t="s">
        <v>28</v>
      </c>
      <c r="D61" s="20">
        <v>9.3882960000000004</v>
      </c>
      <c r="E61" s="49" t="s">
        <v>28</v>
      </c>
      <c r="F61" s="53">
        <v>2.051504</v>
      </c>
      <c r="G61" s="49" t="s">
        <v>28</v>
      </c>
    </row>
    <row r="62" spans="1:7" ht="12" x14ac:dyDescent="0.15">
      <c r="A62" s="4" t="s">
        <v>392</v>
      </c>
      <c r="B62" s="20">
        <v>7.7661179999999996</v>
      </c>
      <c r="C62" s="15" t="s">
        <v>28</v>
      </c>
      <c r="D62" s="20">
        <v>9.4565959999999993</v>
      </c>
      <c r="E62" s="49" t="s">
        <v>28</v>
      </c>
      <c r="F62" s="53">
        <v>2.0656479999999999</v>
      </c>
      <c r="G62" s="49" t="s">
        <v>28</v>
      </c>
    </row>
    <row r="63" spans="1:7" ht="12" x14ac:dyDescent="0.15">
      <c r="A63" s="4" t="s">
        <v>393</v>
      </c>
      <c r="B63" s="20">
        <v>7.7661160000000002</v>
      </c>
      <c r="C63" s="15" t="s">
        <v>28</v>
      </c>
      <c r="D63" s="20">
        <v>9.4565959999999993</v>
      </c>
      <c r="E63" s="49" t="s">
        <v>28</v>
      </c>
      <c r="F63" s="53">
        <v>2.0610840000000001</v>
      </c>
      <c r="G63" s="49" t="s">
        <v>28</v>
      </c>
    </row>
    <row r="64" spans="1:7" ht="12" x14ac:dyDescent="0.15">
      <c r="A64" s="4" t="s">
        <v>394</v>
      </c>
      <c r="B64" s="20">
        <v>4.284516</v>
      </c>
      <c r="C64" s="15" t="s">
        <v>28</v>
      </c>
      <c r="D64" s="20">
        <v>4.8621030000000003</v>
      </c>
      <c r="E64" s="49" t="s">
        <v>28</v>
      </c>
      <c r="F64" s="53">
        <v>1.1548579999999999</v>
      </c>
      <c r="G64" s="49" t="s">
        <v>28</v>
      </c>
    </row>
    <row r="65" spans="1:7" x14ac:dyDescent="0.15">
      <c r="A65" s="4"/>
      <c r="B65" s="4"/>
      <c r="C65" s="45"/>
      <c r="D65" s="4"/>
      <c r="F65" s="42"/>
    </row>
    <row r="66" spans="1:7" x14ac:dyDescent="0.15">
      <c r="A66" s="9" t="s">
        <v>395</v>
      </c>
      <c r="B66" s="4"/>
      <c r="C66" s="45"/>
      <c r="D66" s="4"/>
      <c r="F66" s="42"/>
    </row>
    <row r="67" spans="1:7" x14ac:dyDescent="0.15">
      <c r="A67" s="4" t="s">
        <v>396</v>
      </c>
      <c r="B67" s="17">
        <v>441.392</v>
      </c>
      <c r="C67" s="15">
        <v>0.122338385126</v>
      </c>
      <c r="D67" s="17">
        <v>1291.336</v>
      </c>
      <c r="E67" s="49">
        <v>0.300171432091</v>
      </c>
      <c r="F67" s="51" t="s">
        <v>28</v>
      </c>
      <c r="G67" s="49" t="s">
        <v>28</v>
      </c>
    </row>
    <row r="68" spans="1:7" x14ac:dyDescent="0.15">
      <c r="A68" s="4" t="s">
        <v>397</v>
      </c>
      <c r="B68" s="17">
        <v>459.164445</v>
      </c>
      <c r="C68" s="15">
        <v>0.12726428369500001</v>
      </c>
      <c r="D68" s="17">
        <v>407.93223499999999</v>
      </c>
      <c r="E68" s="49">
        <v>9.4823967716999996E-2</v>
      </c>
      <c r="F68" s="51" t="s">
        <v>28</v>
      </c>
      <c r="G68" s="49" t="s">
        <v>28</v>
      </c>
    </row>
    <row r="69" spans="1:7" x14ac:dyDescent="0.15">
      <c r="A69" s="4" t="s">
        <v>398</v>
      </c>
      <c r="B69" s="17">
        <v>459.164445</v>
      </c>
      <c r="C69" s="15">
        <v>0.12726428369500001</v>
      </c>
      <c r="D69" s="17">
        <v>407.93223499999999</v>
      </c>
      <c r="E69" s="49">
        <v>9.4823967716999996E-2</v>
      </c>
      <c r="F69" s="51" t="s">
        <v>28</v>
      </c>
      <c r="G69" s="49" t="s">
        <v>28</v>
      </c>
    </row>
    <row r="70" spans="1:7" x14ac:dyDescent="0.15">
      <c r="A70" s="4" t="s">
        <v>399</v>
      </c>
      <c r="B70" s="17">
        <v>459.164445</v>
      </c>
      <c r="C70" s="15">
        <v>0.12726428369500001</v>
      </c>
      <c r="D70" s="17">
        <v>407.93223499999999</v>
      </c>
      <c r="E70" s="49">
        <v>9.4823967716999996E-2</v>
      </c>
      <c r="F70" s="51" t="s">
        <v>28</v>
      </c>
      <c r="G70" s="49" t="s">
        <v>28</v>
      </c>
    </row>
    <row r="71" spans="1:7" x14ac:dyDescent="0.15">
      <c r="A71" s="4" t="s">
        <v>400</v>
      </c>
      <c r="B71" s="17">
        <v>459.164445</v>
      </c>
      <c r="C71" s="15">
        <v>0.12726428369500001</v>
      </c>
      <c r="D71" s="17">
        <v>407.93223499999999</v>
      </c>
      <c r="E71" s="49">
        <v>9.4823967716999996E-2</v>
      </c>
      <c r="F71" s="51" t="s">
        <v>28</v>
      </c>
      <c r="G71" s="49" t="s">
        <v>28</v>
      </c>
    </row>
    <row r="72" spans="1:7" x14ac:dyDescent="0.15">
      <c r="A72" s="4" t="s">
        <v>401</v>
      </c>
      <c r="B72" s="17">
        <v>2278.0497799999998</v>
      </c>
      <c r="C72" s="15">
        <v>0.63139551990599996</v>
      </c>
      <c r="D72" s="17">
        <v>2923.0649400000002</v>
      </c>
      <c r="E72" s="49">
        <v>0.679467302961</v>
      </c>
      <c r="F72" s="51" t="s">
        <v>28</v>
      </c>
      <c r="G72" s="49" t="s">
        <v>28</v>
      </c>
    </row>
    <row r="73" spans="1:7" x14ac:dyDescent="0.15">
      <c r="A73" s="4" t="s">
        <v>402</v>
      </c>
      <c r="B73" s="17">
        <v>1329.91022</v>
      </c>
      <c r="C73" s="15">
        <v>0.36860448009399999</v>
      </c>
      <c r="D73" s="17">
        <v>1378.9300599999999</v>
      </c>
      <c r="E73" s="49">
        <v>0.320532697039</v>
      </c>
      <c r="F73" s="51" t="s">
        <v>28</v>
      </c>
      <c r="G73" s="49" t="s">
        <v>28</v>
      </c>
    </row>
    <row r="74" spans="1:7" x14ac:dyDescent="0.15">
      <c r="A74" s="4"/>
      <c r="B74" s="4"/>
      <c r="C74" s="45"/>
      <c r="D74" s="4"/>
      <c r="F74" s="42"/>
    </row>
    <row r="75" spans="1:7" ht="12" x14ac:dyDescent="0.15">
      <c r="A75" s="4" t="s">
        <v>403</v>
      </c>
      <c r="B75" s="17">
        <v>124.745</v>
      </c>
      <c r="C75" s="15" t="s">
        <v>28</v>
      </c>
      <c r="D75" s="17">
        <v>173.90299999999999</v>
      </c>
      <c r="E75" s="49" t="s">
        <v>28</v>
      </c>
      <c r="F75" s="51">
        <v>191.47</v>
      </c>
      <c r="G75" s="49" t="s">
        <v>28</v>
      </c>
    </row>
    <row r="76" spans="1:7" ht="12" x14ac:dyDescent="0.15">
      <c r="A76" s="4" t="s">
        <v>404</v>
      </c>
      <c r="B76" s="17">
        <v>133.95819499999999</v>
      </c>
      <c r="C76" s="15" t="s">
        <v>28</v>
      </c>
      <c r="D76" s="17">
        <v>127.837735</v>
      </c>
      <c r="E76" s="49" t="s">
        <v>28</v>
      </c>
      <c r="F76" s="51" t="s">
        <v>28</v>
      </c>
      <c r="G76" s="49" t="s">
        <v>28</v>
      </c>
    </row>
    <row r="77" spans="1:7" ht="12" x14ac:dyDescent="0.15">
      <c r="A77" s="4" t="s">
        <v>405</v>
      </c>
      <c r="B77" s="17">
        <v>133.95819499999999</v>
      </c>
      <c r="C77" s="15" t="s">
        <v>28</v>
      </c>
      <c r="D77" s="17">
        <v>127.837735</v>
      </c>
      <c r="E77" s="49" t="s">
        <v>28</v>
      </c>
      <c r="F77" s="51" t="s">
        <v>28</v>
      </c>
      <c r="G77" s="49" t="s">
        <v>28</v>
      </c>
    </row>
    <row r="78" spans="1:7" ht="12" x14ac:dyDescent="0.15">
      <c r="A78" s="4" t="s">
        <v>406</v>
      </c>
      <c r="B78" s="17">
        <v>133.95819499999999</v>
      </c>
      <c r="C78" s="15" t="s">
        <v>28</v>
      </c>
      <c r="D78" s="17">
        <v>127.837735</v>
      </c>
      <c r="E78" s="49" t="s">
        <v>28</v>
      </c>
      <c r="F78" s="51" t="s">
        <v>28</v>
      </c>
      <c r="G78" s="49" t="s">
        <v>28</v>
      </c>
    </row>
    <row r="79" spans="1:7" ht="12" x14ac:dyDescent="0.15">
      <c r="A79" s="4" t="s">
        <v>407</v>
      </c>
      <c r="B79" s="17">
        <v>133.95819499999999</v>
      </c>
      <c r="C79" s="15" t="s">
        <v>28</v>
      </c>
      <c r="D79" s="17">
        <v>127.837735</v>
      </c>
      <c r="E79" s="49" t="s">
        <v>28</v>
      </c>
      <c r="F79" s="51" t="s">
        <v>28</v>
      </c>
      <c r="G79" s="49" t="s">
        <v>28</v>
      </c>
    </row>
    <row r="80" spans="1:7" ht="12" x14ac:dyDescent="0.15">
      <c r="A80" s="4" t="s">
        <v>408</v>
      </c>
      <c r="B80" s="17">
        <v>660.57777999999996</v>
      </c>
      <c r="C80" s="15" t="s">
        <v>28</v>
      </c>
      <c r="D80" s="17">
        <v>685.25394000000006</v>
      </c>
      <c r="E80" s="49" t="s">
        <v>28</v>
      </c>
      <c r="F80" s="51">
        <v>191.47</v>
      </c>
      <c r="G80" s="49" t="s">
        <v>28</v>
      </c>
    </row>
    <row r="81" spans="1:7" ht="12" x14ac:dyDescent="0.15">
      <c r="A81" s="4" t="s">
        <v>409</v>
      </c>
      <c r="B81" s="17">
        <v>1329.91022</v>
      </c>
      <c r="C81" s="15" t="s">
        <v>28</v>
      </c>
      <c r="D81" s="17">
        <v>1378.9300599999999</v>
      </c>
      <c r="E81" s="49" t="s">
        <v>28</v>
      </c>
      <c r="F81" s="51">
        <v>1956.413</v>
      </c>
      <c r="G81" s="49" t="s">
        <v>28</v>
      </c>
    </row>
    <row r="82" spans="1:7" ht="12" x14ac:dyDescent="0.15">
      <c r="A82" s="4" t="s">
        <v>410</v>
      </c>
      <c r="B82" s="17" t="s">
        <v>28</v>
      </c>
      <c r="C82" s="15" t="s">
        <v>28</v>
      </c>
      <c r="D82" s="17">
        <v>175.45500000000001</v>
      </c>
      <c r="E82" s="49" t="s">
        <v>28</v>
      </c>
      <c r="F82" s="51" t="s">
        <v>28</v>
      </c>
      <c r="G82" s="49" t="s">
        <v>28</v>
      </c>
    </row>
    <row r="83" spans="1:7" x14ac:dyDescent="0.15">
      <c r="A83" s="4"/>
      <c r="B83" s="4"/>
      <c r="C83" s="45"/>
      <c r="D83" s="4"/>
      <c r="F83" s="42"/>
    </row>
    <row r="84" spans="1:7" x14ac:dyDescent="0.15">
      <c r="A84" s="9" t="s">
        <v>411</v>
      </c>
      <c r="B84" s="4"/>
      <c r="C84" s="45"/>
      <c r="D84" s="4"/>
      <c r="F84" s="42"/>
    </row>
    <row r="85" spans="1:7" ht="12" x14ac:dyDescent="0.15">
      <c r="A85" s="4" t="s">
        <v>412</v>
      </c>
      <c r="B85" s="27">
        <v>2.35E-2</v>
      </c>
      <c r="C85" s="15" t="s">
        <v>28</v>
      </c>
      <c r="D85" s="27">
        <v>3.4700000000000002E-2</v>
      </c>
      <c r="E85" s="49" t="s">
        <v>28</v>
      </c>
      <c r="F85" s="54">
        <v>4.3400000000000001E-2</v>
      </c>
      <c r="G85" s="49" t="s">
        <v>28</v>
      </c>
    </row>
    <row r="86" spans="1:7" x14ac:dyDescent="0.15">
      <c r="A86" s="4"/>
      <c r="B86" s="4"/>
      <c r="C86" s="45"/>
      <c r="D86" s="4"/>
      <c r="F86" s="42"/>
    </row>
    <row r="87" spans="1:7" ht="12" x14ac:dyDescent="0.15">
      <c r="A87" s="4" t="s">
        <v>151</v>
      </c>
      <c r="B87" s="28">
        <v>45245</v>
      </c>
      <c r="C87" s="15" t="s">
        <v>28</v>
      </c>
      <c r="D87" s="28">
        <v>45245</v>
      </c>
      <c r="E87" s="49" t="s">
        <v>28</v>
      </c>
      <c r="F87" s="55">
        <v>45463</v>
      </c>
      <c r="G87" s="49" t="s">
        <v>28</v>
      </c>
    </row>
    <row r="88" spans="1:7" ht="72" x14ac:dyDescent="0.15">
      <c r="A88" s="33" t="s">
        <v>72</v>
      </c>
      <c r="B88" s="11"/>
      <c r="C88" s="11"/>
      <c r="D88" s="11"/>
    </row>
  </sheetData>
  <mergeCells count="6">
    <mergeCell ref="B14:C14"/>
    <mergeCell ref="D14:E14"/>
    <mergeCell ref="F14:G14"/>
    <mergeCell ref="B26:C26"/>
    <mergeCell ref="D26:E26"/>
    <mergeCell ref="F26:G26"/>
  </mergeCells>
  <phoneticPr fontId="0" type="noConversion"/>
  <pageMargins left="0.2" right="0.2" top="0.5" bottom="0.5" header="0.5" footer="0.5"/>
  <pageSetup fitToWidth="0" fitToHeight="0"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01A8E-CC94-5249-94DB-4C6204D73EE9}">
  <sheetPr>
    <outlinePr summaryBelow="0" summaryRight="0"/>
    <pageSetUpPr autoPageBreaks="0"/>
  </sheetPr>
  <dimension ref="A5:IU42"/>
  <sheetViews>
    <sheetView workbookViewId="0"/>
  </sheetViews>
  <sheetFormatPr baseColWidth="10" defaultRowHeight="11" x14ac:dyDescent="0.15"/>
  <cols>
    <col min="1" max="1" width="20.83203125" customWidth="1"/>
    <col min="2" max="2" width="22.83203125" customWidth="1"/>
    <col min="3" max="3" width="15.83203125" customWidth="1"/>
    <col min="4" max="4" width="12.83203125" customWidth="1"/>
    <col min="5" max="5" width="19.83203125" customWidth="1"/>
    <col min="6" max="7" width="15.83203125" customWidth="1"/>
    <col min="8" max="8" width="10.83203125" customWidth="1"/>
    <col min="9" max="9" width="16.83203125" customWidth="1"/>
    <col min="10" max="10" width="7.83203125" customWidth="1"/>
    <col min="11" max="256" width="8.83203125" customWidth="1"/>
  </cols>
  <sheetData>
    <row r="5" spans="1:255" ht="17" x14ac:dyDescent="0.2">
      <c r="A5" s="1" t="s">
        <v>413</v>
      </c>
    </row>
    <row r="7" spans="1:255" ht="24" x14ac:dyDescent="0.15">
      <c r="A7" s="2" t="s">
        <v>414</v>
      </c>
      <c r="B7" s="3" t="s">
        <v>415</v>
      </c>
      <c r="C7" t="s">
        <v>80</v>
      </c>
      <c r="D7" s="4" t="s">
        <v>4</v>
      </c>
      <c r="E7" s="3" t="s">
        <v>416</v>
      </c>
      <c r="F7" t="s">
        <v>417</v>
      </c>
    </row>
    <row r="8" spans="1:255" x14ac:dyDescent="0.15">
      <c r="A8" s="4"/>
      <c r="B8" s="3" t="s">
        <v>418</v>
      </c>
      <c r="C8" t="s">
        <v>83</v>
      </c>
      <c r="D8" s="4" t="s">
        <v>4</v>
      </c>
      <c r="E8" s="3" t="s">
        <v>419</v>
      </c>
      <c r="F8" t="s">
        <v>6</v>
      </c>
    </row>
    <row r="9" spans="1:255" x14ac:dyDescent="0.15">
      <c r="A9" s="4"/>
      <c r="B9" s="3" t="s">
        <v>420</v>
      </c>
      <c r="C9" t="s">
        <v>10</v>
      </c>
      <c r="D9" s="4" t="s">
        <v>4</v>
      </c>
      <c r="E9" s="3" t="s">
        <v>421</v>
      </c>
      <c r="F9" s="5" t="s">
        <v>12</v>
      </c>
    </row>
    <row r="12" spans="1:255" x14ac:dyDescent="0.15">
      <c r="A12" s="6" t="s">
        <v>422</v>
      </c>
      <c r="B12" s="6"/>
      <c r="C12" s="6"/>
      <c r="D12" s="6"/>
      <c r="E12" s="6"/>
      <c r="F12" s="6"/>
      <c r="G12" s="6"/>
      <c r="H12" s="6"/>
      <c r="I12" s="6"/>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1"/>
      <c r="CE12" s="61"/>
      <c r="CF12" s="61"/>
      <c r="CG12" s="61"/>
      <c r="CH12" s="61"/>
      <c r="CI12" s="61"/>
      <c r="CJ12" s="61"/>
      <c r="CK12" s="61"/>
      <c r="CL12" s="61"/>
      <c r="CM12" s="61"/>
      <c r="CN12" s="61"/>
      <c r="CO12" s="61"/>
      <c r="CP12" s="61"/>
      <c r="CQ12" s="61"/>
      <c r="CR12" s="61"/>
      <c r="CS12" s="61"/>
      <c r="CT12" s="61"/>
      <c r="CU12" s="61"/>
      <c r="CV12" s="61"/>
      <c r="CW12" s="61"/>
      <c r="CX12" s="61"/>
      <c r="CY12" s="61"/>
      <c r="CZ12" s="61"/>
      <c r="DA12" s="61"/>
      <c r="DB12" s="61"/>
      <c r="DC12" s="61"/>
      <c r="DD12" s="61"/>
      <c r="DE12" s="61"/>
      <c r="DF12" s="61"/>
      <c r="DG12" s="61"/>
      <c r="DH12" s="61"/>
      <c r="DI12" s="61"/>
      <c r="DJ12" s="61"/>
      <c r="DK12" s="61"/>
      <c r="DL12" s="61"/>
      <c r="DM12" s="61"/>
      <c r="DN12" s="61"/>
      <c r="DO12" s="61"/>
      <c r="DP12" s="61"/>
      <c r="DQ12" s="61"/>
      <c r="DR12" s="61"/>
      <c r="DS12" s="61"/>
      <c r="DT12" s="61"/>
      <c r="DU12" s="61"/>
      <c r="DV12" s="61"/>
      <c r="DW12" s="61"/>
      <c r="DX12" s="61"/>
      <c r="DY12" s="61"/>
      <c r="DZ12" s="61"/>
      <c r="EA12" s="61"/>
      <c r="EB12" s="61"/>
      <c r="EC12" s="61"/>
      <c r="ED12" s="61"/>
      <c r="EE12" s="61"/>
      <c r="EF12" s="61"/>
      <c r="EG12" s="61"/>
      <c r="EH12" s="61"/>
      <c r="EI12" s="61"/>
      <c r="EJ12" s="61"/>
      <c r="EK12" s="61"/>
      <c r="EL12" s="61"/>
      <c r="EM12" s="61"/>
      <c r="EN12" s="61"/>
      <c r="EO12" s="61"/>
      <c r="EP12" s="61"/>
      <c r="EQ12" s="61"/>
      <c r="ER12" s="61"/>
      <c r="ES12" s="61"/>
      <c r="ET12" s="61"/>
      <c r="EU12" s="61"/>
      <c r="EV12" s="61"/>
      <c r="EW12" s="61"/>
      <c r="EX12" s="61"/>
      <c r="EY12" s="61"/>
      <c r="EZ12" s="61"/>
      <c r="FA12" s="61"/>
      <c r="FB12" s="61"/>
      <c r="FC12" s="61"/>
      <c r="FD12" s="61"/>
      <c r="FE12" s="61"/>
      <c r="FF12" s="61"/>
      <c r="FG12" s="61"/>
      <c r="FH12" s="61"/>
      <c r="FI12" s="61"/>
      <c r="FJ12" s="61"/>
      <c r="FK12" s="61"/>
      <c r="FL12" s="61"/>
      <c r="FM12" s="61"/>
      <c r="FN12" s="61"/>
      <c r="FO12" s="61"/>
      <c r="FP12" s="61"/>
      <c r="FQ12" s="61"/>
      <c r="FR12" s="61"/>
      <c r="FS12" s="61"/>
      <c r="FT12" s="61"/>
      <c r="FU12" s="61"/>
      <c r="FV12" s="61"/>
      <c r="FW12" s="61"/>
      <c r="FX12" s="61"/>
      <c r="FY12" s="61"/>
      <c r="FZ12" s="61"/>
      <c r="GA12" s="61"/>
      <c r="GB12" s="61"/>
      <c r="GC12" s="61"/>
      <c r="GD12" s="61"/>
      <c r="GE12" s="61"/>
      <c r="GF12" s="61"/>
      <c r="GG12" s="61"/>
      <c r="GH12" s="61"/>
      <c r="GI12" s="61"/>
      <c r="GJ12" s="61"/>
      <c r="GK12" s="61"/>
      <c r="GL12" s="61"/>
      <c r="GM12" s="61"/>
      <c r="GN12" s="61"/>
      <c r="GO12" s="61"/>
      <c r="GP12" s="61"/>
      <c r="GQ12" s="61"/>
      <c r="GR12" s="61"/>
      <c r="GS12" s="61"/>
      <c r="GT12" s="61"/>
      <c r="GU12" s="61"/>
      <c r="GV12" s="61"/>
      <c r="GW12" s="61"/>
      <c r="GX12" s="61"/>
      <c r="GY12" s="61"/>
      <c r="GZ12" s="61"/>
      <c r="HA12" s="61"/>
      <c r="HB12" s="61"/>
      <c r="HC12" s="61"/>
      <c r="HD12" s="61"/>
      <c r="HE12" s="61"/>
      <c r="HF12" s="61"/>
      <c r="HG12" s="61"/>
      <c r="HH12" s="61"/>
      <c r="HI12" s="61"/>
      <c r="HJ12" s="61"/>
      <c r="HK12" s="61"/>
      <c r="HL12" s="61"/>
      <c r="HM12" s="61"/>
      <c r="HN12" s="61"/>
      <c r="HO12" s="61"/>
      <c r="HP12" s="61"/>
      <c r="HQ12" s="61"/>
      <c r="HR12" s="61"/>
      <c r="HS12" s="61"/>
      <c r="HT12" s="61"/>
      <c r="HU12" s="61"/>
      <c r="HV12" s="61"/>
      <c r="HW12" s="61"/>
      <c r="HX12" s="61"/>
      <c r="HY12" s="61"/>
      <c r="HZ12" s="61"/>
      <c r="IA12" s="61"/>
      <c r="IB12" s="61"/>
      <c r="IC12" s="61"/>
      <c r="ID12" s="61"/>
      <c r="IE12" s="61"/>
      <c r="IF12" s="61"/>
      <c r="IG12" s="61"/>
      <c r="IH12" s="61"/>
      <c r="II12" s="61"/>
      <c r="IJ12" s="61"/>
      <c r="IK12" s="61"/>
      <c r="IL12" s="61"/>
      <c r="IM12" s="61"/>
      <c r="IN12" s="61"/>
      <c r="IO12" s="61"/>
      <c r="IP12" s="61"/>
      <c r="IQ12" s="61"/>
      <c r="IR12" s="61"/>
      <c r="IS12" s="61"/>
      <c r="IT12" s="61"/>
      <c r="IU12" s="61"/>
    </row>
    <row r="13" spans="1:255" ht="30" x14ac:dyDescent="0.3">
      <c r="A13" s="56" t="s">
        <v>423</v>
      </c>
      <c r="B13" s="56" t="s">
        <v>424</v>
      </c>
      <c r="C13" s="57" t="s">
        <v>425</v>
      </c>
      <c r="D13" s="57" t="s">
        <v>426</v>
      </c>
      <c r="E13" s="57" t="s">
        <v>427</v>
      </c>
      <c r="F13" s="57" t="s">
        <v>428</v>
      </c>
      <c r="G13" s="57" t="s">
        <v>429</v>
      </c>
      <c r="H13" s="57" t="s">
        <v>430</v>
      </c>
      <c r="I13" s="57" t="s">
        <v>431</v>
      </c>
      <c r="J13" s="57" t="s">
        <v>432</v>
      </c>
    </row>
    <row r="14" spans="1:255" ht="12" x14ac:dyDescent="0.15">
      <c r="A14" s="45" t="s">
        <v>433</v>
      </c>
      <c r="B14" s="45" t="s">
        <v>434</v>
      </c>
      <c r="C14" s="58">
        <v>610</v>
      </c>
      <c r="D14" s="59" t="s">
        <v>140</v>
      </c>
      <c r="E14" s="59" t="s">
        <v>140</v>
      </c>
      <c r="F14" s="60">
        <v>46109</v>
      </c>
      <c r="G14" s="59" t="s">
        <v>435</v>
      </c>
      <c r="H14" s="59" t="s">
        <v>436</v>
      </c>
      <c r="I14" s="59" t="s">
        <v>436</v>
      </c>
      <c r="J14" s="59" t="s">
        <v>24</v>
      </c>
    </row>
    <row r="15" spans="1:255" ht="12" x14ac:dyDescent="0.15">
      <c r="A15" s="45" t="s">
        <v>433</v>
      </c>
      <c r="B15" s="45" t="s">
        <v>434</v>
      </c>
      <c r="C15" s="58">
        <v>38.5</v>
      </c>
      <c r="D15" s="59" t="s">
        <v>140</v>
      </c>
      <c r="E15" s="59" t="s">
        <v>140</v>
      </c>
      <c r="F15" s="60">
        <v>45459</v>
      </c>
      <c r="G15" s="59" t="s">
        <v>435</v>
      </c>
      <c r="H15" s="59" t="s">
        <v>436</v>
      </c>
      <c r="I15" s="59" t="s">
        <v>436</v>
      </c>
      <c r="J15" s="59" t="s">
        <v>24</v>
      </c>
    </row>
    <row r="16" spans="1:255" ht="12" x14ac:dyDescent="0.15">
      <c r="A16" s="45" t="s">
        <v>433</v>
      </c>
      <c r="B16" s="45" t="s">
        <v>434</v>
      </c>
      <c r="C16" s="58">
        <v>16.100000000000001</v>
      </c>
      <c r="D16" s="59" t="s">
        <v>140</v>
      </c>
      <c r="E16" s="59" t="s">
        <v>140</v>
      </c>
      <c r="F16" s="60">
        <v>45534</v>
      </c>
      <c r="G16" s="59" t="s">
        <v>435</v>
      </c>
      <c r="H16" s="59" t="s">
        <v>436</v>
      </c>
      <c r="I16" s="59" t="s">
        <v>436</v>
      </c>
      <c r="J16" s="59" t="s">
        <v>24</v>
      </c>
    </row>
    <row r="17" spans="1:255" ht="12" x14ac:dyDescent="0.15">
      <c r="A17" s="45" t="s">
        <v>433</v>
      </c>
      <c r="B17" s="45" t="s">
        <v>434</v>
      </c>
      <c r="C17" s="58">
        <v>24.9</v>
      </c>
      <c r="D17" s="59" t="s">
        <v>140</v>
      </c>
      <c r="E17" s="59" t="s">
        <v>140</v>
      </c>
      <c r="F17" s="60">
        <v>45473</v>
      </c>
      <c r="G17" s="59" t="s">
        <v>435</v>
      </c>
      <c r="H17" s="59" t="s">
        <v>436</v>
      </c>
      <c r="I17" s="59" t="s">
        <v>436</v>
      </c>
      <c r="J17" s="59" t="s">
        <v>437</v>
      </c>
    </row>
    <row r="18" spans="1:255" ht="12" x14ac:dyDescent="0.15">
      <c r="A18" s="45" t="s">
        <v>433</v>
      </c>
      <c r="B18" s="45" t="s">
        <v>434</v>
      </c>
      <c r="C18" s="58">
        <v>192.8</v>
      </c>
      <c r="D18" s="59" t="s">
        <v>140</v>
      </c>
      <c r="E18" s="59" t="s">
        <v>140</v>
      </c>
      <c r="F18" s="60">
        <v>45607</v>
      </c>
      <c r="G18" s="59" t="s">
        <v>435</v>
      </c>
      <c r="H18" s="59" t="s">
        <v>436</v>
      </c>
      <c r="I18" s="59" t="s">
        <v>436</v>
      </c>
      <c r="J18" s="59" t="s">
        <v>24</v>
      </c>
    </row>
    <row r="19" spans="1:255" ht="12" x14ac:dyDescent="0.15">
      <c r="A19" s="45" t="s">
        <v>433</v>
      </c>
      <c r="B19" s="45" t="s">
        <v>434</v>
      </c>
      <c r="C19" s="58">
        <v>111.5</v>
      </c>
      <c r="D19" s="59" t="s">
        <v>140</v>
      </c>
      <c r="E19" s="59" t="s">
        <v>140</v>
      </c>
      <c r="F19" s="60">
        <v>45687</v>
      </c>
      <c r="G19" s="59" t="s">
        <v>435</v>
      </c>
      <c r="H19" s="59" t="s">
        <v>436</v>
      </c>
      <c r="I19" s="59" t="s">
        <v>436</v>
      </c>
      <c r="J19" s="59" t="s">
        <v>24</v>
      </c>
    </row>
    <row r="20" spans="1:255" ht="12" x14ac:dyDescent="0.15">
      <c r="A20" s="45" t="s">
        <v>433</v>
      </c>
      <c r="B20" s="45" t="s">
        <v>434</v>
      </c>
      <c r="C20" s="58">
        <v>235.8</v>
      </c>
      <c r="D20" s="59" t="s">
        <v>140</v>
      </c>
      <c r="E20" s="59" t="s">
        <v>140</v>
      </c>
      <c r="F20" s="60">
        <v>45828</v>
      </c>
      <c r="G20" s="59" t="s">
        <v>435</v>
      </c>
      <c r="H20" s="59" t="s">
        <v>436</v>
      </c>
      <c r="I20" s="59" t="s">
        <v>436</v>
      </c>
      <c r="J20" s="59" t="s">
        <v>437</v>
      </c>
    </row>
    <row r="21" spans="1:255" ht="12" x14ac:dyDescent="0.15">
      <c r="A21" s="45" t="s">
        <v>433</v>
      </c>
      <c r="B21" s="45" t="s">
        <v>434</v>
      </c>
      <c r="C21" s="58">
        <v>103.8</v>
      </c>
      <c r="D21" s="59" t="s">
        <v>140</v>
      </c>
      <c r="E21" s="59" t="s">
        <v>140</v>
      </c>
      <c r="F21" s="60">
        <v>45343</v>
      </c>
      <c r="G21" s="59" t="s">
        <v>435</v>
      </c>
      <c r="H21" s="59" t="s">
        <v>436</v>
      </c>
      <c r="I21" s="59" t="s">
        <v>436</v>
      </c>
      <c r="J21" s="59" t="s">
        <v>437</v>
      </c>
    </row>
    <row r="22" spans="1:255" ht="12" x14ac:dyDescent="0.15">
      <c r="A22" s="45" t="s">
        <v>438</v>
      </c>
      <c r="B22" s="45" t="s">
        <v>434</v>
      </c>
      <c r="C22" s="58">
        <v>147.69999999999999</v>
      </c>
      <c r="D22" s="59" t="s">
        <v>140</v>
      </c>
      <c r="E22" s="59" t="s">
        <v>140</v>
      </c>
      <c r="F22" s="60">
        <v>45473</v>
      </c>
      <c r="G22" s="59" t="s">
        <v>435</v>
      </c>
      <c r="H22" s="59" t="s">
        <v>439</v>
      </c>
      <c r="I22" s="59" t="s">
        <v>436</v>
      </c>
      <c r="J22" s="59" t="s">
        <v>437</v>
      </c>
    </row>
    <row r="23" spans="1:255" ht="12" x14ac:dyDescent="0.15">
      <c r="A23" s="45" t="s">
        <v>440</v>
      </c>
      <c r="B23" s="45" t="s">
        <v>441</v>
      </c>
      <c r="C23" s="58">
        <v>2064.1999999999998</v>
      </c>
      <c r="D23" s="59" t="s">
        <v>140</v>
      </c>
      <c r="E23" s="59" t="s">
        <v>140</v>
      </c>
      <c r="F23" s="59" t="s">
        <v>28</v>
      </c>
      <c r="G23" s="59" t="s">
        <v>435</v>
      </c>
      <c r="H23" s="59" t="s">
        <v>439</v>
      </c>
      <c r="I23" s="59" t="s">
        <v>436</v>
      </c>
      <c r="J23" s="59" t="s">
        <v>24</v>
      </c>
    </row>
    <row r="24" spans="1:255" ht="12" x14ac:dyDescent="0.15">
      <c r="A24" s="45" t="s">
        <v>442</v>
      </c>
      <c r="B24" s="45" t="s">
        <v>443</v>
      </c>
      <c r="C24" s="58">
        <v>756.7</v>
      </c>
      <c r="D24" s="59" t="s">
        <v>140</v>
      </c>
      <c r="E24" s="59" t="s">
        <v>140</v>
      </c>
      <c r="F24" s="60">
        <v>46265</v>
      </c>
      <c r="G24" s="59" t="s">
        <v>435</v>
      </c>
      <c r="H24" s="59" t="s">
        <v>436</v>
      </c>
      <c r="I24" s="59" t="s">
        <v>436</v>
      </c>
      <c r="J24" s="59" t="s">
        <v>24</v>
      </c>
    </row>
    <row r="25" spans="1:255" x14ac:dyDescent="0.15">
      <c r="A25" s="44"/>
      <c r="B25" s="44"/>
      <c r="C25" s="44"/>
      <c r="D25" s="44"/>
      <c r="E25" s="44"/>
      <c r="F25" s="44"/>
      <c r="G25" s="44"/>
      <c r="H25" s="44"/>
      <c r="I25" s="44"/>
      <c r="J25" s="44"/>
    </row>
    <row r="29" spans="1:255" x14ac:dyDescent="0.15">
      <c r="A29" s="6" t="s">
        <v>444</v>
      </c>
      <c r="B29" s="6"/>
      <c r="C29" s="6"/>
      <c r="D29" s="6"/>
      <c r="E29" s="6"/>
      <c r="F29" s="6"/>
      <c r="G29" s="6"/>
      <c r="H29" s="6"/>
      <c r="I29" s="6"/>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M29" s="61"/>
      <c r="CN29" s="61"/>
      <c r="CO29" s="61"/>
      <c r="CP29" s="61"/>
      <c r="CQ29" s="61"/>
      <c r="CR29" s="61"/>
      <c r="CS29" s="61"/>
      <c r="CT29" s="61"/>
      <c r="CU29" s="61"/>
      <c r="CV29" s="61"/>
      <c r="CW29" s="61"/>
      <c r="CX29" s="61"/>
      <c r="CY29" s="61"/>
      <c r="CZ29" s="61"/>
      <c r="DA29" s="61"/>
      <c r="DB29" s="61"/>
      <c r="DC29" s="61"/>
      <c r="DD29" s="61"/>
      <c r="DE29" s="61"/>
      <c r="DF29" s="61"/>
      <c r="DG29" s="61"/>
      <c r="DH29" s="61"/>
      <c r="DI29" s="61"/>
      <c r="DJ29" s="61"/>
      <c r="DK29" s="61"/>
      <c r="DL29" s="61"/>
      <c r="DM29" s="61"/>
      <c r="DN29" s="61"/>
      <c r="DO29" s="61"/>
      <c r="DP29" s="61"/>
      <c r="DQ29" s="61"/>
      <c r="DR29" s="61"/>
      <c r="DS29" s="61"/>
      <c r="DT29" s="61"/>
      <c r="DU29" s="61"/>
      <c r="DV29" s="61"/>
      <c r="DW29" s="61"/>
      <c r="DX29" s="61"/>
      <c r="DY29" s="61"/>
      <c r="DZ29" s="61"/>
      <c r="EA29" s="61"/>
      <c r="EB29" s="61"/>
      <c r="EC29" s="61"/>
      <c r="ED29" s="61"/>
      <c r="EE29" s="61"/>
      <c r="EF29" s="61"/>
      <c r="EG29" s="61"/>
      <c r="EH29" s="61"/>
      <c r="EI29" s="61"/>
      <c r="EJ29" s="61"/>
      <c r="EK29" s="61"/>
      <c r="EL29" s="61"/>
      <c r="EM29" s="61"/>
      <c r="EN29" s="61"/>
      <c r="EO29" s="61"/>
      <c r="EP29" s="61"/>
      <c r="EQ29" s="61"/>
      <c r="ER29" s="61"/>
      <c r="ES29" s="61"/>
      <c r="ET29" s="61"/>
      <c r="EU29" s="61"/>
      <c r="EV29" s="61"/>
      <c r="EW29" s="61"/>
      <c r="EX29" s="61"/>
      <c r="EY29" s="61"/>
      <c r="EZ29" s="61"/>
      <c r="FA29" s="61"/>
      <c r="FB29" s="61"/>
      <c r="FC29" s="61"/>
      <c r="FD29" s="61"/>
      <c r="FE29" s="61"/>
      <c r="FF29" s="61"/>
      <c r="FG29" s="61"/>
      <c r="FH29" s="61"/>
      <c r="FI29" s="61"/>
      <c r="FJ29" s="61"/>
      <c r="FK29" s="61"/>
      <c r="FL29" s="61"/>
      <c r="FM29" s="61"/>
      <c r="FN29" s="61"/>
      <c r="FO29" s="61"/>
      <c r="FP29" s="61"/>
      <c r="FQ29" s="61"/>
      <c r="FR29" s="61"/>
      <c r="FS29" s="61"/>
      <c r="FT29" s="61"/>
      <c r="FU29" s="61"/>
      <c r="FV29" s="61"/>
      <c r="FW29" s="61"/>
      <c r="FX29" s="61"/>
      <c r="FY29" s="61"/>
      <c r="FZ29" s="61"/>
      <c r="GA29" s="61"/>
      <c r="GB29" s="61"/>
      <c r="GC29" s="61"/>
      <c r="GD29" s="61"/>
      <c r="GE29" s="61"/>
      <c r="GF29" s="61"/>
      <c r="GG29" s="61"/>
      <c r="GH29" s="61"/>
      <c r="GI29" s="61"/>
      <c r="GJ29" s="61"/>
      <c r="GK29" s="61"/>
      <c r="GL29" s="61"/>
      <c r="GM29" s="61"/>
      <c r="GN29" s="61"/>
      <c r="GO29" s="61"/>
      <c r="GP29" s="61"/>
      <c r="GQ29" s="61"/>
      <c r="GR29" s="61"/>
      <c r="GS29" s="61"/>
      <c r="GT29" s="61"/>
      <c r="GU29" s="61"/>
      <c r="GV29" s="61"/>
      <c r="GW29" s="61"/>
      <c r="GX29" s="61"/>
      <c r="GY29" s="61"/>
      <c r="GZ29" s="61"/>
      <c r="HA29" s="61"/>
      <c r="HB29" s="61"/>
      <c r="HC29" s="61"/>
      <c r="HD29" s="61"/>
      <c r="HE29" s="61"/>
      <c r="HF29" s="61"/>
      <c r="HG29" s="61"/>
      <c r="HH29" s="61"/>
      <c r="HI29" s="61"/>
      <c r="HJ29" s="61"/>
      <c r="HK29" s="61"/>
      <c r="HL29" s="61"/>
      <c r="HM29" s="61"/>
      <c r="HN29" s="61"/>
      <c r="HO29" s="61"/>
      <c r="HP29" s="61"/>
      <c r="HQ29" s="61"/>
      <c r="HR29" s="61"/>
      <c r="HS29" s="61"/>
      <c r="HT29" s="61"/>
      <c r="HU29" s="61"/>
      <c r="HV29" s="61"/>
      <c r="HW29" s="61"/>
      <c r="HX29" s="61"/>
      <c r="HY29" s="61"/>
      <c r="HZ29" s="61"/>
      <c r="IA29" s="61"/>
      <c r="IB29" s="61"/>
      <c r="IC29" s="61"/>
      <c r="ID29" s="61"/>
      <c r="IE29" s="61"/>
      <c r="IF29" s="61"/>
      <c r="IG29" s="61"/>
      <c r="IH29" s="61"/>
      <c r="II29" s="61"/>
      <c r="IJ29" s="61"/>
      <c r="IK29" s="61"/>
      <c r="IL29" s="61"/>
      <c r="IM29" s="61"/>
      <c r="IN29" s="61"/>
      <c r="IO29" s="61"/>
      <c r="IP29" s="61"/>
      <c r="IQ29" s="61"/>
      <c r="IR29" s="61"/>
      <c r="IS29" s="61"/>
      <c r="IT29" s="61"/>
      <c r="IU29" s="61"/>
    </row>
    <row r="30" spans="1:255" ht="30" x14ac:dyDescent="0.3">
      <c r="A30" s="56" t="s">
        <v>423</v>
      </c>
      <c r="B30" s="56" t="s">
        <v>424</v>
      </c>
      <c r="C30" s="57" t="s">
        <v>425</v>
      </c>
      <c r="D30" s="57" t="s">
        <v>426</v>
      </c>
      <c r="E30" s="57" t="s">
        <v>427</v>
      </c>
      <c r="F30" s="57" t="s">
        <v>428</v>
      </c>
      <c r="G30" s="57" t="s">
        <v>429</v>
      </c>
      <c r="H30" s="57" t="s">
        <v>430</v>
      </c>
      <c r="I30" s="57" t="s">
        <v>431</v>
      </c>
      <c r="J30" s="57" t="s">
        <v>432</v>
      </c>
    </row>
    <row r="31" spans="1:255" ht="12" x14ac:dyDescent="0.15">
      <c r="A31" s="45" t="s">
        <v>445</v>
      </c>
      <c r="B31" s="45" t="s">
        <v>434</v>
      </c>
      <c r="C31" s="58">
        <v>147.30000000000001</v>
      </c>
      <c r="D31" s="59" t="s">
        <v>140</v>
      </c>
      <c r="E31" s="59" t="s">
        <v>140</v>
      </c>
      <c r="F31" s="60">
        <v>44926</v>
      </c>
      <c r="G31" s="59" t="s">
        <v>435</v>
      </c>
      <c r="H31" s="59" t="s">
        <v>436</v>
      </c>
      <c r="I31" s="59" t="s">
        <v>436</v>
      </c>
      <c r="J31" s="59" t="s">
        <v>437</v>
      </c>
    </row>
    <row r="32" spans="1:255" ht="12" x14ac:dyDescent="0.15">
      <c r="A32" s="45" t="s">
        <v>445</v>
      </c>
      <c r="B32" s="45" t="s">
        <v>434</v>
      </c>
      <c r="C32" s="58">
        <v>118.2</v>
      </c>
      <c r="D32" s="59" t="s">
        <v>140</v>
      </c>
      <c r="E32" s="59" t="s">
        <v>140</v>
      </c>
      <c r="F32" s="60">
        <v>45343</v>
      </c>
      <c r="G32" s="59" t="s">
        <v>435</v>
      </c>
      <c r="H32" s="59" t="s">
        <v>436</v>
      </c>
      <c r="I32" s="59" t="s">
        <v>436</v>
      </c>
      <c r="J32" s="59" t="s">
        <v>437</v>
      </c>
    </row>
    <row r="33" spans="1:10" ht="12" x14ac:dyDescent="0.15">
      <c r="A33" s="45" t="s">
        <v>445</v>
      </c>
      <c r="B33" s="45" t="s">
        <v>434</v>
      </c>
      <c r="C33" s="58">
        <v>266.39999999999998</v>
      </c>
      <c r="D33" s="59" t="s">
        <v>140</v>
      </c>
      <c r="E33" s="59" t="s">
        <v>140</v>
      </c>
      <c r="F33" s="60">
        <v>45828</v>
      </c>
      <c r="G33" s="59" t="s">
        <v>435</v>
      </c>
      <c r="H33" s="59" t="s">
        <v>436</v>
      </c>
      <c r="I33" s="59" t="s">
        <v>436</v>
      </c>
      <c r="J33" s="59" t="s">
        <v>437</v>
      </c>
    </row>
    <row r="34" spans="1:10" ht="12" x14ac:dyDescent="0.15">
      <c r="A34" s="45" t="s">
        <v>445</v>
      </c>
      <c r="B34" s="45" t="s">
        <v>434</v>
      </c>
      <c r="C34" s="58">
        <v>113.9</v>
      </c>
      <c r="D34" s="59" t="s">
        <v>140</v>
      </c>
      <c r="E34" s="59" t="s">
        <v>140</v>
      </c>
      <c r="F34" s="60">
        <v>45687</v>
      </c>
      <c r="G34" s="59" t="s">
        <v>435</v>
      </c>
      <c r="H34" s="59" t="s">
        <v>436</v>
      </c>
      <c r="I34" s="59" t="s">
        <v>436</v>
      </c>
      <c r="J34" s="59" t="s">
        <v>24</v>
      </c>
    </row>
    <row r="35" spans="1:10" ht="12" x14ac:dyDescent="0.15">
      <c r="A35" s="45" t="s">
        <v>445</v>
      </c>
      <c r="B35" s="45" t="s">
        <v>434</v>
      </c>
      <c r="C35" s="58">
        <v>204.8</v>
      </c>
      <c r="D35" s="59" t="s">
        <v>140</v>
      </c>
      <c r="E35" s="59" t="s">
        <v>140</v>
      </c>
      <c r="F35" s="60">
        <v>45607</v>
      </c>
      <c r="G35" s="59" t="s">
        <v>435</v>
      </c>
      <c r="H35" s="59" t="s">
        <v>436</v>
      </c>
      <c r="I35" s="59" t="s">
        <v>436</v>
      </c>
      <c r="J35" s="59" t="s">
        <v>24</v>
      </c>
    </row>
    <row r="36" spans="1:10" ht="12" x14ac:dyDescent="0.15">
      <c r="A36" s="45" t="s">
        <v>445</v>
      </c>
      <c r="B36" s="45" t="s">
        <v>434</v>
      </c>
      <c r="C36" s="58">
        <v>16.3</v>
      </c>
      <c r="D36" s="59" t="s">
        <v>140</v>
      </c>
      <c r="E36" s="59" t="s">
        <v>140</v>
      </c>
      <c r="F36" s="60">
        <v>45016</v>
      </c>
      <c r="G36" s="59" t="s">
        <v>435</v>
      </c>
      <c r="H36" s="59" t="s">
        <v>436</v>
      </c>
      <c r="I36" s="59" t="s">
        <v>436</v>
      </c>
      <c r="J36" s="59" t="s">
        <v>24</v>
      </c>
    </row>
    <row r="37" spans="1:10" ht="12" x14ac:dyDescent="0.15">
      <c r="A37" s="45" t="s">
        <v>445</v>
      </c>
      <c r="B37" s="45" t="s">
        <v>434</v>
      </c>
      <c r="C37" s="58">
        <v>610</v>
      </c>
      <c r="D37" s="59" t="s">
        <v>140</v>
      </c>
      <c r="E37" s="59" t="s">
        <v>140</v>
      </c>
      <c r="F37" s="60">
        <v>45744</v>
      </c>
      <c r="G37" s="59" t="s">
        <v>435</v>
      </c>
      <c r="H37" s="59" t="s">
        <v>436</v>
      </c>
      <c r="I37" s="59" t="s">
        <v>436</v>
      </c>
      <c r="J37" s="59" t="s">
        <v>24</v>
      </c>
    </row>
    <row r="38" spans="1:10" ht="12" x14ac:dyDescent="0.15">
      <c r="A38" s="45" t="s">
        <v>445</v>
      </c>
      <c r="B38" s="45" t="s">
        <v>434</v>
      </c>
      <c r="C38" s="58">
        <v>27.9</v>
      </c>
      <c r="D38" s="59" t="s">
        <v>140</v>
      </c>
      <c r="E38" s="59" t="s">
        <v>140</v>
      </c>
      <c r="F38" s="60">
        <v>45473</v>
      </c>
      <c r="G38" s="59" t="s">
        <v>435</v>
      </c>
      <c r="H38" s="59" t="s">
        <v>436</v>
      </c>
      <c r="I38" s="59" t="s">
        <v>436</v>
      </c>
      <c r="J38" s="59" t="s">
        <v>437</v>
      </c>
    </row>
    <row r="39" spans="1:10" ht="12" x14ac:dyDescent="0.15">
      <c r="A39" s="45" t="s">
        <v>440</v>
      </c>
      <c r="B39" s="45" t="s">
        <v>441</v>
      </c>
      <c r="C39" s="58">
        <v>1990.5</v>
      </c>
      <c r="D39" s="59" t="s">
        <v>140</v>
      </c>
      <c r="E39" s="59" t="s">
        <v>140</v>
      </c>
      <c r="F39" s="59" t="s">
        <v>28</v>
      </c>
      <c r="G39" s="59" t="s">
        <v>435</v>
      </c>
      <c r="H39" s="59" t="s">
        <v>439</v>
      </c>
      <c r="I39" s="59" t="s">
        <v>436</v>
      </c>
      <c r="J39" s="59" t="s">
        <v>24</v>
      </c>
    </row>
    <row r="40" spans="1:10" ht="12" x14ac:dyDescent="0.15">
      <c r="A40" s="45" t="s">
        <v>442</v>
      </c>
      <c r="B40" s="45" t="s">
        <v>443</v>
      </c>
      <c r="C40" s="58">
        <v>112.8</v>
      </c>
      <c r="D40" s="59" t="s">
        <v>140</v>
      </c>
      <c r="E40" s="59" t="s">
        <v>140</v>
      </c>
      <c r="F40" s="60">
        <v>46265</v>
      </c>
      <c r="G40" s="59" t="s">
        <v>435</v>
      </c>
      <c r="H40" s="59" t="s">
        <v>436</v>
      </c>
      <c r="I40" s="59" t="s">
        <v>436</v>
      </c>
      <c r="J40" s="59" t="s">
        <v>24</v>
      </c>
    </row>
    <row r="41" spans="1:10" x14ac:dyDescent="0.15">
      <c r="A41" s="44"/>
      <c r="B41" s="44"/>
      <c r="C41" s="44"/>
      <c r="D41" s="44"/>
      <c r="E41" s="44"/>
      <c r="F41" s="44"/>
      <c r="G41" s="44"/>
      <c r="H41" s="44"/>
      <c r="I41" s="44"/>
      <c r="J41" s="44"/>
    </row>
    <row r="42" spans="1:10" x14ac:dyDescent="0.15">
      <c r="A42" s="22" t="s">
        <v>72</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885E3-CB47-3A45-A7B1-EE00950595B2}">
  <sheetPr>
    <outlinePr summaryBelow="0" summaryRight="0"/>
    <pageSetUpPr autoPageBreaks="0"/>
  </sheetPr>
  <dimension ref="A5:IU161"/>
  <sheetViews>
    <sheetView workbookViewId="0"/>
  </sheetViews>
  <sheetFormatPr baseColWidth="10" defaultRowHeight="11" x14ac:dyDescent="0.15"/>
  <cols>
    <col min="1" max="1" width="45.83203125" customWidth="1"/>
    <col min="2" max="7" width="14.83203125" customWidth="1"/>
    <col min="8" max="256" width="8.83203125" customWidth="1"/>
  </cols>
  <sheetData>
    <row r="5" spans="1:255" ht="17" x14ac:dyDescent="0.2">
      <c r="A5" s="1" t="s">
        <v>446</v>
      </c>
    </row>
    <row r="7" spans="1:255" x14ac:dyDescent="0.15">
      <c r="A7" s="4"/>
      <c r="B7" s="3" t="s">
        <v>447</v>
      </c>
      <c r="C7" t="s">
        <v>78</v>
      </c>
      <c r="D7" s="4" t="s">
        <v>4</v>
      </c>
      <c r="E7" s="3" t="s">
        <v>448</v>
      </c>
      <c r="F7" t="s">
        <v>80</v>
      </c>
    </row>
    <row r="8" spans="1:255" x14ac:dyDescent="0.15">
      <c r="A8" s="4"/>
      <c r="B8" s="3" t="s">
        <v>449</v>
      </c>
      <c r="C8" t="s">
        <v>8</v>
      </c>
      <c r="D8" s="4" t="s">
        <v>4</v>
      </c>
      <c r="E8" s="3" t="s">
        <v>450</v>
      </c>
      <c r="F8" s="5" t="s">
        <v>12</v>
      </c>
    </row>
    <row r="9" spans="1:255" x14ac:dyDescent="0.15">
      <c r="A9" s="4"/>
      <c r="B9" s="3" t="s">
        <v>451</v>
      </c>
      <c r="C9" t="s">
        <v>88</v>
      </c>
      <c r="D9" s="4" t="s">
        <v>4</v>
      </c>
      <c r="E9" s="23"/>
      <c r="F9" s="23"/>
    </row>
    <row r="12" spans="1:255" x14ac:dyDescent="0.15">
      <c r="A12" s="6" t="s">
        <v>452</v>
      </c>
      <c r="B12" s="6"/>
      <c r="C12" s="6"/>
      <c r="D12" s="6"/>
      <c r="E12" s="6"/>
      <c r="F12" s="6"/>
      <c r="G12" s="6"/>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1"/>
      <c r="CE12" s="61"/>
      <c r="CF12" s="61"/>
      <c r="CG12" s="61"/>
      <c r="CH12" s="61"/>
      <c r="CI12" s="61"/>
      <c r="CJ12" s="61"/>
      <c r="CK12" s="61"/>
      <c r="CL12" s="61"/>
      <c r="CM12" s="61"/>
      <c r="CN12" s="61"/>
      <c r="CO12" s="61"/>
      <c r="CP12" s="61"/>
      <c r="CQ12" s="61"/>
      <c r="CR12" s="61"/>
      <c r="CS12" s="61"/>
      <c r="CT12" s="61"/>
      <c r="CU12" s="61"/>
      <c r="CV12" s="61"/>
      <c r="CW12" s="61"/>
      <c r="CX12" s="61"/>
      <c r="CY12" s="61"/>
      <c r="CZ12" s="61"/>
      <c r="DA12" s="61"/>
      <c r="DB12" s="61"/>
      <c r="DC12" s="61"/>
      <c r="DD12" s="61"/>
      <c r="DE12" s="61"/>
      <c r="DF12" s="61"/>
      <c r="DG12" s="61"/>
      <c r="DH12" s="61"/>
      <c r="DI12" s="61"/>
      <c r="DJ12" s="61"/>
      <c r="DK12" s="61"/>
      <c r="DL12" s="61"/>
      <c r="DM12" s="61"/>
      <c r="DN12" s="61"/>
      <c r="DO12" s="61"/>
      <c r="DP12" s="61"/>
      <c r="DQ12" s="61"/>
      <c r="DR12" s="61"/>
      <c r="DS12" s="61"/>
      <c r="DT12" s="61"/>
      <c r="DU12" s="61"/>
      <c r="DV12" s="61"/>
      <c r="DW12" s="61"/>
      <c r="DX12" s="61"/>
      <c r="DY12" s="61"/>
      <c r="DZ12" s="61"/>
      <c r="EA12" s="61"/>
      <c r="EB12" s="61"/>
      <c r="EC12" s="61"/>
      <c r="ED12" s="61"/>
      <c r="EE12" s="61"/>
      <c r="EF12" s="61"/>
      <c r="EG12" s="61"/>
      <c r="EH12" s="61"/>
      <c r="EI12" s="61"/>
      <c r="EJ12" s="61"/>
      <c r="EK12" s="61"/>
      <c r="EL12" s="61"/>
      <c r="EM12" s="61"/>
      <c r="EN12" s="61"/>
      <c r="EO12" s="61"/>
      <c r="EP12" s="61"/>
      <c r="EQ12" s="61"/>
      <c r="ER12" s="61"/>
      <c r="ES12" s="61"/>
      <c r="ET12" s="61"/>
      <c r="EU12" s="61"/>
      <c r="EV12" s="61"/>
      <c r="EW12" s="61"/>
      <c r="EX12" s="61"/>
      <c r="EY12" s="61"/>
      <c r="EZ12" s="61"/>
      <c r="FA12" s="61"/>
      <c r="FB12" s="61"/>
      <c r="FC12" s="61"/>
      <c r="FD12" s="61"/>
      <c r="FE12" s="61"/>
      <c r="FF12" s="61"/>
      <c r="FG12" s="61"/>
      <c r="FH12" s="61"/>
      <c r="FI12" s="61"/>
      <c r="FJ12" s="61"/>
      <c r="FK12" s="61"/>
      <c r="FL12" s="61"/>
      <c r="FM12" s="61"/>
      <c r="FN12" s="61"/>
      <c r="FO12" s="61"/>
      <c r="FP12" s="61"/>
      <c r="FQ12" s="61"/>
      <c r="FR12" s="61"/>
      <c r="FS12" s="61"/>
      <c r="FT12" s="61"/>
      <c r="FU12" s="61"/>
      <c r="FV12" s="61"/>
      <c r="FW12" s="61"/>
      <c r="FX12" s="61"/>
      <c r="FY12" s="61"/>
      <c r="FZ12" s="61"/>
      <c r="GA12" s="61"/>
      <c r="GB12" s="61"/>
      <c r="GC12" s="61"/>
      <c r="GD12" s="61"/>
      <c r="GE12" s="61"/>
      <c r="GF12" s="61"/>
      <c r="GG12" s="61"/>
      <c r="GH12" s="61"/>
      <c r="GI12" s="61"/>
      <c r="GJ12" s="61"/>
      <c r="GK12" s="61"/>
      <c r="GL12" s="61"/>
      <c r="GM12" s="61"/>
      <c r="GN12" s="61"/>
      <c r="GO12" s="61"/>
      <c r="GP12" s="61"/>
      <c r="GQ12" s="61"/>
      <c r="GR12" s="61"/>
      <c r="GS12" s="61"/>
      <c r="GT12" s="61"/>
      <c r="GU12" s="61"/>
      <c r="GV12" s="61"/>
      <c r="GW12" s="61"/>
      <c r="GX12" s="61"/>
      <c r="GY12" s="61"/>
      <c r="GZ12" s="61"/>
      <c r="HA12" s="61"/>
      <c r="HB12" s="61"/>
      <c r="HC12" s="61"/>
      <c r="HD12" s="61"/>
      <c r="HE12" s="61"/>
      <c r="HF12" s="61"/>
      <c r="HG12" s="61"/>
      <c r="HH12" s="61"/>
      <c r="HI12" s="61"/>
      <c r="HJ12" s="61"/>
      <c r="HK12" s="61"/>
      <c r="HL12" s="61"/>
      <c r="HM12" s="61"/>
      <c r="HN12" s="61"/>
      <c r="HO12" s="61"/>
      <c r="HP12" s="61"/>
      <c r="HQ12" s="61"/>
      <c r="HR12" s="61"/>
      <c r="HS12" s="61"/>
      <c r="HT12" s="61"/>
      <c r="HU12" s="61"/>
      <c r="HV12" s="61"/>
      <c r="HW12" s="61"/>
      <c r="HX12" s="61"/>
      <c r="HY12" s="61"/>
      <c r="HZ12" s="61"/>
      <c r="IA12" s="61"/>
      <c r="IB12" s="61"/>
      <c r="IC12" s="61"/>
      <c r="ID12" s="61"/>
      <c r="IE12" s="61"/>
      <c r="IF12" s="61"/>
      <c r="IG12" s="61"/>
      <c r="IH12" s="61"/>
      <c r="II12" s="61"/>
      <c r="IJ12" s="61"/>
      <c r="IK12" s="61"/>
      <c r="IL12" s="61"/>
      <c r="IM12" s="61"/>
      <c r="IN12" s="61"/>
      <c r="IO12" s="61"/>
      <c r="IP12" s="61"/>
      <c r="IQ12" s="61"/>
      <c r="IR12" s="61"/>
      <c r="IS12" s="61"/>
      <c r="IT12" s="61"/>
      <c r="IU12" s="61"/>
    </row>
    <row r="13" spans="1:255" ht="36" x14ac:dyDescent="0.15">
      <c r="A13" s="7" t="s">
        <v>16</v>
      </c>
      <c r="B13" s="12" t="s">
        <v>90</v>
      </c>
      <c r="C13" s="12" t="s">
        <v>258</v>
      </c>
      <c r="D13" s="12" t="s">
        <v>259</v>
      </c>
      <c r="E13" s="12" t="s">
        <v>93</v>
      </c>
      <c r="F13" s="12" t="s">
        <v>94</v>
      </c>
      <c r="G13" s="12" t="s">
        <v>95</v>
      </c>
    </row>
    <row r="14" spans="1:255" x14ac:dyDescent="0.15">
      <c r="A14" s="9" t="s">
        <v>453</v>
      </c>
      <c r="B14" s="4"/>
      <c r="C14" s="4"/>
      <c r="D14" s="4"/>
      <c r="E14" s="4"/>
      <c r="F14" s="4"/>
      <c r="G14" s="4"/>
    </row>
    <row r="15" spans="1:255" x14ac:dyDescent="0.15">
      <c r="A15" s="4" t="s">
        <v>454</v>
      </c>
      <c r="B15" s="27">
        <v>8.0538999999999999E-2</v>
      </c>
      <c r="C15" s="27">
        <v>5.3020999999999999E-2</v>
      </c>
      <c r="D15" s="27">
        <v>4.0897999999999997E-2</v>
      </c>
      <c r="E15" s="27">
        <v>6.9794999999999996E-2</v>
      </c>
      <c r="F15" s="27">
        <v>5.6096E-2</v>
      </c>
      <c r="G15" s="27">
        <v>7.0366999999999999E-2</v>
      </c>
    </row>
    <row r="16" spans="1:255" x14ac:dyDescent="0.15">
      <c r="A16" s="4" t="s">
        <v>455</v>
      </c>
      <c r="B16" s="27">
        <v>9.4006999999999993E-2</v>
      </c>
      <c r="C16" s="27">
        <v>6.1059000000000002E-2</v>
      </c>
      <c r="D16" s="27">
        <v>4.7029000000000001E-2</v>
      </c>
      <c r="E16" s="27">
        <v>8.0129000000000006E-2</v>
      </c>
      <c r="F16" s="27">
        <v>6.3629000000000005E-2</v>
      </c>
      <c r="G16" s="27">
        <v>7.9675999999999997E-2</v>
      </c>
    </row>
    <row r="17" spans="1:7" x14ac:dyDescent="0.15">
      <c r="A17" s="4" t="s">
        <v>456</v>
      </c>
      <c r="B17" s="27">
        <v>0.183311</v>
      </c>
      <c r="C17" s="27">
        <v>0.11107300000000001</v>
      </c>
      <c r="D17" s="27">
        <v>8.7592000000000003E-2</v>
      </c>
      <c r="E17" s="27">
        <v>0.21670200000000001</v>
      </c>
      <c r="F17" s="27">
        <v>0.117424</v>
      </c>
      <c r="G17" s="27">
        <v>0.14114599999999999</v>
      </c>
    </row>
    <row r="18" spans="1:7" x14ac:dyDescent="0.15">
      <c r="A18" s="4" t="s">
        <v>457</v>
      </c>
      <c r="B18" s="27">
        <v>0.19012200000000001</v>
      </c>
      <c r="C18" s="27">
        <v>0.11509999999999999</v>
      </c>
      <c r="D18" s="27">
        <v>9.0379000000000001E-2</v>
      </c>
      <c r="E18" s="27">
        <v>0.21797900000000001</v>
      </c>
      <c r="F18" s="27">
        <v>0.117656</v>
      </c>
      <c r="G18" s="27">
        <v>0.14136799999999999</v>
      </c>
    </row>
    <row r="19" spans="1:7" x14ac:dyDescent="0.15">
      <c r="A19" s="4"/>
      <c r="B19" s="4"/>
      <c r="C19" s="4"/>
      <c r="D19" s="4"/>
      <c r="E19" s="4"/>
      <c r="F19" s="4"/>
      <c r="G19" s="4"/>
    </row>
    <row r="20" spans="1:7" x14ac:dyDescent="0.15">
      <c r="A20" s="9" t="s">
        <v>458</v>
      </c>
      <c r="B20" s="4"/>
      <c r="C20" s="4"/>
      <c r="D20" s="4"/>
      <c r="E20" s="4"/>
      <c r="F20" s="4"/>
      <c r="G20" s="4"/>
    </row>
    <row r="21" spans="1:7" x14ac:dyDescent="0.15">
      <c r="A21" s="4" t="s">
        <v>459</v>
      </c>
      <c r="B21" s="27">
        <v>0.89089499999999999</v>
      </c>
      <c r="C21" s="27">
        <v>0.74687000000000003</v>
      </c>
      <c r="D21" s="27">
        <v>0.75132699999999997</v>
      </c>
      <c r="E21" s="27">
        <v>0.760467</v>
      </c>
      <c r="F21" s="27">
        <v>0.76037299999999997</v>
      </c>
      <c r="G21" s="27">
        <v>0.77178100000000005</v>
      </c>
    </row>
    <row r="22" spans="1:7" x14ac:dyDescent="0.15">
      <c r="A22" s="4" t="s">
        <v>460</v>
      </c>
      <c r="B22" s="27">
        <v>0.54947900000000005</v>
      </c>
      <c r="C22" s="27">
        <v>0.46365299999999998</v>
      </c>
      <c r="D22" s="27">
        <v>0.48040699999999997</v>
      </c>
      <c r="E22" s="27">
        <v>0.460393</v>
      </c>
      <c r="F22" s="27">
        <v>0.479491</v>
      </c>
      <c r="G22" s="27">
        <v>0.45638000000000001</v>
      </c>
    </row>
    <row r="23" spans="1:7" x14ac:dyDescent="0.15">
      <c r="A23" s="4" t="s">
        <v>461</v>
      </c>
      <c r="B23" s="27">
        <v>0.33540300000000001</v>
      </c>
      <c r="C23" s="27">
        <v>0.265459</v>
      </c>
      <c r="D23" s="27">
        <v>0.25220199999999998</v>
      </c>
      <c r="E23" s="27">
        <v>0.26527299999999998</v>
      </c>
      <c r="F23" s="27">
        <v>0.24814700000000001</v>
      </c>
      <c r="G23" s="27">
        <v>0.283497</v>
      </c>
    </row>
    <row r="24" spans="1:7" x14ac:dyDescent="0.15">
      <c r="A24" s="4" t="s">
        <v>462</v>
      </c>
      <c r="B24" s="27">
        <v>0.24026600000000001</v>
      </c>
      <c r="C24" s="27">
        <v>0.16952700000000001</v>
      </c>
      <c r="D24" s="27">
        <v>0.15473500000000001</v>
      </c>
      <c r="E24" s="27">
        <v>0.20344200000000001</v>
      </c>
      <c r="F24" s="27">
        <v>0.176119</v>
      </c>
      <c r="G24" s="27">
        <v>0.207343</v>
      </c>
    </row>
    <row r="25" spans="1:7" x14ac:dyDescent="0.15">
      <c r="A25" s="4" t="s">
        <v>463</v>
      </c>
      <c r="B25" s="27">
        <v>0.23924999999999999</v>
      </c>
      <c r="C25" s="27">
        <v>0.16833799999999999</v>
      </c>
      <c r="D25" s="27">
        <v>0.153418</v>
      </c>
      <c r="E25" s="27">
        <v>0.20258699999999999</v>
      </c>
      <c r="F25" s="27">
        <v>0.175404</v>
      </c>
      <c r="G25" s="27">
        <v>0.20668900000000001</v>
      </c>
    </row>
    <row r="26" spans="1:7" x14ac:dyDescent="0.15">
      <c r="A26" s="4" t="s">
        <v>464</v>
      </c>
      <c r="B26" s="27">
        <v>0.17205400000000001</v>
      </c>
      <c r="C26" s="27">
        <v>0.10261099999999999</v>
      </c>
      <c r="D26" s="27">
        <v>8.4941000000000003E-2</v>
      </c>
      <c r="E26" s="27">
        <v>0.16239200000000001</v>
      </c>
      <c r="F26" s="27">
        <v>9.3840999999999994E-2</v>
      </c>
      <c r="G26" s="27">
        <v>0.115024</v>
      </c>
    </row>
    <row r="27" spans="1:7" x14ac:dyDescent="0.15">
      <c r="A27" s="4" t="s">
        <v>465</v>
      </c>
      <c r="B27" s="27">
        <v>0.17426</v>
      </c>
      <c r="C27" s="27">
        <v>0.10415000000000001</v>
      </c>
      <c r="D27" s="27">
        <v>8.6571999999999996E-2</v>
      </c>
      <c r="E27" s="27">
        <v>0.16287399999999999</v>
      </c>
      <c r="F27" s="27">
        <v>9.3977000000000005E-2</v>
      </c>
      <c r="G27" s="27">
        <v>0.115163</v>
      </c>
    </row>
    <row r="28" spans="1:7" x14ac:dyDescent="0.15">
      <c r="A28" s="4" t="s">
        <v>466</v>
      </c>
      <c r="B28" s="27">
        <v>0.17426</v>
      </c>
      <c r="C28" s="27">
        <v>0.10415000000000001</v>
      </c>
      <c r="D28" s="27">
        <v>8.6571999999999996E-2</v>
      </c>
      <c r="E28" s="27">
        <v>0.16287399999999999</v>
      </c>
      <c r="F28" s="27">
        <v>9.3977000000000005E-2</v>
      </c>
      <c r="G28" s="27">
        <v>0.115163</v>
      </c>
    </row>
    <row r="29" spans="1:7" x14ac:dyDescent="0.15">
      <c r="A29" s="4" t="s">
        <v>467</v>
      </c>
      <c r="B29" s="27">
        <v>0.14042399999999999</v>
      </c>
      <c r="C29" s="27">
        <v>9.7355999999999998E-2</v>
      </c>
      <c r="D29" s="27">
        <v>9.4707E-2</v>
      </c>
      <c r="E29" s="27">
        <v>0.13425899999999999</v>
      </c>
      <c r="F29" s="27">
        <v>9.7892999999999994E-2</v>
      </c>
      <c r="G29" s="27">
        <v>0.113151</v>
      </c>
    </row>
    <row r="30" spans="1:7" x14ac:dyDescent="0.15">
      <c r="A30" s="4" t="s">
        <v>468</v>
      </c>
      <c r="B30" s="27">
        <v>4.8953000000000003E-2</v>
      </c>
      <c r="C30" s="27">
        <v>1.9068000000000002E-2</v>
      </c>
      <c r="D30" s="27">
        <v>-9.5600000000000008E-3</v>
      </c>
      <c r="E30" s="27">
        <v>8.4359000000000003E-2</v>
      </c>
      <c r="F30" s="27">
        <v>-3.6576999999999998E-2</v>
      </c>
      <c r="G30" s="27">
        <v>5.6319000000000001E-2</v>
      </c>
    </row>
    <row r="31" spans="1:7" x14ac:dyDescent="0.15">
      <c r="A31" s="4" t="s">
        <v>469</v>
      </c>
      <c r="B31" s="27">
        <v>6.4999000000000001E-2</v>
      </c>
      <c r="C31" s="27">
        <v>3.0691E-2</v>
      </c>
      <c r="D31" s="27">
        <v>1.864E-3</v>
      </c>
      <c r="E31" s="27">
        <v>8.5619000000000001E-2</v>
      </c>
      <c r="F31" s="27">
        <v>-2.2093999999999999E-2</v>
      </c>
      <c r="G31" s="27">
        <v>7.2620000000000004E-2</v>
      </c>
    </row>
    <row r="32" spans="1:7" x14ac:dyDescent="0.15">
      <c r="A32" s="4"/>
      <c r="B32" s="4"/>
      <c r="C32" s="4"/>
      <c r="D32" s="4"/>
      <c r="E32" s="4"/>
      <c r="F32" s="4"/>
      <c r="G32" s="4"/>
    </row>
    <row r="33" spans="1:7" x14ac:dyDescent="0.15">
      <c r="A33" s="9" t="s">
        <v>470</v>
      </c>
      <c r="B33" s="4"/>
      <c r="C33" s="4"/>
      <c r="D33" s="4"/>
      <c r="E33" s="4"/>
      <c r="F33" s="4"/>
      <c r="G33" s="4"/>
    </row>
    <row r="34" spans="1:7" x14ac:dyDescent="0.15">
      <c r="A34" s="4" t="s">
        <v>471</v>
      </c>
      <c r="B34" s="20">
        <v>0.53860799999999998</v>
      </c>
      <c r="C34" s="20">
        <v>0.50395100000000004</v>
      </c>
      <c r="D34" s="20">
        <v>0.42652699999999999</v>
      </c>
      <c r="E34" s="20">
        <v>0.55123699999999998</v>
      </c>
      <c r="F34" s="20">
        <v>0.51169600000000004</v>
      </c>
      <c r="G34" s="20">
        <v>0.54472200000000004</v>
      </c>
    </row>
    <row r="35" spans="1:7" x14ac:dyDescent="0.15">
      <c r="A35" s="4" t="s">
        <v>472</v>
      </c>
      <c r="B35" s="20">
        <v>0.76151899999999995</v>
      </c>
      <c r="C35" s="20">
        <v>0.677651</v>
      </c>
      <c r="D35" s="20">
        <v>0.57157000000000002</v>
      </c>
      <c r="E35" s="20">
        <v>0.73124800000000001</v>
      </c>
      <c r="F35" s="20">
        <v>0.66408800000000001</v>
      </c>
      <c r="G35" s="20">
        <v>0.698936</v>
      </c>
    </row>
    <row r="36" spans="1:7" x14ac:dyDescent="0.15">
      <c r="A36" s="4" t="s">
        <v>473</v>
      </c>
      <c r="B36" s="20">
        <v>66.916787999999997</v>
      </c>
      <c r="C36" s="20">
        <v>82.517489999999995</v>
      </c>
      <c r="D36" s="20">
        <v>116.799609</v>
      </c>
      <c r="E36" s="20">
        <v>119.645995</v>
      </c>
      <c r="F36" s="20">
        <v>111.747585</v>
      </c>
      <c r="G36" s="20">
        <v>82.262782999999999</v>
      </c>
    </row>
    <row r="37" spans="1:7" x14ac:dyDescent="0.15">
      <c r="A37" s="4" t="s">
        <v>474</v>
      </c>
      <c r="B37" s="20">
        <v>1.7672749999999999</v>
      </c>
      <c r="C37" s="20">
        <v>3.5887259999999999</v>
      </c>
      <c r="D37" s="20">
        <v>3.1911659999999999</v>
      </c>
      <c r="E37" s="20">
        <v>3.963892</v>
      </c>
      <c r="F37" s="20">
        <v>2.9872610000000002</v>
      </c>
      <c r="G37" s="20">
        <v>2.9444590000000002</v>
      </c>
    </row>
    <row r="38" spans="1:7" x14ac:dyDescent="0.15">
      <c r="A38" s="4"/>
      <c r="B38" s="4"/>
      <c r="C38" s="4"/>
      <c r="D38" s="4"/>
      <c r="E38" s="4"/>
      <c r="F38" s="4"/>
      <c r="G38" s="4"/>
    </row>
    <row r="39" spans="1:7" x14ac:dyDescent="0.15">
      <c r="A39" s="9" t="s">
        <v>475</v>
      </c>
      <c r="B39" s="4"/>
      <c r="C39" s="4"/>
      <c r="D39" s="4"/>
      <c r="E39" s="4"/>
      <c r="F39" s="4"/>
      <c r="G39" s="4"/>
    </row>
    <row r="40" spans="1:7" x14ac:dyDescent="0.15">
      <c r="A40" s="4" t="s">
        <v>476</v>
      </c>
      <c r="B40" s="20">
        <v>0.86526099999999995</v>
      </c>
      <c r="C40" s="20">
        <v>0.53200599999999998</v>
      </c>
      <c r="D40" s="20">
        <v>0.56277999999999995</v>
      </c>
      <c r="E40" s="20">
        <v>0.49702200000000002</v>
      </c>
      <c r="F40" s="20">
        <v>0.40546399999999999</v>
      </c>
      <c r="G40" s="20">
        <v>0.41725400000000001</v>
      </c>
    </row>
    <row r="41" spans="1:7" x14ac:dyDescent="0.15">
      <c r="A41" s="4" t="s">
        <v>477</v>
      </c>
      <c r="B41" s="20">
        <v>0.40067199999999997</v>
      </c>
      <c r="C41" s="20">
        <v>0.21079000000000001</v>
      </c>
      <c r="D41" s="20">
        <v>0.14731900000000001</v>
      </c>
      <c r="E41" s="20">
        <v>0.201372</v>
      </c>
      <c r="F41" s="20">
        <v>0.148983</v>
      </c>
      <c r="G41" s="20">
        <v>0.10563</v>
      </c>
    </row>
    <row r="42" spans="1:7" x14ac:dyDescent="0.15">
      <c r="A42" s="4" t="s">
        <v>478</v>
      </c>
      <c r="B42" s="20">
        <v>1.134892</v>
      </c>
      <c r="C42" s="20">
        <v>0.65977699999999995</v>
      </c>
      <c r="D42" s="20">
        <v>0.49040699999999998</v>
      </c>
      <c r="E42" s="20">
        <v>1.002872</v>
      </c>
      <c r="F42" s="20">
        <v>0.32604699999999998</v>
      </c>
      <c r="G42" s="20">
        <v>0.62128499999999998</v>
      </c>
    </row>
    <row r="43" spans="1:7" x14ac:dyDescent="0.15">
      <c r="A43" s="4" t="s">
        <v>479</v>
      </c>
      <c r="B43" s="17">
        <v>5.4541950000000003</v>
      </c>
      <c r="C43" s="17">
        <v>4.4351880000000001</v>
      </c>
      <c r="D43" s="17">
        <v>3.124765</v>
      </c>
      <c r="E43" s="17">
        <v>3.0503049999999998</v>
      </c>
      <c r="F43" s="17">
        <v>3.2660200000000001</v>
      </c>
      <c r="G43" s="17">
        <v>4.4490959999999999</v>
      </c>
    </row>
    <row r="44" spans="1:7" x14ac:dyDescent="0.15">
      <c r="A44" s="4" t="s">
        <v>480</v>
      </c>
      <c r="B44" s="17">
        <v>206.53233</v>
      </c>
      <c r="C44" s="17">
        <v>101.9859</v>
      </c>
      <c r="D44" s="17">
        <v>114.378225</v>
      </c>
      <c r="E44" s="17">
        <v>92.081104999999994</v>
      </c>
      <c r="F44" s="17">
        <v>122.18521</v>
      </c>
      <c r="G44" s="17">
        <v>124.30092</v>
      </c>
    </row>
    <row r="45" spans="1:7" x14ac:dyDescent="0.15">
      <c r="A45" s="4" t="s">
        <v>481</v>
      </c>
      <c r="B45" s="17">
        <v>156.040785</v>
      </c>
      <c r="C45" s="17">
        <v>62.922353999999999</v>
      </c>
      <c r="D45" s="17">
        <v>84.333614999999995</v>
      </c>
      <c r="E45" s="17">
        <v>63.943255000000001</v>
      </c>
      <c r="F45" s="17">
        <v>66.941000000000003</v>
      </c>
      <c r="G45" s="17">
        <v>50.842889999999997</v>
      </c>
    </row>
    <row r="46" spans="1:7" x14ac:dyDescent="0.15">
      <c r="A46" s="4" t="s">
        <v>482</v>
      </c>
      <c r="B46" s="17">
        <v>55.945740000000001</v>
      </c>
      <c r="C46" s="17">
        <v>43.498733999999999</v>
      </c>
      <c r="D46" s="17">
        <v>33.169375000000002</v>
      </c>
      <c r="E46" s="17">
        <v>31.188154999999998</v>
      </c>
      <c r="F46" s="17">
        <v>58.51023</v>
      </c>
      <c r="G46" s="17">
        <v>77.907126000000005</v>
      </c>
    </row>
    <row r="47" spans="1:7" x14ac:dyDescent="0.15">
      <c r="A47" s="4"/>
      <c r="B47" s="4"/>
      <c r="C47" s="4"/>
      <c r="D47" s="4"/>
      <c r="E47" s="4"/>
      <c r="F47" s="4"/>
      <c r="G47" s="4"/>
    </row>
    <row r="48" spans="1:7" x14ac:dyDescent="0.15">
      <c r="A48" s="9" t="s">
        <v>483</v>
      </c>
      <c r="B48" s="4"/>
      <c r="C48" s="4"/>
      <c r="D48" s="4"/>
      <c r="E48" s="4"/>
      <c r="F48" s="4"/>
      <c r="G48" s="4"/>
    </row>
    <row r="49" spans="1:7" x14ac:dyDescent="0.15">
      <c r="A49" s="4" t="s">
        <v>484</v>
      </c>
      <c r="B49" s="27">
        <v>0.68293999999999999</v>
      </c>
      <c r="C49" s="27">
        <v>1.050435</v>
      </c>
      <c r="D49" s="27">
        <v>1.150487</v>
      </c>
      <c r="E49" s="27">
        <v>1.0740190000000001</v>
      </c>
      <c r="F49" s="27">
        <v>1.2348079999999999</v>
      </c>
      <c r="G49" s="27">
        <v>0.960449</v>
      </c>
    </row>
    <row r="50" spans="1:7" x14ac:dyDescent="0.15">
      <c r="A50" s="4" t="s">
        <v>485</v>
      </c>
      <c r="B50" s="27">
        <v>0.40580100000000002</v>
      </c>
      <c r="C50" s="27">
        <v>0.51229800000000003</v>
      </c>
      <c r="D50" s="27">
        <v>0.53498900000000005</v>
      </c>
      <c r="E50" s="27">
        <v>0.51784399999999997</v>
      </c>
      <c r="F50" s="27">
        <v>0.55253399999999997</v>
      </c>
      <c r="G50" s="27">
        <v>0.48991200000000001</v>
      </c>
    </row>
    <row r="51" spans="1:7" x14ac:dyDescent="0.15">
      <c r="A51" s="4" t="s">
        <v>486</v>
      </c>
      <c r="B51" s="27">
        <v>0.62227399999999999</v>
      </c>
      <c r="C51" s="27">
        <v>0.83511299999999999</v>
      </c>
      <c r="D51" s="27">
        <v>0.91366000000000003</v>
      </c>
      <c r="E51" s="27">
        <v>0.94262500000000005</v>
      </c>
      <c r="F51" s="27">
        <v>0.86415399999999998</v>
      </c>
      <c r="G51" s="27">
        <v>0.71693099999999998</v>
      </c>
    </row>
    <row r="52" spans="1:7" x14ac:dyDescent="0.15">
      <c r="A52" s="4" t="s">
        <v>487</v>
      </c>
      <c r="B52" s="27">
        <v>0.36975400000000003</v>
      </c>
      <c r="C52" s="27">
        <v>0.40728500000000001</v>
      </c>
      <c r="D52" s="27">
        <v>0.42486099999999999</v>
      </c>
      <c r="E52" s="27">
        <v>0.45449200000000001</v>
      </c>
      <c r="F52" s="27">
        <v>0.38667899999999999</v>
      </c>
      <c r="G52" s="27">
        <v>0.36569699999999999</v>
      </c>
    </row>
    <row r="53" spans="1:7" x14ac:dyDescent="0.15">
      <c r="A53" s="4" t="s">
        <v>488</v>
      </c>
      <c r="B53" s="27">
        <v>0.486344</v>
      </c>
      <c r="C53" s="27">
        <v>0.57489299999999999</v>
      </c>
      <c r="D53" s="27">
        <v>0.59644600000000003</v>
      </c>
      <c r="E53" s="27">
        <v>0.57869199999999998</v>
      </c>
      <c r="F53" s="27">
        <v>0.60233499999999995</v>
      </c>
      <c r="G53" s="27">
        <v>0.54683199999999998</v>
      </c>
    </row>
    <row r="54" spans="1:7" x14ac:dyDescent="0.15">
      <c r="A54" s="4"/>
      <c r="B54" s="4"/>
      <c r="C54" s="4"/>
      <c r="D54" s="4"/>
      <c r="E54" s="4"/>
      <c r="F54" s="4"/>
      <c r="G54" s="4"/>
    </row>
    <row r="55" spans="1:7" x14ac:dyDescent="0.15">
      <c r="A55" s="4" t="s">
        <v>489</v>
      </c>
      <c r="B55" s="20">
        <v>9.3190869999999997</v>
      </c>
      <c r="C55" s="20">
        <v>9.0515729999999994</v>
      </c>
      <c r="D55" s="20">
        <v>8.3927479999999992</v>
      </c>
      <c r="E55" s="20">
        <v>100.465099</v>
      </c>
      <c r="F55" s="20">
        <v>7.5697299999999998</v>
      </c>
      <c r="G55" s="20">
        <v>7.9246780000000001</v>
      </c>
    </row>
    <row r="56" spans="1:7" x14ac:dyDescent="0.15">
      <c r="A56" s="4" t="s">
        <v>490</v>
      </c>
      <c r="B56" s="20">
        <v>13.064337999999999</v>
      </c>
      <c r="C56" s="20">
        <v>15.992167</v>
      </c>
      <c r="D56" s="20">
        <v>15.544521</v>
      </c>
      <c r="E56" s="20">
        <v>148.784415</v>
      </c>
      <c r="F56" s="20">
        <v>12.319725</v>
      </c>
      <c r="G56" s="20">
        <v>12.177113</v>
      </c>
    </row>
    <row r="57" spans="1:7" x14ac:dyDescent="0.15">
      <c r="A57" s="4" t="s">
        <v>491</v>
      </c>
      <c r="B57" s="20">
        <v>6.0246870000000001</v>
      </c>
      <c r="C57" s="20">
        <v>4.4805919999999997</v>
      </c>
      <c r="D57" s="20">
        <v>3.9727519999999998</v>
      </c>
      <c r="E57" s="20">
        <v>56.298715000000001</v>
      </c>
      <c r="F57" s="20">
        <v>4.5854239999999997</v>
      </c>
      <c r="G57" s="20">
        <v>6.6611570000000002</v>
      </c>
    </row>
    <row r="58" spans="1:7" x14ac:dyDescent="0.15">
      <c r="A58" s="4" t="s">
        <v>492</v>
      </c>
      <c r="B58" s="20">
        <v>1.9799899999999999</v>
      </c>
      <c r="C58" s="20">
        <v>3.2365339999999998</v>
      </c>
      <c r="D58" s="20">
        <v>4.0834580000000003</v>
      </c>
      <c r="E58" s="20">
        <v>2.9386299999999999</v>
      </c>
      <c r="F58" s="20">
        <v>3.5197620000000001</v>
      </c>
      <c r="G58" s="20">
        <v>2.581591</v>
      </c>
    </row>
    <row r="59" spans="1:7" x14ac:dyDescent="0.15">
      <c r="A59" s="4" t="s">
        <v>493</v>
      </c>
      <c r="B59" s="20">
        <v>1.9006000000000001</v>
      </c>
      <c r="C59" s="20">
        <v>3.1648559999999999</v>
      </c>
      <c r="D59" s="20">
        <v>4.04948</v>
      </c>
      <c r="E59" s="20">
        <v>2.9185859999999999</v>
      </c>
      <c r="F59" s="20">
        <v>3.4943409999999999</v>
      </c>
      <c r="G59" s="20">
        <v>2.5639129999999999</v>
      </c>
    </row>
    <row r="60" spans="1:7" x14ac:dyDescent="0.15">
      <c r="A60" s="4" t="s">
        <v>494</v>
      </c>
      <c r="B60" s="20">
        <v>4.2935439999999998</v>
      </c>
      <c r="C60" s="20">
        <v>11.551864999999999</v>
      </c>
      <c r="D60" s="20">
        <v>15.977691</v>
      </c>
      <c r="E60" s="20">
        <v>7.7661179999999996</v>
      </c>
      <c r="F60" s="20">
        <v>9.4565959999999993</v>
      </c>
      <c r="G60" s="20">
        <v>4.7193490000000002</v>
      </c>
    </row>
    <row r="61" spans="1:7" x14ac:dyDescent="0.15">
      <c r="A61" s="4" t="s">
        <v>495</v>
      </c>
      <c r="B61" s="20">
        <v>4.1213889999999997</v>
      </c>
      <c r="C61" s="20">
        <v>11.29603</v>
      </c>
      <c r="D61" s="20">
        <v>15.844742</v>
      </c>
      <c r="E61" s="20">
        <v>7.7131449999999999</v>
      </c>
      <c r="F61" s="20">
        <v>9.3882960000000004</v>
      </c>
      <c r="G61" s="20">
        <v>4.6870339999999997</v>
      </c>
    </row>
    <row r="62" spans="1:7" x14ac:dyDescent="0.15">
      <c r="A62" s="4"/>
      <c r="B62" s="4"/>
      <c r="C62" s="4"/>
      <c r="D62" s="4"/>
      <c r="E62" s="4"/>
      <c r="F62" s="4"/>
      <c r="G62" s="4"/>
    </row>
    <row r="63" spans="1:7" x14ac:dyDescent="0.15">
      <c r="A63" s="4" t="s">
        <v>496</v>
      </c>
      <c r="B63" s="19">
        <v>3.6774300000000002</v>
      </c>
      <c r="C63" s="19">
        <v>2.5377809999999998</v>
      </c>
      <c r="D63" s="19">
        <v>2.4391509999999998</v>
      </c>
      <c r="E63" s="19">
        <v>2.9161350000000001</v>
      </c>
      <c r="F63" s="19">
        <v>2.1503969999999999</v>
      </c>
      <c r="G63" s="19">
        <v>2.5519500000000002</v>
      </c>
    </row>
    <row r="64" spans="1:7" x14ac:dyDescent="0.15">
      <c r="A64" s="4"/>
      <c r="B64" s="4"/>
      <c r="C64" s="4"/>
      <c r="D64" s="4"/>
      <c r="E64" s="4"/>
      <c r="F64" s="4"/>
      <c r="G64" s="4"/>
    </row>
    <row r="65" spans="1:7" x14ac:dyDescent="0.15">
      <c r="A65" s="9" t="s">
        <v>497</v>
      </c>
      <c r="B65" s="4"/>
      <c r="C65" s="4"/>
      <c r="D65" s="4"/>
      <c r="E65" s="4"/>
      <c r="F65" s="4"/>
      <c r="G65" s="4"/>
    </row>
    <row r="66" spans="1:7" x14ac:dyDescent="0.15">
      <c r="A66" s="4" t="s">
        <v>98</v>
      </c>
      <c r="B66" s="27">
        <v>5.5288999999999998E-2</v>
      </c>
      <c r="C66" s="27">
        <v>4.4194999999999998E-2</v>
      </c>
      <c r="D66" s="27">
        <v>-1.5623E-2</v>
      </c>
      <c r="E66" s="27">
        <v>0.487813</v>
      </c>
      <c r="F66" s="27">
        <v>4.6244E-2</v>
      </c>
      <c r="G66" s="27">
        <v>0.13253599999999999</v>
      </c>
    </row>
    <row r="67" spans="1:7" x14ac:dyDescent="0.15">
      <c r="A67" s="4" t="s">
        <v>100</v>
      </c>
      <c r="B67" s="27">
        <v>5.3307E-2</v>
      </c>
      <c r="C67" s="27">
        <v>-0.124613</v>
      </c>
      <c r="D67" s="27">
        <v>-9.7490000000000007E-3</v>
      </c>
      <c r="E67" s="27">
        <v>0.50591299999999995</v>
      </c>
      <c r="F67" s="27">
        <v>4.6115000000000003E-2</v>
      </c>
      <c r="G67" s="27">
        <v>0.16023399999999999</v>
      </c>
    </row>
    <row r="68" spans="1:7" x14ac:dyDescent="0.15">
      <c r="A68" s="4" t="s">
        <v>498</v>
      </c>
      <c r="B68" s="27">
        <v>2.8625000000000001E-2</v>
      </c>
      <c r="C68" s="27">
        <v>-0.17355899999999999</v>
      </c>
      <c r="D68" s="27">
        <v>-6.4782000000000006E-2</v>
      </c>
      <c r="E68" s="27">
        <v>0.56492200000000004</v>
      </c>
      <c r="F68" s="27">
        <v>-2.1298999999999998E-2</v>
      </c>
      <c r="G68" s="27">
        <v>0.25626399999999999</v>
      </c>
    </row>
    <row r="69" spans="1:7" x14ac:dyDescent="0.15">
      <c r="A69" s="4" t="s">
        <v>499</v>
      </c>
      <c r="B69" s="27">
        <v>9.2949999999999994E-3</v>
      </c>
      <c r="C69" s="27">
        <v>-0.26323800000000003</v>
      </c>
      <c r="D69" s="27">
        <v>-0.101511</v>
      </c>
      <c r="E69" s="27">
        <v>0.95613700000000001</v>
      </c>
      <c r="F69" s="27">
        <v>-9.4269000000000006E-2</v>
      </c>
      <c r="G69" s="27">
        <v>0.45284000000000002</v>
      </c>
    </row>
    <row r="70" spans="1:7" x14ac:dyDescent="0.15">
      <c r="A70" s="4" t="s">
        <v>500</v>
      </c>
      <c r="B70" s="27">
        <v>9.2420000000000002E-3</v>
      </c>
      <c r="C70" s="27">
        <v>-0.26529900000000001</v>
      </c>
      <c r="D70" s="27">
        <v>-0.10287</v>
      </c>
      <c r="E70" s="27">
        <v>0.964642</v>
      </c>
      <c r="F70" s="27">
        <v>-9.4140000000000001E-2</v>
      </c>
      <c r="G70" s="27">
        <v>0.45588000000000001</v>
      </c>
    </row>
    <row r="71" spans="1:7" x14ac:dyDescent="0.15">
      <c r="A71" s="4" t="s">
        <v>121</v>
      </c>
      <c r="B71" s="27">
        <v>-5.3392000000000002E-2</v>
      </c>
      <c r="C71" s="27">
        <v>-0.377251</v>
      </c>
      <c r="D71" s="27">
        <v>-0.18514</v>
      </c>
      <c r="E71" s="27">
        <v>1.8444430000000001</v>
      </c>
      <c r="F71" s="27">
        <v>-0.39541199999999999</v>
      </c>
      <c r="G71" s="27">
        <v>0.35692800000000002</v>
      </c>
    </row>
    <row r="72" spans="1:7" x14ac:dyDescent="0.15">
      <c r="A72" s="4" t="s">
        <v>126</v>
      </c>
      <c r="B72" s="27">
        <v>-4.7482999999999997E-2</v>
      </c>
      <c r="C72" s="27">
        <v>-0.375915</v>
      </c>
      <c r="D72" s="27">
        <v>-0.181759</v>
      </c>
      <c r="E72" s="27">
        <v>1.7991250000000001</v>
      </c>
      <c r="F72" s="27">
        <v>-0.39632299999999998</v>
      </c>
      <c r="G72" s="27">
        <v>0.35728900000000002</v>
      </c>
    </row>
    <row r="73" spans="1:7" x14ac:dyDescent="0.15">
      <c r="A73" s="4" t="s">
        <v>501</v>
      </c>
      <c r="B73" s="27">
        <v>-3.9342000000000002E-2</v>
      </c>
      <c r="C73" s="27">
        <v>-0.27606000000000003</v>
      </c>
      <c r="D73" s="27">
        <v>-4.2402000000000002E-2</v>
      </c>
      <c r="E73" s="27">
        <v>1.109154</v>
      </c>
      <c r="F73" s="27">
        <v>-0.23714299999999999</v>
      </c>
      <c r="G73" s="27">
        <v>0.347858</v>
      </c>
    </row>
    <row r="74" spans="1:7" x14ac:dyDescent="0.15">
      <c r="A74" s="4" t="s">
        <v>502</v>
      </c>
      <c r="B74" s="27">
        <v>-4.7482999999999997E-2</v>
      </c>
      <c r="C74" s="27">
        <v>-0.375915</v>
      </c>
      <c r="D74" s="27">
        <v>-0.181759</v>
      </c>
      <c r="E74" s="27">
        <v>1.7991250000000001</v>
      </c>
      <c r="F74" s="27">
        <v>-0.39632299999999998</v>
      </c>
      <c r="G74" s="27">
        <v>0.35728900000000002</v>
      </c>
    </row>
    <row r="75" spans="1:7" x14ac:dyDescent="0.15">
      <c r="A75" s="4"/>
      <c r="B75" s="4"/>
      <c r="C75" s="4"/>
      <c r="D75" s="4"/>
      <c r="E75" s="4"/>
      <c r="F75" s="4"/>
      <c r="G75" s="4"/>
    </row>
    <row r="76" spans="1:7" x14ac:dyDescent="0.15">
      <c r="A76" s="4" t="s">
        <v>503</v>
      </c>
      <c r="B76" s="27">
        <v>0.77929499999999996</v>
      </c>
      <c r="C76" s="27">
        <v>-0.677311</v>
      </c>
      <c r="D76" s="27">
        <v>0.85062300000000002</v>
      </c>
      <c r="E76" s="27">
        <v>0.23724400000000001</v>
      </c>
      <c r="F76" s="27">
        <v>2.5588E-2</v>
      </c>
      <c r="G76" s="27">
        <v>-0.29882799999999998</v>
      </c>
    </row>
    <row r="77" spans="1:7" x14ac:dyDescent="0.15">
      <c r="A77" s="4" t="s">
        <v>504</v>
      </c>
      <c r="B77" s="27">
        <v>-1.2315E-2</v>
      </c>
      <c r="C77" s="27">
        <v>0.40090500000000001</v>
      </c>
      <c r="D77" s="27">
        <v>-0.136182</v>
      </c>
      <c r="E77" s="27">
        <v>0.489394</v>
      </c>
      <c r="F77" s="27">
        <v>0.32132699999999997</v>
      </c>
      <c r="G77" s="27">
        <v>0.14304900000000001</v>
      </c>
    </row>
    <row r="78" spans="1:7" x14ac:dyDescent="0.15">
      <c r="A78" s="4" t="s">
        <v>505</v>
      </c>
      <c r="B78" s="27">
        <v>7.8896999999999995E-2</v>
      </c>
      <c r="C78" s="27">
        <v>0.26104500000000003</v>
      </c>
      <c r="D78" s="27">
        <v>9.2555999999999999E-2</v>
      </c>
      <c r="E78" s="27">
        <v>0.22733800000000001</v>
      </c>
      <c r="F78" s="27">
        <v>9.0711E-2</v>
      </c>
      <c r="G78" s="27">
        <v>6.3346E-2</v>
      </c>
    </row>
    <row r="79" spans="1:7" x14ac:dyDescent="0.15">
      <c r="A79" s="4" t="s">
        <v>506</v>
      </c>
      <c r="B79" s="27">
        <v>4.0078999999999997E-2</v>
      </c>
      <c r="C79" s="27">
        <v>0.18900800000000001</v>
      </c>
      <c r="D79" s="27">
        <v>0.14124300000000001</v>
      </c>
      <c r="E79" s="27">
        <v>0.15995400000000001</v>
      </c>
      <c r="F79" s="27">
        <v>9.8760000000000001E-2</v>
      </c>
      <c r="G79" s="27">
        <v>5.3704000000000002E-2</v>
      </c>
    </row>
    <row r="80" spans="1:7" x14ac:dyDescent="0.15">
      <c r="A80" s="4"/>
      <c r="B80" s="4"/>
      <c r="C80" s="4"/>
      <c r="D80" s="4"/>
      <c r="E80" s="4"/>
      <c r="F80" s="4"/>
      <c r="G80" s="4"/>
    </row>
    <row r="81" spans="1:7" x14ac:dyDescent="0.15">
      <c r="A81" s="4" t="s">
        <v>507</v>
      </c>
      <c r="B81" s="27">
        <v>8.7668999999999997E-2</v>
      </c>
      <c r="C81" s="27">
        <v>-1.0316000000000001E-2</v>
      </c>
      <c r="D81" s="27">
        <v>0.107658</v>
      </c>
      <c r="E81" s="27">
        <v>0.224523</v>
      </c>
      <c r="F81" s="27">
        <v>3.4717999999999999E-2</v>
      </c>
      <c r="G81" s="27">
        <v>9.3812999999999994E-2</v>
      </c>
    </row>
    <row r="82" spans="1:7" x14ac:dyDescent="0.15">
      <c r="A82" s="4" t="s">
        <v>508</v>
      </c>
      <c r="B82" s="27">
        <v>7.8827999999999995E-2</v>
      </c>
      <c r="C82" s="27">
        <v>-1.3602E-2</v>
      </c>
      <c r="D82" s="27">
        <v>9.8478999999999997E-2</v>
      </c>
      <c r="E82" s="27">
        <v>0.217115</v>
      </c>
      <c r="F82" s="27">
        <v>3.7328E-2</v>
      </c>
      <c r="G82" s="27">
        <v>0.100049</v>
      </c>
    </row>
    <row r="83" spans="1:7" x14ac:dyDescent="0.15">
      <c r="A83" s="4" t="s">
        <v>270</v>
      </c>
      <c r="B83" s="27">
        <v>6.3592999999999997E-2</v>
      </c>
      <c r="C83" s="27">
        <v>1.7021999999999999E-2</v>
      </c>
      <c r="D83" s="27">
        <v>-4.9200000000000001E-2</v>
      </c>
      <c r="E83" s="27">
        <v>0.771783</v>
      </c>
      <c r="F83" s="27">
        <v>-0.45914100000000002</v>
      </c>
      <c r="G83" s="27">
        <v>0.24402399999999999</v>
      </c>
    </row>
    <row r="84" spans="1:7" x14ac:dyDescent="0.15">
      <c r="A84" s="4" t="s">
        <v>509</v>
      </c>
      <c r="B84" s="27">
        <v>0.21063399999999999</v>
      </c>
      <c r="C84" s="27">
        <v>0.236927</v>
      </c>
      <c r="D84" s="27">
        <v>-2.7386000000000001E-2</v>
      </c>
      <c r="E84" s="27">
        <v>0.31173800000000002</v>
      </c>
      <c r="F84" s="27">
        <v>5.4079999999999996E-3</v>
      </c>
      <c r="G84" s="27">
        <v>-0.173433</v>
      </c>
    </row>
    <row r="85" spans="1:7" ht="12" x14ac:dyDescent="0.15">
      <c r="A85" s="4" t="s">
        <v>510</v>
      </c>
      <c r="B85" s="27">
        <v>-0.28804800000000003</v>
      </c>
      <c r="C85" s="27">
        <v>-0.59326599999999996</v>
      </c>
      <c r="D85" s="27" t="s">
        <v>511</v>
      </c>
      <c r="E85" s="27" t="s">
        <v>511</v>
      </c>
      <c r="F85" s="27" t="s">
        <v>511</v>
      </c>
      <c r="G85" s="27" t="s">
        <v>511</v>
      </c>
    </row>
    <row r="86" spans="1:7" ht="12" x14ac:dyDescent="0.15">
      <c r="A86" s="4" t="s">
        <v>512</v>
      </c>
      <c r="B86" s="27">
        <v>-0.16156300000000001</v>
      </c>
      <c r="C86" s="27">
        <v>-0.50694399999999995</v>
      </c>
      <c r="D86" s="27">
        <v>-0.94019399999999997</v>
      </c>
      <c r="E86" s="27">
        <v>67.314542000000003</v>
      </c>
      <c r="F86" s="27" t="s">
        <v>511</v>
      </c>
      <c r="G86" s="27" t="s">
        <v>511</v>
      </c>
    </row>
    <row r="87" spans="1:7" ht="12" x14ac:dyDescent="0.15">
      <c r="A87" s="4" t="s">
        <v>513</v>
      </c>
      <c r="B87" s="27">
        <v>0</v>
      </c>
      <c r="C87" s="16" t="s">
        <v>140</v>
      </c>
      <c r="D87" s="16" t="s">
        <v>140</v>
      </c>
      <c r="E87" s="27">
        <v>1</v>
      </c>
      <c r="F87" s="27">
        <v>-0.13333400000000001</v>
      </c>
      <c r="G87" s="27">
        <v>-0.13333400000000001</v>
      </c>
    </row>
    <row r="88" spans="1:7" x14ac:dyDescent="0.15">
      <c r="A88" s="4"/>
      <c r="B88" s="4"/>
      <c r="C88" s="4"/>
      <c r="D88" s="4"/>
      <c r="E88" s="4"/>
      <c r="F88" s="4"/>
      <c r="G88" s="4"/>
    </row>
    <row r="89" spans="1:7" x14ac:dyDescent="0.15">
      <c r="A89" s="9" t="s">
        <v>514</v>
      </c>
      <c r="B89" s="4"/>
      <c r="C89" s="4"/>
      <c r="D89" s="4"/>
      <c r="E89" s="4"/>
      <c r="F89" s="4"/>
      <c r="G89" s="4"/>
    </row>
    <row r="90" spans="1:7" x14ac:dyDescent="0.15">
      <c r="A90" s="4" t="s">
        <v>98</v>
      </c>
      <c r="B90" s="27">
        <v>7.7216999999999994E-2</v>
      </c>
      <c r="C90" s="27">
        <v>4.9728000000000001E-2</v>
      </c>
      <c r="D90" s="27">
        <v>1.3845E-2</v>
      </c>
      <c r="E90" s="27">
        <v>0.21019399999999999</v>
      </c>
      <c r="F90" s="27">
        <v>0.247645</v>
      </c>
      <c r="G90" s="27">
        <v>6.6217999999999999E-2</v>
      </c>
    </row>
    <row r="91" spans="1:7" x14ac:dyDescent="0.15">
      <c r="A91" s="4" t="s">
        <v>100</v>
      </c>
      <c r="B91" s="27">
        <v>6.615E-2</v>
      </c>
      <c r="C91" s="27">
        <v>-3.9765000000000002E-2</v>
      </c>
      <c r="D91" s="27">
        <v>-6.8949999999999997E-2</v>
      </c>
      <c r="E91" s="27">
        <v>0.221161</v>
      </c>
      <c r="F91" s="27">
        <v>0.255133</v>
      </c>
      <c r="G91" s="27">
        <v>6.8270999999999998E-2</v>
      </c>
    </row>
    <row r="92" spans="1:7" x14ac:dyDescent="0.15">
      <c r="A92" s="4" t="s">
        <v>498</v>
      </c>
      <c r="B92" s="27">
        <v>5.7861000000000003E-2</v>
      </c>
      <c r="C92" s="27">
        <v>-7.7992000000000006E-2</v>
      </c>
      <c r="D92" s="27">
        <v>-0.120851</v>
      </c>
      <c r="E92" s="27">
        <v>0.20977000000000001</v>
      </c>
      <c r="F92" s="27">
        <v>0.23757500000000001</v>
      </c>
      <c r="G92" s="27">
        <v>2.0657999999999999E-2</v>
      </c>
    </row>
    <row r="93" spans="1:7" x14ac:dyDescent="0.15">
      <c r="A93" s="4" t="s">
        <v>499</v>
      </c>
      <c r="B93" s="27">
        <v>4.6380999999999999E-2</v>
      </c>
      <c r="C93" s="27">
        <v>-0.13767099999999999</v>
      </c>
      <c r="D93" s="27">
        <v>-0.18638199999999999</v>
      </c>
      <c r="E93" s="27">
        <v>0.32573299999999999</v>
      </c>
      <c r="F93" s="27">
        <v>0.331065</v>
      </c>
      <c r="G93" s="27">
        <v>-6.6552E-2</v>
      </c>
    </row>
    <row r="94" spans="1:7" x14ac:dyDescent="0.15">
      <c r="A94" s="4" t="s">
        <v>500</v>
      </c>
      <c r="B94" s="27">
        <v>4.8676999999999998E-2</v>
      </c>
      <c r="C94" s="27">
        <v>-0.138901</v>
      </c>
      <c r="D94" s="27">
        <v>-0.188136</v>
      </c>
      <c r="E94" s="27">
        <v>0.32760699999999998</v>
      </c>
      <c r="F94" s="27">
        <v>0.33405099999999999</v>
      </c>
      <c r="G94" s="27">
        <v>-6.6506999999999997E-2</v>
      </c>
    </row>
    <row r="95" spans="1:7" x14ac:dyDescent="0.15">
      <c r="A95" s="4" t="s">
        <v>121</v>
      </c>
      <c r="B95" s="27">
        <v>9.1132000000000005E-2</v>
      </c>
      <c r="C95" s="27">
        <v>-0.232211</v>
      </c>
      <c r="D95" s="27">
        <v>-0.28764200000000001</v>
      </c>
      <c r="E95" s="27">
        <v>0.52244000000000002</v>
      </c>
      <c r="F95" s="27">
        <v>0.31137999999999999</v>
      </c>
      <c r="G95" s="27">
        <v>-0.24942600000000001</v>
      </c>
    </row>
    <row r="96" spans="1:7" x14ac:dyDescent="0.15">
      <c r="A96" s="4" t="s">
        <v>126</v>
      </c>
      <c r="B96" s="27">
        <v>9.3235999999999999E-2</v>
      </c>
      <c r="C96" s="27">
        <v>-0.228993</v>
      </c>
      <c r="D96" s="27">
        <v>-0.28540100000000002</v>
      </c>
      <c r="E96" s="27">
        <v>0.51339400000000002</v>
      </c>
      <c r="F96" s="27">
        <v>0.29991099999999998</v>
      </c>
      <c r="G96" s="27">
        <v>-0.24479999999999999</v>
      </c>
    </row>
    <row r="97" spans="1:7" x14ac:dyDescent="0.15">
      <c r="A97" s="4" t="s">
        <v>501</v>
      </c>
      <c r="B97" s="27">
        <v>-1.6372000000000001E-2</v>
      </c>
      <c r="C97" s="27">
        <v>-0.16605800000000001</v>
      </c>
      <c r="D97" s="27">
        <v>-0.16738800000000001</v>
      </c>
      <c r="E97" s="27">
        <v>0.42116999999999999</v>
      </c>
      <c r="F97" s="27">
        <v>0.26845799999999997</v>
      </c>
      <c r="G97" s="27">
        <v>-0.12637000000000001</v>
      </c>
    </row>
    <row r="98" spans="1:7" x14ac:dyDescent="0.15">
      <c r="A98" s="4" t="s">
        <v>502</v>
      </c>
      <c r="B98" s="27">
        <v>9.3235999999999999E-2</v>
      </c>
      <c r="C98" s="27">
        <v>-0.228993</v>
      </c>
      <c r="D98" s="27">
        <v>-0.28540100000000002</v>
      </c>
      <c r="E98" s="27">
        <v>0.51339400000000002</v>
      </c>
      <c r="F98" s="27">
        <v>0.29991099999999998</v>
      </c>
      <c r="G98" s="27">
        <v>-0.24479999999999999</v>
      </c>
    </row>
    <row r="99" spans="1:7" x14ac:dyDescent="0.15">
      <c r="A99" s="4"/>
      <c r="B99" s="4"/>
      <c r="C99" s="4"/>
      <c r="D99" s="4"/>
      <c r="E99" s="4"/>
      <c r="F99" s="4"/>
      <c r="G99" s="4"/>
    </row>
    <row r="100" spans="1:7" x14ac:dyDescent="0.15">
      <c r="A100" s="4" t="s">
        <v>503</v>
      </c>
      <c r="B100" s="27">
        <v>0.31633899999999998</v>
      </c>
      <c r="C100" s="27">
        <v>-0.24226700000000001</v>
      </c>
      <c r="D100" s="27">
        <v>-0.22722899999999999</v>
      </c>
      <c r="E100" s="27">
        <v>0.51316700000000004</v>
      </c>
      <c r="F100" s="27">
        <v>0.12645600000000001</v>
      </c>
      <c r="G100" s="27">
        <v>-2.5012E-2</v>
      </c>
    </row>
    <row r="101" spans="1:7" x14ac:dyDescent="0.15">
      <c r="A101" s="4" t="s">
        <v>504</v>
      </c>
      <c r="B101" s="27">
        <v>0.119273</v>
      </c>
      <c r="C101" s="27">
        <v>0.176288</v>
      </c>
      <c r="D101" s="27">
        <v>0.10005799999999999</v>
      </c>
      <c r="E101" s="27">
        <v>0.134269</v>
      </c>
      <c r="F101" s="27">
        <v>0.40284599999999998</v>
      </c>
      <c r="G101" s="27">
        <v>0.20763400000000001</v>
      </c>
    </row>
    <row r="102" spans="1:7" x14ac:dyDescent="0.15">
      <c r="A102" s="4" t="s">
        <v>505</v>
      </c>
      <c r="B102" s="27">
        <v>7.6831999999999998E-2</v>
      </c>
      <c r="C102" s="27">
        <v>0.16642100000000001</v>
      </c>
      <c r="D102" s="27">
        <v>0.17378099999999999</v>
      </c>
      <c r="E102" s="27">
        <v>0.15798799999999999</v>
      </c>
      <c r="F102" s="27">
        <v>0.15701000000000001</v>
      </c>
      <c r="G102" s="27">
        <v>9.0273000000000006E-2</v>
      </c>
    </row>
    <row r="103" spans="1:7" x14ac:dyDescent="0.15">
      <c r="A103" s="4" t="s">
        <v>506</v>
      </c>
      <c r="B103" s="27">
        <v>6.0077999999999999E-2</v>
      </c>
      <c r="C103" s="27">
        <v>0.112054</v>
      </c>
      <c r="D103" s="27">
        <v>0.164881</v>
      </c>
      <c r="E103" s="27">
        <v>0.150561</v>
      </c>
      <c r="F103" s="27">
        <v>0.128942</v>
      </c>
      <c r="G103" s="27">
        <v>6.7140000000000005E-2</v>
      </c>
    </row>
    <row r="104" spans="1:7" x14ac:dyDescent="0.15">
      <c r="A104" s="4"/>
      <c r="B104" s="4"/>
      <c r="C104" s="4"/>
      <c r="D104" s="4"/>
      <c r="E104" s="4"/>
      <c r="F104" s="4"/>
      <c r="G104" s="4"/>
    </row>
    <row r="105" spans="1:7" x14ac:dyDescent="0.15">
      <c r="A105" s="4" t="s">
        <v>507</v>
      </c>
      <c r="B105" s="27">
        <v>0.132437</v>
      </c>
      <c r="C105" s="27">
        <v>3.7520999999999999E-2</v>
      </c>
      <c r="D105" s="27">
        <v>4.7010999999999997E-2</v>
      </c>
      <c r="E105" s="27">
        <v>0.16462599999999999</v>
      </c>
      <c r="F105" s="27">
        <v>0.12562699999999999</v>
      </c>
      <c r="G105" s="27">
        <v>5.9327999999999999E-2</v>
      </c>
    </row>
    <row r="106" spans="1:7" x14ac:dyDescent="0.15">
      <c r="A106" s="4" t="s">
        <v>508</v>
      </c>
      <c r="B106" s="27">
        <v>0.119159</v>
      </c>
      <c r="C106" s="27">
        <v>3.1579000000000003E-2</v>
      </c>
      <c r="D106" s="27">
        <v>4.0932000000000003E-2</v>
      </c>
      <c r="E106" s="27">
        <v>0.156277</v>
      </c>
      <c r="F106" s="27">
        <v>0.12363200000000001</v>
      </c>
      <c r="G106" s="27">
        <v>6.2428999999999998E-2</v>
      </c>
    </row>
    <row r="107" spans="1:7" x14ac:dyDescent="0.15">
      <c r="A107" s="4" t="s">
        <v>270</v>
      </c>
      <c r="B107" s="27">
        <v>7.1546999999999999E-2</v>
      </c>
      <c r="C107" s="27">
        <v>4.0046999999999999E-2</v>
      </c>
      <c r="D107" s="27">
        <v>-1.6646000000000001E-2</v>
      </c>
      <c r="E107" s="27">
        <v>0.29792600000000002</v>
      </c>
      <c r="F107" s="27">
        <v>-2.1080000000000002E-2</v>
      </c>
      <c r="G107" s="27">
        <v>-0.104377</v>
      </c>
    </row>
    <row r="108" spans="1:7" x14ac:dyDescent="0.15">
      <c r="A108" s="4" t="s">
        <v>509</v>
      </c>
      <c r="B108" s="27">
        <v>0.138211</v>
      </c>
      <c r="C108" s="27">
        <v>0.22370999999999999</v>
      </c>
      <c r="D108" s="27">
        <v>9.6837999999999994E-2</v>
      </c>
      <c r="E108" s="27">
        <v>0.12952</v>
      </c>
      <c r="F108" s="27">
        <v>0.14840500000000001</v>
      </c>
      <c r="G108" s="27">
        <v>1.72E-2</v>
      </c>
    </row>
    <row r="109" spans="1:7" ht="12" x14ac:dyDescent="0.15">
      <c r="A109" s="4" t="s">
        <v>510</v>
      </c>
      <c r="B109" s="27">
        <v>-0.12868499999999999</v>
      </c>
      <c r="C109" s="27">
        <v>-0.46187800000000001</v>
      </c>
      <c r="D109" s="27" t="s">
        <v>511</v>
      </c>
      <c r="E109" s="27">
        <v>1.545455</v>
      </c>
      <c r="F109" s="27" t="s">
        <v>511</v>
      </c>
      <c r="G109" s="27">
        <v>-0.453598</v>
      </c>
    </row>
    <row r="110" spans="1:7" ht="12" x14ac:dyDescent="0.15">
      <c r="A110" s="4" t="s">
        <v>512</v>
      </c>
      <c r="B110" s="27">
        <v>-5.9493999999999998E-2</v>
      </c>
      <c r="C110" s="27">
        <v>-0.35704000000000002</v>
      </c>
      <c r="D110" s="27">
        <v>-0.82828199999999996</v>
      </c>
      <c r="E110" s="27">
        <v>1.021296</v>
      </c>
      <c r="F110" s="27" t="s">
        <v>511</v>
      </c>
      <c r="G110" s="27">
        <v>-0.394202</v>
      </c>
    </row>
    <row r="111" spans="1:7" ht="12" x14ac:dyDescent="0.15">
      <c r="A111" s="4" t="s">
        <v>513</v>
      </c>
      <c r="B111" s="27">
        <v>0.12815199999999999</v>
      </c>
      <c r="C111" s="16" t="s">
        <v>140</v>
      </c>
      <c r="D111" s="27">
        <v>-0.34534700000000002</v>
      </c>
      <c r="E111" s="16" t="s">
        <v>140</v>
      </c>
      <c r="F111" s="27">
        <v>0.31656099999999998</v>
      </c>
      <c r="G111" s="27">
        <v>0.31656099999999998</v>
      </c>
    </row>
    <row r="112" spans="1:7" x14ac:dyDescent="0.15">
      <c r="A112" s="4"/>
      <c r="B112" s="4"/>
      <c r="C112" s="4"/>
      <c r="D112" s="4"/>
      <c r="E112" s="4"/>
      <c r="F112" s="4"/>
      <c r="G112" s="4"/>
    </row>
    <row r="113" spans="1:7" x14ac:dyDescent="0.15">
      <c r="A113" s="9" t="s">
        <v>515</v>
      </c>
      <c r="B113" s="4"/>
      <c r="C113" s="4"/>
      <c r="D113" s="4"/>
      <c r="E113" s="4"/>
      <c r="F113" s="4"/>
      <c r="G113" s="4"/>
    </row>
    <row r="114" spans="1:7" x14ac:dyDescent="0.15">
      <c r="A114" s="4" t="s">
        <v>98</v>
      </c>
      <c r="B114" s="27">
        <v>0.10365199999999999</v>
      </c>
      <c r="C114" s="27">
        <v>6.6095000000000001E-2</v>
      </c>
      <c r="D114" s="27">
        <v>2.7476E-2</v>
      </c>
      <c r="E114" s="27">
        <v>0.152119</v>
      </c>
      <c r="F114" s="27">
        <v>0.15287200000000001</v>
      </c>
      <c r="G114" s="27">
        <v>0.20438999999999999</v>
      </c>
    </row>
    <row r="115" spans="1:7" x14ac:dyDescent="0.15">
      <c r="A115" s="4" t="s">
        <v>100</v>
      </c>
      <c r="B115" s="27">
        <v>0.101745</v>
      </c>
      <c r="C115" s="27">
        <v>-1.6590000000000001E-3</v>
      </c>
      <c r="D115" s="27">
        <v>-2.9860999999999999E-2</v>
      </c>
      <c r="E115" s="27">
        <v>9.2904E-2</v>
      </c>
      <c r="F115" s="27">
        <v>0.159778</v>
      </c>
      <c r="G115" s="27">
        <v>0.21628700000000001</v>
      </c>
    </row>
    <row r="116" spans="1:7" x14ac:dyDescent="0.15">
      <c r="A116" s="4" t="s">
        <v>498</v>
      </c>
      <c r="B116" s="27">
        <v>0.133495</v>
      </c>
      <c r="C116" s="27">
        <v>-2.5706E-2</v>
      </c>
      <c r="D116" s="27">
        <v>-7.3608999999999994E-2</v>
      </c>
      <c r="E116" s="27">
        <v>6.5464999999999995E-2</v>
      </c>
      <c r="F116" s="27">
        <v>0.127246</v>
      </c>
      <c r="G116" s="27">
        <v>0.22328000000000001</v>
      </c>
    </row>
    <row r="117" spans="1:7" x14ac:dyDescent="0.15">
      <c r="A117" s="4" t="s">
        <v>499</v>
      </c>
      <c r="B117" s="27">
        <v>0.14774599999999999</v>
      </c>
      <c r="C117" s="27">
        <v>-6.9100999999999996E-2</v>
      </c>
      <c r="D117" s="27">
        <v>-0.125782</v>
      </c>
      <c r="E117" s="27">
        <v>8.9967000000000005E-2</v>
      </c>
      <c r="F117" s="27">
        <v>0.167627</v>
      </c>
      <c r="G117" s="27">
        <v>0.40704099999999999</v>
      </c>
    </row>
    <row r="118" spans="1:7" x14ac:dyDescent="0.15">
      <c r="A118" s="4" t="s">
        <v>500</v>
      </c>
      <c r="B118" s="27">
        <v>0.15198</v>
      </c>
      <c r="C118" s="27">
        <v>-6.8610000000000004E-2</v>
      </c>
      <c r="D118" s="27">
        <v>-0.127054</v>
      </c>
      <c r="E118" s="27">
        <v>8.9976E-2</v>
      </c>
      <c r="F118" s="27">
        <v>0.16878199999999999</v>
      </c>
      <c r="G118" s="27">
        <v>0.41005200000000003</v>
      </c>
    </row>
    <row r="119" spans="1:7" x14ac:dyDescent="0.15">
      <c r="A119" s="4" t="s">
        <v>121</v>
      </c>
      <c r="B119" s="27">
        <v>0.14544199999999999</v>
      </c>
      <c r="C119" s="27">
        <v>-9.4914999999999999E-2</v>
      </c>
      <c r="D119" s="27">
        <v>-0.216831</v>
      </c>
      <c r="E119" s="27">
        <v>0.130138</v>
      </c>
      <c r="F119" s="27">
        <v>0.119043</v>
      </c>
      <c r="G119" s="27">
        <v>1.169122</v>
      </c>
    </row>
    <row r="120" spans="1:7" x14ac:dyDescent="0.15">
      <c r="A120" s="4" t="s">
        <v>126</v>
      </c>
      <c r="B120" s="27">
        <v>0.145425</v>
      </c>
      <c r="C120" s="27">
        <v>-9.3104000000000006E-2</v>
      </c>
      <c r="D120" s="27">
        <v>-0.213559</v>
      </c>
      <c r="E120" s="27">
        <v>0.12646099999999999</v>
      </c>
      <c r="F120" s="27">
        <v>0.11404599999999999</v>
      </c>
      <c r="G120" s="27">
        <v>0.94049799999999995</v>
      </c>
    </row>
    <row r="121" spans="1:7" x14ac:dyDescent="0.15">
      <c r="A121" s="4" t="s">
        <v>501</v>
      </c>
      <c r="B121" s="27">
        <v>0.190827</v>
      </c>
      <c r="C121" s="27">
        <v>-0.111914</v>
      </c>
      <c r="D121" s="27">
        <v>-0.126724</v>
      </c>
      <c r="E121" s="27">
        <v>0.13500599999999999</v>
      </c>
      <c r="F121" s="27">
        <v>0.15499099999999999</v>
      </c>
      <c r="G121" s="27">
        <v>0.33701199999999998</v>
      </c>
    </row>
    <row r="122" spans="1:7" x14ac:dyDescent="0.15">
      <c r="A122" s="4" t="s">
        <v>502</v>
      </c>
      <c r="B122" s="27">
        <v>0.145425</v>
      </c>
      <c r="C122" s="27">
        <v>-9.3104999999999993E-2</v>
      </c>
      <c r="D122" s="27">
        <v>-0.213559</v>
      </c>
      <c r="E122" s="27">
        <v>0.12646099999999999</v>
      </c>
      <c r="F122" s="27">
        <v>0.11404599999999999</v>
      </c>
      <c r="G122" s="27">
        <v>0.94049799999999995</v>
      </c>
    </row>
    <row r="123" spans="1:7" x14ac:dyDescent="0.15">
      <c r="A123" s="4"/>
      <c r="B123" s="4"/>
      <c r="C123" s="4"/>
      <c r="D123" s="4"/>
      <c r="E123" s="4"/>
      <c r="F123" s="4"/>
      <c r="G123" s="4"/>
    </row>
    <row r="124" spans="1:7" x14ac:dyDescent="0.15">
      <c r="A124" s="4" t="s">
        <v>503</v>
      </c>
      <c r="B124" s="27">
        <v>0.119783</v>
      </c>
      <c r="C124" s="27">
        <v>-0.17616599999999999</v>
      </c>
      <c r="D124" s="27">
        <v>2.043E-2</v>
      </c>
      <c r="E124" s="27">
        <v>-9.5963999999999994E-2</v>
      </c>
      <c r="F124" s="27">
        <v>0.329175</v>
      </c>
      <c r="G124" s="27">
        <v>0.29293799999999998</v>
      </c>
    </row>
    <row r="125" spans="1:7" x14ac:dyDescent="0.15">
      <c r="A125" s="4" t="s">
        <v>504</v>
      </c>
      <c r="B125" s="27">
        <v>9.3747999999999998E-2</v>
      </c>
      <c r="C125" s="27">
        <v>0.20622199999999999</v>
      </c>
      <c r="D125" s="27">
        <v>6.1247000000000003E-2</v>
      </c>
      <c r="E125" s="27">
        <v>0.216971</v>
      </c>
      <c r="F125" s="27">
        <v>0.19347800000000001</v>
      </c>
      <c r="G125" s="27">
        <v>0.28813800000000001</v>
      </c>
    </row>
    <row r="126" spans="1:7" x14ac:dyDescent="0.15">
      <c r="A126" s="4" t="s">
        <v>505</v>
      </c>
      <c r="B126" s="27">
        <v>6.4529000000000003E-2</v>
      </c>
      <c r="C126" s="27">
        <v>0.13503399999999999</v>
      </c>
      <c r="D126" s="27">
        <v>0.141261</v>
      </c>
      <c r="E126" s="27">
        <v>0.19136900000000001</v>
      </c>
      <c r="F126" s="27">
        <v>0.13511400000000001</v>
      </c>
      <c r="G126" s="27">
        <v>0.14854899999999999</v>
      </c>
    </row>
    <row r="127" spans="1:7" x14ac:dyDescent="0.15">
      <c r="A127" s="4" t="s">
        <v>506</v>
      </c>
      <c r="B127" s="27">
        <v>7.2428999999999993E-2</v>
      </c>
      <c r="C127" s="27">
        <v>0.101421</v>
      </c>
      <c r="D127" s="27">
        <v>0.1217</v>
      </c>
      <c r="E127" s="27">
        <v>0.16323699999999999</v>
      </c>
      <c r="F127" s="27">
        <v>0.13302800000000001</v>
      </c>
      <c r="G127" s="27">
        <v>0.11110299999999999</v>
      </c>
    </row>
    <row r="128" spans="1:7" x14ac:dyDescent="0.15">
      <c r="A128" s="4"/>
      <c r="B128" s="4"/>
      <c r="C128" s="4"/>
      <c r="D128" s="4"/>
      <c r="E128" s="4"/>
      <c r="F128" s="4"/>
      <c r="G128" s="4"/>
    </row>
    <row r="129" spans="1:7" x14ac:dyDescent="0.15">
      <c r="A129" s="4" t="s">
        <v>507</v>
      </c>
      <c r="B129" s="27">
        <v>0.13658899999999999</v>
      </c>
      <c r="C129" s="27">
        <v>8.2699999999999996E-2</v>
      </c>
      <c r="D129" s="27">
        <v>6.0392000000000001E-2</v>
      </c>
      <c r="E129" s="27">
        <v>0.103121</v>
      </c>
      <c r="F129" s="27">
        <v>0.119606</v>
      </c>
      <c r="G129" s="27">
        <v>0.145012</v>
      </c>
    </row>
    <row r="130" spans="1:7" x14ac:dyDescent="0.15">
      <c r="A130" s="4" t="s">
        <v>508</v>
      </c>
      <c r="B130" s="27">
        <v>0.120701</v>
      </c>
      <c r="C130" s="27">
        <v>7.3029999999999998E-2</v>
      </c>
      <c r="D130" s="27">
        <v>5.3414000000000003E-2</v>
      </c>
      <c r="E130" s="27">
        <v>9.6627000000000005E-2</v>
      </c>
      <c r="F130" s="27">
        <v>0.115185</v>
      </c>
      <c r="G130" s="27">
        <v>0.141456</v>
      </c>
    </row>
    <row r="131" spans="1:7" x14ac:dyDescent="0.15">
      <c r="A131" s="4" t="s">
        <v>270</v>
      </c>
      <c r="B131" s="27">
        <v>0.114775</v>
      </c>
      <c r="C131" s="27">
        <v>5.3054999999999998E-2</v>
      </c>
      <c r="D131" s="27">
        <v>9.4039999999999992E-3</v>
      </c>
      <c r="E131" s="27">
        <v>0.19658500000000001</v>
      </c>
      <c r="F131" s="27">
        <v>-3.0544000000000002E-2</v>
      </c>
      <c r="G131" s="27">
        <v>0.162186</v>
      </c>
    </row>
    <row r="132" spans="1:7" x14ac:dyDescent="0.15">
      <c r="A132" s="4" t="s">
        <v>509</v>
      </c>
      <c r="B132" s="27">
        <v>8.5512000000000005E-2</v>
      </c>
      <c r="C132" s="27">
        <v>0.170209</v>
      </c>
      <c r="D132" s="27">
        <v>0.13352900000000001</v>
      </c>
      <c r="E132" s="27">
        <v>0.164244</v>
      </c>
      <c r="F132" s="27">
        <v>8.6534E-2</v>
      </c>
      <c r="G132" s="27">
        <v>7.3733000000000007E-2</v>
      </c>
    </row>
    <row r="133" spans="1:7" ht="12" x14ac:dyDescent="0.15">
      <c r="A133" s="4" t="s">
        <v>510</v>
      </c>
      <c r="B133" s="27">
        <v>0.230772</v>
      </c>
      <c r="C133" s="27">
        <v>-0.32409300000000002</v>
      </c>
      <c r="D133" s="27" t="s">
        <v>511</v>
      </c>
      <c r="E133" s="27">
        <v>0.381276</v>
      </c>
      <c r="F133" s="27" t="s">
        <v>511</v>
      </c>
      <c r="G133" s="27" t="s">
        <v>511</v>
      </c>
    </row>
    <row r="134" spans="1:7" ht="12" x14ac:dyDescent="0.15">
      <c r="A134" s="4" t="s">
        <v>512</v>
      </c>
      <c r="B134" s="27">
        <v>0.180758</v>
      </c>
      <c r="C134" s="27">
        <v>-0.241644</v>
      </c>
      <c r="D134" s="27">
        <v>-0.70868200000000003</v>
      </c>
      <c r="E134" s="27">
        <v>0.26294800000000002</v>
      </c>
      <c r="F134" s="27" t="s">
        <v>511</v>
      </c>
      <c r="G134" s="27" t="s">
        <v>511</v>
      </c>
    </row>
    <row r="135" spans="1:7" ht="12" x14ac:dyDescent="0.15">
      <c r="A135" s="4" t="s">
        <v>513</v>
      </c>
      <c r="B135" s="27">
        <v>0.15867500000000001</v>
      </c>
      <c r="C135" s="16" t="s">
        <v>140</v>
      </c>
      <c r="D135" s="27">
        <v>-0.24605299999999999</v>
      </c>
      <c r="E135" s="27">
        <v>-5.0085999999999999E-2</v>
      </c>
      <c r="F135" s="16" t="s">
        <v>140</v>
      </c>
      <c r="G135" s="16" t="s">
        <v>140</v>
      </c>
    </row>
    <row r="136" spans="1:7" x14ac:dyDescent="0.15">
      <c r="A136" s="4"/>
      <c r="B136" s="4"/>
      <c r="C136" s="4"/>
      <c r="D136" s="4"/>
      <c r="E136" s="4"/>
      <c r="F136" s="4"/>
      <c r="G136" s="4"/>
    </row>
    <row r="137" spans="1:7" x14ac:dyDescent="0.15">
      <c r="A137" s="9" t="s">
        <v>516</v>
      </c>
      <c r="B137" s="4"/>
      <c r="C137" s="4"/>
      <c r="D137" s="4"/>
      <c r="E137" s="4"/>
      <c r="F137" s="4"/>
      <c r="G137" s="4"/>
    </row>
    <row r="138" spans="1:7" x14ac:dyDescent="0.15">
      <c r="A138" s="4" t="s">
        <v>98</v>
      </c>
      <c r="B138" s="27">
        <v>8.8647000000000004E-2</v>
      </c>
      <c r="C138" s="27">
        <v>8.0274999999999999E-2</v>
      </c>
      <c r="D138" s="27">
        <v>6.6811999999999996E-2</v>
      </c>
      <c r="E138" s="27">
        <v>0.12155299999999999</v>
      </c>
      <c r="F138" s="27">
        <v>0.11045099999999999</v>
      </c>
      <c r="G138" s="27">
        <v>0.112457</v>
      </c>
    </row>
    <row r="139" spans="1:7" x14ac:dyDescent="0.15">
      <c r="A139" s="4" t="s">
        <v>100</v>
      </c>
      <c r="B139" s="27">
        <v>8.1068000000000001E-2</v>
      </c>
      <c r="C139" s="27">
        <v>4.0092000000000003E-2</v>
      </c>
      <c r="D139" s="27">
        <v>3.0002000000000001E-2</v>
      </c>
      <c r="E139" s="27">
        <v>8.2123000000000002E-2</v>
      </c>
      <c r="F139" s="27">
        <v>7.5414999999999996E-2</v>
      </c>
      <c r="G139" s="27">
        <v>8.0404000000000003E-2</v>
      </c>
    </row>
    <row r="140" spans="1:7" x14ac:dyDescent="0.15">
      <c r="A140" s="4" t="s">
        <v>498</v>
      </c>
      <c r="B140" s="27">
        <v>0.13874800000000001</v>
      </c>
      <c r="C140" s="27">
        <v>6.3188999999999995E-2</v>
      </c>
      <c r="D140" s="27">
        <v>2.3945000000000001E-2</v>
      </c>
      <c r="E140" s="27">
        <v>6.2417E-2</v>
      </c>
      <c r="F140" s="27">
        <v>4.0171999999999999E-2</v>
      </c>
      <c r="G140" s="27">
        <v>6.3022999999999996E-2</v>
      </c>
    </row>
    <row r="141" spans="1:7" x14ac:dyDescent="0.15">
      <c r="A141" s="4" t="s">
        <v>499</v>
      </c>
      <c r="B141" s="27">
        <v>0.18076800000000001</v>
      </c>
      <c r="C141" s="27">
        <v>5.6751000000000003E-2</v>
      </c>
      <c r="D141" s="27">
        <v>1.74E-4</v>
      </c>
      <c r="E141" s="27">
        <v>7.2318999999999994E-2</v>
      </c>
      <c r="F141" s="27">
        <v>3.4312000000000002E-2</v>
      </c>
      <c r="G141" s="27">
        <v>5.9117000000000003E-2</v>
      </c>
    </row>
    <row r="142" spans="1:7" x14ac:dyDescent="0.15">
      <c r="A142" s="4" t="s">
        <v>500</v>
      </c>
      <c r="B142" s="27">
        <v>0.18496000000000001</v>
      </c>
      <c r="C142" s="27">
        <v>5.9523E-2</v>
      </c>
      <c r="D142" s="27">
        <v>1.5219999999999999E-3</v>
      </c>
      <c r="E142" s="27">
        <v>7.3264999999999997E-2</v>
      </c>
      <c r="F142" s="27">
        <v>3.4335999999999998E-2</v>
      </c>
      <c r="G142" s="27">
        <v>5.9221999999999997E-2</v>
      </c>
    </row>
    <row r="143" spans="1:7" x14ac:dyDescent="0.15">
      <c r="A143" s="4" t="s">
        <v>121</v>
      </c>
      <c r="B143" s="27">
        <v>0.23183100000000001</v>
      </c>
      <c r="C143" s="27">
        <v>2.8958000000000001E-2</v>
      </c>
      <c r="D143" s="27">
        <v>-5.2753000000000001E-2</v>
      </c>
      <c r="E143" s="27">
        <v>0.114371</v>
      </c>
      <c r="F143" s="27">
        <v>-3.7490999999999997E-2</v>
      </c>
      <c r="G143" s="27">
        <v>-4.1029999999999999E-3</v>
      </c>
    </row>
    <row r="144" spans="1:7" x14ac:dyDescent="0.15">
      <c r="A144" s="4" t="s">
        <v>126</v>
      </c>
      <c r="B144" s="27">
        <v>0.23481099999999999</v>
      </c>
      <c r="C144" s="27">
        <v>3.2011999999999999E-2</v>
      </c>
      <c r="D144" s="27">
        <v>-5.1569999999999998E-2</v>
      </c>
      <c r="E144" s="27">
        <v>0.113051</v>
      </c>
      <c r="F144" s="27">
        <v>-3.8464999999999999E-2</v>
      </c>
      <c r="G144" s="27">
        <v>-5.7499999999999999E-3</v>
      </c>
    </row>
    <row r="145" spans="1:7" x14ac:dyDescent="0.15">
      <c r="A145" s="4" t="s">
        <v>501</v>
      </c>
      <c r="B145" s="27">
        <v>0.226219</v>
      </c>
      <c r="C145" s="27">
        <v>7.4754000000000001E-2</v>
      </c>
      <c r="D145" s="27">
        <v>3.2016000000000003E-2</v>
      </c>
      <c r="E145" s="27">
        <v>7.1844000000000005E-2</v>
      </c>
      <c r="F145" s="27">
        <v>1.3915E-2</v>
      </c>
      <c r="G145" s="27">
        <v>3.2044000000000003E-2</v>
      </c>
    </row>
    <row r="146" spans="1:7" x14ac:dyDescent="0.15">
      <c r="A146" s="4" t="s">
        <v>502</v>
      </c>
      <c r="B146" s="27">
        <v>0.23510200000000001</v>
      </c>
      <c r="C146" s="27">
        <v>3.2128999999999998E-2</v>
      </c>
      <c r="D146" s="27">
        <v>-5.1569999999999998E-2</v>
      </c>
      <c r="E146" s="27">
        <v>0.113051</v>
      </c>
      <c r="F146" s="27">
        <v>-3.8464999999999999E-2</v>
      </c>
      <c r="G146" s="27">
        <v>-5.7499999999999999E-3</v>
      </c>
    </row>
    <row r="147" spans="1:7" x14ac:dyDescent="0.15">
      <c r="A147" s="4"/>
      <c r="B147" s="4"/>
      <c r="C147" s="4"/>
      <c r="D147" s="4"/>
      <c r="E147" s="4"/>
      <c r="F147" s="4"/>
      <c r="G147" s="4"/>
    </row>
    <row r="148" spans="1:7" x14ac:dyDescent="0.15">
      <c r="A148" s="4" t="s">
        <v>503</v>
      </c>
      <c r="B148" s="27">
        <v>0.104574</v>
      </c>
      <c r="C148" s="27">
        <v>-4.5246000000000001E-2</v>
      </c>
      <c r="D148" s="27">
        <v>-3.4613999999999999E-2</v>
      </c>
      <c r="E148" s="27">
        <v>5.0652000000000003E-2</v>
      </c>
      <c r="F148" s="27">
        <v>6.1587000000000003E-2</v>
      </c>
      <c r="G148" s="27">
        <v>-0.13487399999999999</v>
      </c>
    </row>
    <row r="149" spans="1:7" x14ac:dyDescent="0.15">
      <c r="A149" s="4" t="s">
        <v>504</v>
      </c>
      <c r="B149" s="27">
        <v>0.190467</v>
      </c>
      <c r="C149" s="27">
        <v>0.22875599999999999</v>
      </c>
      <c r="D149" s="27">
        <v>9.6268000000000006E-2</v>
      </c>
      <c r="E149" s="27">
        <v>0.17690900000000001</v>
      </c>
      <c r="F149" s="27">
        <v>0.18657199999999999</v>
      </c>
      <c r="G149" s="27">
        <v>0.201824</v>
      </c>
    </row>
    <row r="150" spans="1:7" x14ac:dyDescent="0.15">
      <c r="A150" s="4" t="s">
        <v>505</v>
      </c>
      <c r="B150" s="27">
        <v>4.8580999999999999E-2</v>
      </c>
      <c r="C150" s="27">
        <v>0.111835</v>
      </c>
      <c r="D150" s="27">
        <v>0.10695300000000001</v>
      </c>
      <c r="E150" s="27">
        <v>0.14416100000000001</v>
      </c>
      <c r="F150" s="27">
        <v>0.147535</v>
      </c>
      <c r="G150" s="27">
        <v>0.14057700000000001</v>
      </c>
    </row>
    <row r="151" spans="1:7" x14ac:dyDescent="0.15">
      <c r="A151" s="4" t="s">
        <v>506</v>
      </c>
      <c r="B151" s="27">
        <v>5.0472999999999997E-2</v>
      </c>
      <c r="C151" s="27">
        <v>9.8835000000000006E-2</v>
      </c>
      <c r="D151" s="27">
        <v>0.10849499999999999</v>
      </c>
      <c r="E151" s="27">
        <v>0.12082</v>
      </c>
      <c r="F151" s="27">
        <v>0.12459099999999999</v>
      </c>
      <c r="G151" s="27">
        <v>0.120758</v>
      </c>
    </row>
    <row r="152" spans="1:7" x14ac:dyDescent="0.15">
      <c r="A152" s="4"/>
      <c r="B152" s="4"/>
      <c r="C152" s="4"/>
      <c r="D152" s="4"/>
      <c r="E152" s="4"/>
      <c r="F152" s="4"/>
      <c r="G152" s="4"/>
    </row>
    <row r="153" spans="1:7" x14ac:dyDescent="0.15">
      <c r="A153" s="4" t="s">
        <v>507</v>
      </c>
      <c r="B153" s="27">
        <v>0.12217</v>
      </c>
      <c r="C153" s="27">
        <v>0.103865</v>
      </c>
      <c r="D153" s="27">
        <v>9.9873000000000003E-2</v>
      </c>
      <c r="E153" s="27">
        <v>0.114755</v>
      </c>
      <c r="F153" s="27">
        <v>8.6019999999999999E-2</v>
      </c>
      <c r="G153" s="27">
        <v>7.9964999999999994E-2</v>
      </c>
    </row>
    <row r="154" spans="1:7" x14ac:dyDescent="0.15">
      <c r="A154" s="4" t="s">
        <v>508</v>
      </c>
      <c r="B154" s="27">
        <v>0.10624599999999999</v>
      </c>
      <c r="C154" s="27">
        <v>8.8893E-2</v>
      </c>
      <c r="D154" s="27">
        <v>8.8084999999999997E-2</v>
      </c>
      <c r="E154" s="27">
        <v>0.105585</v>
      </c>
      <c r="F154" s="27">
        <v>8.0959000000000003E-2</v>
      </c>
      <c r="G154" s="27">
        <v>7.7614000000000002E-2</v>
      </c>
    </row>
    <row r="155" spans="1:7" x14ac:dyDescent="0.15">
      <c r="A155" s="4" t="s">
        <v>270</v>
      </c>
      <c r="B155" s="27">
        <v>0.14807100000000001</v>
      </c>
      <c r="C155" s="27">
        <v>7.8477000000000005E-2</v>
      </c>
      <c r="D155" s="27">
        <v>6.0220999999999997E-2</v>
      </c>
      <c r="E155" s="27">
        <v>0.14490800000000001</v>
      </c>
      <c r="F155" s="27">
        <v>-2.9020000000000001E-3</v>
      </c>
      <c r="G155" s="27">
        <v>6.3433000000000003E-2</v>
      </c>
    </row>
    <row r="156" spans="1:7" x14ac:dyDescent="0.15">
      <c r="A156" s="4" t="s">
        <v>509</v>
      </c>
      <c r="B156" s="27">
        <v>0.23516100000000001</v>
      </c>
      <c r="C156" s="27">
        <v>0.33059899999999998</v>
      </c>
      <c r="D156" s="27">
        <v>9.0027999999999997E-2</v>
      </c>
      <c r="E156" s="27">
        <v>0.15376000000000001</v>
      </c>
      <c r="F156" s="27">
        <v>0.139456</v>
      </c>
      <c r="G156" s="27">
        <v>8.5436999999999999E-2</v>
      </c>
    </row>
    <row r="157" spans="1:7" ht="12" x14ac:dyDescent="0.15">
      <c r="A157" s="4" t="s">
        <v>510</v>
      </c>
      <c r="B157" s="27">
        <v>-1.6244000000000001E-2</v>
      </c>
      <c r="C157" s="27">
        <v>-0.26984799999999998</v>
      </c>
      <c r="D157" s="27" t="s">
        <v>511</v>
      </c>
      <c r="E157" s="27">
        <v>0.148784</v>
      </c>
      <c r="F157" s="27" t="s">
        <v>511</v>
      </c>
      <c r="G157" s="27">
        <v>1.7715999999999999E-2</v>
      </c>
    </row>
    <row r="158" spans="1:7" ht="12" x14ac:dyDescent="0.15">
      <c r="A158" s="4" t="s">
        <v>512</v>
      </c>
      <c r="B158" s="27">
        <v>-4.6160000000000003E-3</v>
      </c>
      <c r="C158" s="27">
        <v>-0.214785</v>
      </c>
      <c r="D158" s="27">
        <v>-0.453961</v>
      </c>
      <c r="E158" s="27">
        <v>0.122474</v>
      </c>
      <c r="F158" s="27" t="s">
        <v>511</v>
      </c>
      <c r="G158" s="27">
        <v>4.1516999999999998E-2</v>
      </c>
    </row>
    <row r="159" spans="1:7" ht="12" x14ac:dyDescent="0.15">
      <c r="A159" s="4" t="s">
        <v>513</v>
      </c>
      <c r="B159" s="27">
        <v>0.22866</v>
      </c>
      <c r="C159" s="16" t="s">
        <v>140</v>
      </c>
      <c r="D159" s="27">
        <v>-7.7892000000000003E-2</v>
      </c>
      <c r="E159" s="27">
        <v>1.7555000000000001E-2</v>
      </c>
      <c r="F159" s="27">
        <v>-5.7717999999999998E-2</v>
      </c>
      <c r="G159" s="27">
        <v>-5.7717999999999998E-2</v>
      </c>
    </row>
    <row r="160" spans="1:7" x14ac:dyDescent="0.15">
      <c r="A160" s="4"/>
      <c r="B160" s="4"/>
      <c r="C160" s="4"/>
      <c r="D160" s="4"/>
      <c r="E160" s="4"/>
      <c r="F160" s="4"/>
      <c r="G160" s="4"/>
    </row>
    <row r="161" spans="1:7" ht="72" x14ac:dyDescent="0.15">
      <c r="A161" s="33" t="s">
        <v>72</v>
      </c>
      <c r="B161" s="11"/>
      <c r="C161" s="11"/>
      <c r="D161" s="11"/>
      <c r="E161" s="11"/>
      <c r="F161" s="11"/>
      <c r="G161" s="11"/>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74C41-6EED-9C4E-A00D-64A6347DD236}">
  <sheetPr>
    <outlinePr summaryBelow="0" summaryRight="0"/>
    <pageSetUpPr autoPageBreaks="0"/>
  </sheetPr>
  <dimension ref="A5:IU26"/>
  <sheetViews>
    <sheetView workbookViewId="0"/>
  </sheetViews>
  <sheetFormatPr baseColWidth="10" defaultRowHeight="11" x14ac:dyDescent="0.15"/>
  <cols>
    <col min="1" max="1" width="45.83203125" customWidth="1"/>
    <col min="2" max="7" width="14.83203125" customWidth="1"/>
    <col min="8" max="256" width="8.83203125" customWidth="1"/>
  </cols>
  <sheetData>
    <row r="5" spans="1:255" ht="17" x14ac:dyDescent="0.2">
      <c r="A5" s="1" t="s">
        <v>517</v>
      </c>
    </row>
    <row r="7" spans="1:255" ht="12" x14ac:dyDescent="0.15">
      <c r="A7" s="2" t="s">
        <v>518</v>
      </c>
      <c r="B7" s="3" t="s">
        <v>519</v>
      </c>
      <c r="C7" t="s">
        <v>78</v>
      </c>
      <c r="D7" s="4" t="s">
        <v>4</v>
      </c>
      <c r="E7" s="3" t="s">
        <v>520</v>
      </c>
      <c r="F7" t="s">
        <v>80</v>
      </c>
    </row>
    <row r="8" spans="1:255" x14ac:dyDescent="0.15">
      <c r="A8" s="4"/>
      <c r="B8" s="3" t="s">
        <v>521</v>
      </c>
      <c r="C8" t="s">
        <v>83</v>
      </c>
      <c r="D8" s="4" t="s">
        <v>4</v>
      </c>
      <c r="E8" s="3" t="s">
        <v>522</v>
      </c>
      <c r="F8" t="s">
        <v>6</v>
      </c>
    </row>
    <row r="9" spans="1:255" x14ac:dyDescent="0.15">
      <c r="A9" s="4"/>
      <c r="B9" s="3" t="s">
        <v>523</v>
      </c>
      <c r="C9" t="s">
        <v>8</v>
      </c>
      <c r="D9" s="4" t="s">
        <v>4</v>
      </c>
      <c r="E9" s="3" t="s">
        <v>524</v>
      </c>
      <c r="F9" t="s">
        <v>10</v>
      </c>
    </row>
    <row r="10" spans="1:255" x14ac:dyDescent="0.15">
      <c r="A10" s="4"/>
      <c r="B10" s="3" t="s">
        <v>525</v>
      </c>
      <c r="C10" s="5" t="s">
        <v>12</v>
      </c>
      <c r="D10" s="4" t="s">
        <v>4</v>
      </c>
      <c r="E10" s="3" t="s">
        <v>526</v>
      </c>
      <c r="F10" t="s">
        <v>88</v>
      </c>
    </row>
    <row r="13" spans="1:255" x14ac:dyDescent="0.15">
      <c r="A13" s="6" t="s">
        <v>527</v>
      </c>
      <c r="B13" s="6"/>
      <c r="C13" s="6"/>
      <c r="D13" s="6"/>
      <c r="E13" s="6"/>
      <c r="F13" s="6"/>
      <c r="G13" s="6"/>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c r="FT13" s="61"/>
      <c r="FU13" s="61"/>
      <c r="FV13" s="61"/>
      <c r="FW13" s="61"/>
      <c r="FX13" s="61"/>
      <c r="FY13" s="61"/>
      <c r="FZ13" s="61"/>
      <c r="GA13" s="61"/>
      <c r="GB13" s="61"/>
      <c r="GC13" s="61"/>
      <c r="GD13" s="61"/>
      <c r="GE13" s="61"/>
      <c r="GF13" s="61"/>
      <c r="GG13" s="61"/>
      <c r="GH13" s="61"/>
      <c r="GI13" s="61"/>
      <c r="GJ13" s="61"/>
      <c r="GK13" s="61"/>
      <c r="GL13" s="61"/>
      <c r="GM13" s="61"/>
      <c r="GN13" s="61"/>
      <c r="GO13" s="61"/>
      <c r="GP13" s="61"/>
      <c r="GQ13" s="61"/>
      <c r="GR13" s="61"/>
      <c r="GS13" s="61"/>
      <c r="GT13" s="61"/>
      <c r="GU13" s="61"/>
      <c r="GV13" s="61"/>
      <c r="GW13" s="61"/>
      <c r="GX13" s="61"/>
      <c r="GY13" s="61"/>
      <c r="GZ13" s="61"/>
      <c r="HA13" s="61"/>
      <c r="HB13" s="61"/>
      <c r="HC13" s="61"/>
      <c r="HD13" s="61"/>
      <c r="HE13" s="61"/>
      <c r="HF13" s="61"/>
      <c r="HG13" s="61"/>
      <c r="HH13" s="61"/>
      <c r="HI13" s="61"/>
      <c r="HJ13" s="61"/>
      <c r="HK13" s="61"/>
      <c r="HL13" s="61"/>
      <c r="HM13" s="61"/>
      <c r="HN13" s="61"/>
      <c r="HO13" s="61"/>
      <c r="HP13" s="61"/>
      <c r="HQ13" s="61"/>
      <c r="HR13" s="61"/>
      <c r="HS13" s="61"/>
      <c r="HT13" s="61"/>
      <c r="HU13" s="61"/>
      <c r="HV13" s="61"/>
      <c r="HW13" s="61"/>
      <c r="HX13" s="61"/>
      <c r="HY13" s="61"/>
      <c r="HZ13" s="61"/>
      <c r="IA13" s="61"/>
      <c r="IB13" s="61"/>
      <c r="IC13" s="61"/>
      <c r="ID13" s="61"/>
      <c r="IE13" s="61"/>
      <c r="IF13" s="61"/>
      <c r="IG13" s="61"/>
      <c r="IH13" s="61"/>
      <c r="II13" s="61"/>
      <c r="IJ13" s="61"/>
      <c r="IK13" s="61"/>
      <c r="IL13" s="61"/>
      <c r="IM13" s="61"/>
      <c r="IN13" s="61"/>
      <c r="IO13" s="61"/>
      <c r="IP13" s="61"/>
      <c r="IQ13" s="61"/>
      <c r="IR13" s="61"/>
      <c r="IS13" s="61"/>
      <c r="IT13" s="61"/>
      <c r="IU13" s="61"/>
    </row>
    <row r="14" spans="1:255" ht="24" x14ac:dyDescent="0.15">
      <c r="A14" s="7" t="s">
        <v>16</v>
      </c>
      <c r="B14" s="12" t="s">
        <v>528</v>
      </c>
      <c r="C14" s="12" t="s">
        <v>90</v>
      </c>
      <c r="D14" s="12" t="s">
        <v>258</v>
      </c>
      <c r="E14" s="12" t="s">
        <v>259</v>
      </c>
      <c r="F14" s="12" t="s">
        <v>93</v>
      </c>
      <c r="G14" s="12" t="s">
        <v>94</v>
      </c>
    </row>
    <row r="15" spans="1:255" ht="12" x14ac:dyDescent="0.15">
      <c r="A15" s="8" t="s">
        <v>23</v>
      </c>
      <c r="B15" s="13" t="s">
        <v>24</v>
      </c>
      <c r="C15" s="13" t="s">
        <v>24</v>
      </c>
      <c r="D15" s="13" t="s">
        <v>24</v>
      </c>
      <c r="E15" s="13" t="s">
        <v>24</v>
      </c>
      <c r="F15" s="13" t="s">
        <v>24</v>
      </c>
      <c r="G15" s="13" t="s">
        <v>24</v>
      </c>
    </row>
    <row r="16" spans="1:255" x14ac:dyDescent="0.15">
      <c r="A16" s="9" t="s">
        <v>529</v>
      </c>
      <c r="B16" s="4"/>
      <c r="C16" s="4"/>
      <c r="D16" s="4"/>
      <c r="E16" s="4"/>
      <c r="F16" s="4"/>
      <c r="G16" s="4"/>
    </row>
    <row r="17" spans="1:7" ht="12" x14ac:dyDescent="0.15">
      <c r="A17" s="4" t="s">
        <v>530</v>
      </c>
      <c r="B17" s="17">
        <v>10</v>
      </c>
      <c r="C17" s="17">
        <v>10</v>
      </c>
      <c r="D17" s="17">
        <v>10</v>
      </c>
      <c r="E17" s="17">
        <v>15</v>
      </c>
      <c r="F17" s="17" t="s">
        <v>28</v>
      </c>
      <c r="G17" s="17" t="s">
        <v>28</v>
      </c>
    </row>
    <row r="18" spans="1:7" ht="12" x14ac:dyDescent="0.15">
      <c r="A18" s="4" t="s">
        <v>531</v>
      </c>
      <c r="B18" s="17">
        <v>10</v>
      </c>
      <c r="C18" s="17">
        <v>10</v>
      </c>
      <c r="D18" s="17">
        <v>10</v>
      </c>
      <c r="E18" s="17">
        <v>15</v>
      </c>
      <c r="F18" s="17" t="s">
        <v>28</v>
      </c>
      <c r="G18" s="17" t="s">
        <v>28</v>
      </c>
    </row>
    <row r="19" spans="1:7" x14ac:dyDescent="0.15">
      <c r="A19" s="4"/>
      <c r="B19" s="4"/>
      <c r="C19" s="4"/>
      <c r="D19" s="4"/>
      <c r="E19" s="4"/>
      <c r="F19" s="4"/>
      <c r="G19" s="4"/>
    </row>
    <row r="20" spans="1:7" x14ac:dyDescent="0.15">
      <c r="A20" s="9" t="s">
        <v>532</v>
      </c>
      <c r="B20" s="4"/>
      <c r="C20" s="4"/>
      <c r="D20" s="4"/>
      <c r="E20" s="4"/>
      <c r="F20" s="4"/>
      <c r="G20" s="4"/>
    </row>
    <row r="21" spans="1:7" x14ac:dyDescent="0.15">
      <c r="A21" s="4" t="s">
        <v>533</v>
      </c>
      <c r="B21" s="17">
        <v>98</v>
      </c>
      <c r="C21" s="17">
        <v>37</v>
      </c>
      <c r="D21" s="17">
        <v>35</v>
      </c>
      <c r="E21" s="17">
        <v>34</v>
      </c>
      <c r="F21" s="17">
        <v>32</v>
      </c>
      <c r="G21" s="17">
        <v>43</v>
      </c>
    </row>
    <row r="22" spans="1:7" x14ac:dyDescent="0.15">
      <c r="A22" s="4" t="s">
        <v>534</v>
      </c>
      <c r="B22" s="17">
        <v>98</v>
      </c>
      <c r="C22" s="17">
        <v>37</v>
      </c>
      <c r="D22" s="17">
        <v>35</v>
      </c>
      <c r="E22" s="17">
        <v>34</v>
      </c>
      <c r="F22" s="17">
        <v>32</v>
      </c>
      <c r="G22" s="17">
        <v>43</v>
      </c>
    </row>
    <row r="23" spans="1:7" x14ac:dyDescent="0.15">
      <c r="A23" s="4"/>
      <c r="B23" s="4"/>
      <c r="C23" s="4"/>
      <c r="D23" s="4"/>
      <c r="E23" s="4"/>
      <c r="F23" s="4"/>
      <c r="G23" s="4"/>
    </row>
    <row r="24" spans="1:7" x14ac:dyDescent="0.15">
      <c r="A24" s="4"/>
      <c r="B24" s="4" t="s">
        <v>34</v>
      </c>
      <c r="C24" s="4" t="s">
        <v>34</v>
      </c>
      <c r="D24" s="4" t="s">
        <v>34</v>
      </c>
      <c r="E24" s="4" t="s">
        <v>34</v>
      </c>
      <c r="F24" s="4" t="s">
        <v>34</v>
      </c>
      <c r="G24" s="4" t="s">
        <v>34</v>
      </c>
    </row>
    <row r="25" spans="1:7" x14ac:dyDescent="0.15">
      <c r="A25" s="4" t="s">
        <v>151</v>
      </c>
      <c r="B25" s="28">
        <v>43787</v>
      </c>
      <c r="C25" s="28">
        <v>44151</v>
      </c>
      <c r="D25" s="28">
        <v>44517</v>
      </c>
      <c r="E25" s="28">
        <v>44881</v>
      </c>
      <c r="F25" s="28">
        <v>45245</v>
      </c>
      <c r="G25" s="28">
        <v>45245</v>
      </c>
    </row>
    <row r="26" spans="1:7" ht="72" x14ac:dyDescent="0.15">
      <c r="A26" s="33" t="s">
        <v>72</v>
      </c>
      <c r="B26" s="11"/>
      <c r="C26" s="11"/>
      <c r="D26" s="11"/>
      <c r="E26" s="11"/>
      <c r="F26" s="11"/>
      <c r="G26" s="11"/>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0A754-C724-C54C-9A75-7F051976B283}">
  <sheetPr>
    <outlinePr summaryBelow="0" summaryRight="0"/>
    <pageSetUpPr autoPageBreaks="0"/>
  </sheetPr>
  <dimension ref="A5:IU15"/>
  <sheetViews>
    <sheetView workbookViewId="0"/>
  </sheetViews>
  <sheetFormatPr baseColWidth="10" defaultRowHeight="11" x14ac:dyDescent="0.15"/>
  <cols>
    <col min="1" max="2" width="9.33203125" customWidth="1"/>
    <col min="3" max="256" width="8.83203125" customWidth="1"/>
  </cols>
  <sheetData>
    <row r="5" spans="1:255" ht="17" x14ac:dyDescent="0.2">
      <c r="A5" s="1" t="s">
        <v>535</v>
      </c>
    </row>
    <row r="7" spans="1:255" ht="60" x14ac:dyDescent="0.15">
      <c r="A7" s="2" t="s">
        <v>536</v>
      </c>
      <c r="B7" s="3" t="s">
        <v>537</v>
      </c>
      <c r="C7" t="s">
        <v>78</v>
      </c>
      <c r="D7" s="4" t="s">
        <v>4</v>
      </c>
      <c r="E7" s="3" t="s">
        <v>538</v>
      </c>
      <c r="F7" t="s">
        <v>80</v>
      </c>
    </row>
    <row r="8" spans="1:255" x14ac:dyDescent="0.15">
      <c r="A8" s="4"/>
      <c r="B8" s="3" t="s">
        <v>539</v>
      </c>
      <c r="C8" t="s">
        <v>83</v>
      </c>
      <c r="D8" s="4" t="s">
        <v>4</v>
      </c>
      <c r="E8" s="3" t="s">
        <v>540</v>
      </c>
      <c r="F8" t="s">
        <v>6</v>
      </c>
    </row>
    <row r="9" spans="1:255" x14ac:dyDescent="0.15">
      <c r="A9" s="4"/>
      <c r="B9" s="3" t="s">
        <v>541</v>
      </c>
      <c r="C9" t="s">
        <v>8</v>
      </c>
      <c r="D9" s="4" t="s">
        <v>4</v>
      </c>
      <c r="E9" s="3" t="s">
        <v>542</v>
      </c>
      <c r="F9" t="s">
        <v>10</v>
      </c>
    </row>
    <row r="10" spans="1:255" x14ac:dyDescent="0.15">
      <c r="A10" s="4"/>
      <c r="B10" s="3" t="s">
        <v>543</v>
      </c>
      <c r="C10" s="5" t="s">
        <v>12</v>
      </c>
      <c r="D10" s="4" t="s">
        <v>4</v>
      </c>
      <c r="E10" s="3" t="s">
        <v>544</v>
      </c>
      <c r="F10" t="s">
        <v>88</v>
      </c>
    </row>
    <row r="13" spans="1:255" x14ac:dyDescent="0.15">
      <c r="A13" s="6" t="s">
        <v>545</v>
      </c>
      <c r="B13" s="6"/>
      <c r="C13" s="6"/>
      <c r="D13" s="6"/>
      <c r="E13" s="6"/>
      <c r="F13" s="6"/>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c r="FT13" s="61"/>
      <c r="FU13" s="61"/>
      <c r="FV13" s="61"/>
      <c r="FW13" s="61"/>
      <c r="FX13" s="61"/>
      <c r="FY13" s="61"/>
      <c r="FZ13" s="61"/>
      <c r="GA13" s="61"/>
      <c r="GB13" s="61"/>
      <c r="GC13" s="61"/>
      <c r="GD13" s="61"/>
      <c r="GE13" s="61"/>
      <c r="GF13" s="61"/>
      <c r="GG13" s="61"/>
      <c r="GH13" s="61"/>
      <c r="GI13" s="61"/>
      <c r="GJ13" s="61"/>
      <c r="GK13" s="61"/>
      <c r="GL13" s="61"/>
      <c r="GM13" s="61"/>
      <c r="GN13" s="61"/>
      <c r="GO13" s="61"/>
      <c r="GP13" s="61"/>
      <c r="GQ13" s="61"/>
      <c r="GR13" s="61"/>
      <c r="GS13" s="61"/>
      <c r="GT13" s="61"/>
      <c r="GU13" s="61"/>
      <c r="GV13" s="61"/>
      <c r="GW13" s="61"/>
      <c r="GX13" s="61"/>
      <c r="GY13" s="61"/>
      <c r="GZ13" s="61"/>
      <c r="HA13" s="61"/>
      <c r="HB13" s="61"/>
      <c r="HC13" s="61"/>
      <c r="HD13" s="61"/>
      <c r="HE13" s="61"/>
      <c r="HF13" s="61"/>
      <c r="HG13" s="61"/>
      <c r="HH13" s="61"/>
      <c r="HI13" s="61"/>
      <c r="HJ13" s="61"/>
      <c r="HK13" s="61"/>
      <c r="HL13" s="61"/>
      <c r="HM13" s="61"/>
      <c r="HN13" s="61"/>
      <c r="HO13" s="61"/>
      <c r="HP13" s="61"/>
      <c r="HQ13" s="61"/>
      <c r="HR13" s="61"/>
      <c r="HS13" s="61"/>
      <c r="HT13" s="61"/>
      <c r="HU13" s="61"/>
      <c r="HV13" s="61"/>
      <c r="HW13" s="61"/>
      <c r="HX13" s="61"/>
      <c r="HY13" s="61"/>
      <c r="HZ13" s="61"/>
      <c r="IA13" s="61"/>
      <c r="IB13" s="61"/>
      <c r="IC13" s="61"/>
      <c r="ID13" s="61"/>
      <c r="IE13" s="61"/>
      <c r="IF13" s="61"/>
      <c r="IG13" s="61"/>
      <c r="IH13" s="61"/>
      <c r="II13" s="61"/>
      <c r="IJ13" s="61"/>
      <c r="IK13" s="61"/>
      <c r="IL13" s="61"/>
      <c r="IM13" s="61"/>
      <c r="IN13" s="61"/>
      <c r="IO13" s="61"/>
      <c r="IP13" s="61"/>
      <c r="IQ13" s="61"/>
      <c r="IR13" s="61"/>
      <c r="IS13" s="61"/>
      <c r="IT13" s="61"/>
      <c r="IU13" s="61"/>
    </row>
    <row r="14" spans="1:255" x14ac:dyDescent="0.15">
      <c r="A14" t="s">
        <v>546</v>
      </c>
    </row>
    <row r="15" spans="1:255" x14ac:dyDescent="0.15">
      <c r="A15" s="22" t="s">
        <v>72</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38B87-D1E5-094B-A894-D4A245876B58}">
  <sheetPr>
    <outlinePr summaryBelow="0" summaryRight="0"/>
    <pageSetUpPr autoPageBreaks="0"/>
  </sheetPr>
  <dimension ref="A5:IU48"/>
  <sheetViews>
    <sheetView workbookViewId="0"/>
  </sheetViews>
  <sheetFormatPr baseColWidth="10" defaultRowHeight="11" x14ac:dyDescent="0.15"/>
  <cols>
    <col min="1" max="1" width="45.83203125" customWidth="1"/>
    <col min="2" max="7" width="14.83203125" customWidth="1"/>
    <col min="8" max="256" width="8.83203125" customWidth="1"/>
  </cols>
  <sheetData>
    <row r="5" spans="1:255" ht="17" x14ac:dyDescent="0.2">
      <c r="A5" s="1" t="s">
        <v>547</v>
      </c>
    </row>
    <row r="7" spans="1:255" ht="12" x14ac:dyDescent="0.15">
      <c r="A7" s="2" t="s">
        <v>548</v>
      </c>
      <c r="B7" s="3" t="s">
        <v>549</v>
      </c>
      <c r="C7" t="s">
        <v>78</v>
      </c>
      <c r="D7" s="4" t="s">
        <v>4</v>
      </c>
      <c r="E7" s="3" t="s">
        <v>550</v>
      </c>
      <c r="F7" t="s">
        <v>80</v>
      </c>
    </row>
    <row r="8" spans="1:255" x14ac:dyDescent="0.15">
      <c r="A8" s="4"/>
      <c r="B8" s="3" t="s">
        <v>551</v>
      </c>
      <c r="C8" t="s">
        <v>83</v>
      </c>
      <c r="D8" s="4" t="s">
        <v>4</v>
      </c>
      <c r="E8" s="3" t="s">
        <v>552</v>
      </c>
      <c r="F8" t="s">
        <v>6</v>
      </c>
    </row>
    <row r="9" spans="1:255" x14ac:dyDescent="0.15">
      <c r="A9" s="4"/>
      <c r="B9" s="3" t="s">
        <v>553</v>
      </c>
      <c r="C9" t="s">
        <v>8</v>
      </c>
      <c r="D9" s="4" t="s">
        <v>4</v>
      </c>
      <c r="E9" s="3" t="s">
        <v>554</v>
      </c>
      <c r="F9" t="s">
        <v>10</v>
      </c>
    </row>
    <row r="10" spans="1:255" x14ac:dyDescent="0.15">
      <c r="A10" s="4"/>
      <c r="B10" s="3" t="s">
        <v>555</v>
      </c>
      <c r="C10" s="5" t="s">
        <v>12</v>
      </c>
      <c r="D10" s="4" t="s">
        <v>4</v>
      </c>
      <c r="E10" s="3" t="s">
        <v>556</v>
      </c>
      <c r="F10" t="s">
        <v>88</v>
      </c>
    </row>
    <row r="13" spans="1:255" x14ac:dyDescent="0.15">
      <c r="A13" s="6" t="s">
        <v>557</v>
      </c>
      <c r="B13" s="6"/>
      <c r="C13" s="6"/>
      <c r="D13" s="6"/>
      <c r="E13" s="6"/>
      <c r="F13" s="6"/>
      <c r="G13" s="6"/>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c r="FT13" s="61"/>
      <c r="FU13" s="61"/>
      <c r="FV13" s="61"/>
      <c r="FW13" s="61"/>
      <c r="FX13" s="61"/>
      <c r="FY13" s="61"/>
      <c r="FZ13" s="61"/>
      <c r="GA13" s="61"/>
      <c r="GB13" s="61"/>
      <c r="GC13" s="61"/>
      <c r="GD13" s="61"/>
      <c r="GE13" s="61"/>
      <c r="GF13" s="61"/>
      <c r="GG13" s="61"/>
      <c r="GH13" s="61"/>
      <c r="GI13" s="61"/>
      <c r="GJ13" s="61"/>
      <c r="GK13" s="61"/>
      <c r="GL13" s="61"/>
      <c r="GM13" s="61"/>
      <c r="GN13" s="61"/>
      <c r="GO13" s="61"/>
      <c r="GP13" s="61"/>
      <c r="GQ13" s="61"/>
      <c r="GR13" s="61"/>
      <c r="GS13" s="61"/>
      <c r="GT13" s="61"/>
      <c r="GU13" s="61"/>
      <c r="GV13" s="61"/>
      <c r="GW13" s="61"/>
      <c r="GX13" s="61"/>
      <c r="GY13" s="61"/>
      <c r="GZ13" s="61"/>
      <c r="HA13" s="61"/>
      <c r="HB13" s="61"/>
      <c r="HC13" s="61"/>
      <c r="HD13" s="61"/>
      <c r="HE13" s="61"/>
      <c r="HF13" s="61"/>
      <c r="HG13" s="61"/>
      <c r="HH13" s="61"/>
      <c r="HI13" s="61"/>
      <c r="HJ13" s="61"/>
      <c r="HK13" s="61"/>
      <c r="HL13" s="61"/>
      <c r="HM13" s="61"/>
      <c r="HN13" s="61"/>
      <c r="HO13" s="61"/>
      <c r="HP13" s="61"/>
      <c r="HQ13" s="61"/>
      <c r="HR13" s="61"/>
      <c r="HS13" s="61"/>
      <c r="HT13" s="61"/>
      <c r="HU13" s="61"/>
      <c r="HV13" s="61"/>
      <c r="HW13" s="61"/>
      <c r="HX13" s="61"/>
      <c r="HY13" s="61"/>
      <c r="HZ13" s="61"/>
      <c r="IA13" s="61"/>
      <c r="IB13" s="61"/>
      <c r="IC13" s="61"/>
      <c r="ID13" s="61"/>
      <c r="IE13" s="61"/>
      <c r="IF13" s="61"/>
      <c r="IG13" s="61"/>
      <c r="IH13" s="61"/>
      <c r="II13" s="61"/>
      <c r="IJ13" s="61"/>
      <c r="IK13" s="61"/>
      <c r="IL13" s="61"/>
      <c r="IM13" s="61"/>
      <c r="IN13" s="61"/>
      <c r="IO13" s="61"/>
      <c r="IP13" s="61"/>
      <c r="IQ13" s="61"/>
      <c r="IR13" s="61"/>
      <c r="IS13" s="61"/>
      <c r="IT13" s="61"/>
      <c r="IU13" s="61"/>
    </row>
    <row r="14" spans="1:255" ht="24" x14ac:dyDescent="0.15">
      <c r="A14" s="7" t="s">
        <v>16</v>
      </c>
      <c r="B14" s="12" t="s">
        <v>528</v>
      </c>
      <c r="C14" s="12" t="s">
        <v>90</v>
      </c>
      <c r="D14" s="12" t="s">
        <v>258</v>
      </c>
      <c r="E14" s="12" t="s">
        <v>259</v>
      </c>
      <c r="F14" s="12" t="s">
        <v>93</v>
      </c>
      <c r="G14" s="12" t="s">
        <v>94</v>
      </c>
    </row>
    <row r="15" spans="1:255" ht="12" x14ac:dyDescent="0.15">
      <c r="A15" s="8" t="s">
        <v>23</v>
      </c>
      <c r="B15" s="13" t="s">
        <v>24</v>
      </c>
      <c r="C15" s="13" t="s">
        <v>24</v>
      </c>
      <c r="D15" s="13" t="s">
        <v>24</v>
      </c>
      <c r="E15" s="13" t="s">
        <v>24</v>
      </c>
      <c r="F15" s="13" t="s">
        <v>24</v>
      </c>
      <c r="G15" s="13" t="s">
        <v>24</v>
      </c>
    </row>
    <row r="16" spans="1:255" x14ac:dyDescent="0.15">
      <c r="A16" s="9" t="s">
        <v>558</v>
      </c>
      <c r="B16" s="4"/>
      <c r="C16" s="4"/>
      <c r="D16" s="4"/>
      <c r="E16" s="4"/>
      <c r="F16" s="4"/>
      <c r="G16" s="4"/>
    </row>
    <row r="17" spans="1:7" x14ac:dyDescent="0.15">
      <c r="A17" s="9" t="s">
        <v>559</v>
      </c>
      <c r="B17" s="4"/>
      <c r="C17" s="4"/>
      <c r="D17" s="4"/>
      <c r="E17" s="4"/>
      <c r="F17" s="4"/>
      <c r="G17" s="4"/>
    </row>
    <row r="18" spans="1:7" x14ac:dyDescent="0.15">
      <c r="A18" s="4" t="s">
        <v>560</v>
      </c>
      <c r="B18" s="17">
        <v>22.2</v>
      </c>
      <c r="C18" s="17">
        <v>29.2</v>
      </c>
      <c r="D18" s="17">
        <v>30.9</v>
      </c>
      <c r="E18" s="17">
        <v>29.1</v>
      </c>
      <c r="F18" s="17">
        <v>39.1</v>
      </c>
      <c r="G18" s="17">
        <v>53</v>
      </c>
    </row>
    <row r="19" spans="1:7" x14ac:dyDescent="0.15">
      <c r="A19" s="9" t="s">
        <v>561</v>
      </c>
      <c r="B19" s="25">
        <v>22.2</v>
      </c>
      <c r="C19" s="25">
        <v>29.2</v>
      </c>
      <c r="D19" s="25">
        <v>30.9</v>
      </c>
      <c r="E19" s="25">
        <v>29.1</v>
      </c>
      <c r="F19" s="25">
        <v>39.1</v>
      </c>
      <c r="G19" s="25">
        <v>53</v>
      </c>
    </row>
    <row r="20" spans="1:7" x14ac:dyDescent="0.15">
      <c r="A20" s="4"/>
      <c r="B20" s="4"/>
      <c r="C20" s="4"/>
      <c r="D20" s="4"/>
      <c r="E20" s="4"/>
      <c r="F20" s="4"/>
      <c r="G20" s="4"/>
    </row>
    <row r="21" spans="1:7" x14ac:dyDescent="0.15">
      <c r="A21" s="9" t="s">
        <v>562</v>
      </c>
      <c r="B21" s="4"/>
      <c r="C21" s="4"/>
      <c r="D21" s="4"/>
      <c r="E21" s="4"/>
      <c r="F21" s="4"/>
      <c r="G21" s="4"/>
    </row>
    <row r="22" spans="1:7" x14ac:dyDescent="0.15">
      <c r="A22" s="9" t="s">
        <v>563</v>
      </c>
      <c r="B22" s="25">
        <v>10.7</v>
      </c>
      <c r="C22" s="25">
        <v>11</v>
      </c>
      <c r="D22" s="25">
        <v>9.8000000000000007</v>
      </c>
      <c r="E22" s="25">
        <v>11.9</v>
      </c>
      <c r="F22" s="25">
        <v>13.9</v>
      </c>
      <c r="G22" s="25">
        <v>14.8</v>
      </c>
    </row>
    <row r="23" spans="1:7" x14ac:dyDescent="0.15">
      <c r="A23" s="4"/>
      <c r="B23" s="4"/>
      <c r="C23" s="4"/>
      <c r="D23" s="4"/>
      <c r="E23" s="4"/>
      <c r="F23" s="4"/>
      <c r="G23" s="4"/>
    </row>
    <row r="24" spans="1:7" x14ac:dyDescent="0.15">
      <c r="A24" s="9" t="s">
        <v>564</v>
      </c>
      <c r="B24" s="4"/>
      <c r="C24" s="4"/>
      <c r="D24" s="4"/>
      <c r="E24" s="4"/>
      <c r="F24" s="4"/>
      <c r="G24" s="4"/>
    </row>
    <row r="25" spans="1:7" x14ac:dyDescent="0.15">
      <c r="A25" s="4" t="s">
        <v>565</v>
      </c>
      <c r="B25" s="17">
        <v>1.6</v>
      </c>
      <c r="C25" s="17">
        <v>1.9</v>
      </c>
      <c r="D25" s="17">
        <v>0.5</v>
      </c>
      <c r="E25" s="17">
        <v>2.8</v>
      </c>
      <c r="F25" s="17">
        <v>3.4</v>
      </c>
      <c r="G25" s="17">
        <v>3.6</v>
      </c>
    </row>
    <row r="26" spans="1:7" x14ac:dyDescent="0.15">
      <c r="A26" s="4" t="s">
        <v>566</v>
      </c>
      <c r="B26" s="17">
        <v>-12.3</v>
      </c>
      <c r="C26" s="17">
        <v>-12.9</v>
      </c>
      <c r="D26" s="17">
        <v>-15.2</v>
      </c>
      <c r="E26" s="17">
        <v>-14.5</v>
      </c>
      <c r="F26" s="17">
        <v>-17.3</v>
      </c>
      <c r="G26" s="17">
        <v>-18.399999999999999</v>
      </c>
    </row>
    <row r="27" spans="1:7" x14ac:dyDescent="0.15">
      <c r="A27" s="4"/>
      <c r="B27" s="4"/>
      <c r="C27" s="4"/>
      <c r="D27" s="4"/>
      <c r="E27" s="4"/>
      <c r="F27" s="4"/>
      <c r="G27" s="4"/>
    </row>
    <row r="28" spans="1:7" x14ac:dyDescent="0.15">
      <c r="A28" s="9" t="s">
        <v>567</v>
      </c>
      <c r="B28" s="4"/>
      <c r="C28" s="4"/>
      <c r="D28" s="4"/>
      <c r="E28" s="4"/>
      <c r="F28" s="4"/>
      <c r="G28" s="4"/>
    </row>
    <row r="29" spans="1:7" x14ac:dyDescent="0.15">
      <c r="A29" s="4" t="s">
        <v>568</v>
      </c>
      <c r="B29" s="17">
        <v>-12.3</v>
      </c>
      <c r="C29" s="17">
        <v>-12.9</v>
      </c>
      <c r="D29" s="17">
        <v>-15.2</v>
      </c>
      <c r="E29" s="17">
        <v>-14.5</v>
      </c>
      <c r="F29" s="17">
        <v>-17.3</v>
      </c>
      <c r="G29" s="17">
        <v>-18.399999999999999</v>
      </c>
    </row>
    <row r="30" spans="1:7" x14ac:dyDescent="0.15">
      <c r="A30" s="4"/>
      <c r="B30" s="4"/>
      <c r="C30" s="4"/>
      <c r="D30" s="4"/>
      <c r="E30" s="4"/>
      <c r="F30" s="4"/>
      <c r="G30" s="4"/>
    </row>
    <row r="31" spans="1:7" x14ac:dyDescent="0.15">
      <c r="A31" s="9" t="s">
        <v>569</v>
      </c>
      <c r="B31" s="4"/>
      <c r="C31" s="4"/>
      <c r="D31" s="4"/>
      <c r="E31" s="4"/>
      <c r="F31" s="4"/>
      <c r="G31" s="4"/>
    </row>
    <row r="32" spans="1:7" x14ac:dyDescent="0.15">
      <c r="A32" s="4" t="s">
        <v>570</v>
      </c>
      <c r="B32" s="28">
        <v>43343</v>
      </c>
      <c r="C32" s="28">
        <v>43708</v>
      </c>
      <c r="D32" s="28">
        <v>44074</v>
      </c>
      <c r="E32" s="28">
        <v>44439</v>
      </c>
      <c r="F32" s="28">
        <v>44804</v>
      </c>
      <c r="G32" s="28">
        <v>45169</v>
      </c>
    </row>
    <row r="33" spans="1:7" x14ac:dyDescent="0.15">
      <c r="A33" s="4"/>
      <c r="B33" s="4"/>
      <c r="C33" s="4"/>
      <c r="D33" s="4"/>
      <c r="E33" s="4"/>
      <c r="F33" s="4"/>
      <c r="G33" s="4"/>
    </row>
    <row r="34" spans="1:7" x14ac:dyDescent="0.15">
      <c r="A34" s="9" t="s">
        <v>571</v>
      </c>
      <c r="B34" s="4"/>
      <c r="C34" s="4"/>
      <c r="D34" s="4"/>
      <c r="E34" s="4"/>
      <c r="F34" s="4"/>
      <c r="G34" s="4"/>
    </row>
    <row r="35" spans="1:7" x14ac:dyDescent="0.15">
      <c r="A35" s="9" t="s">
        <v>562</v>
      </c>
      <c r="B35" s="4"/>
      <c r="C35" s="4"/>
      <c r="D35" s="4"/>
      <c r="E35" s="4"/>
      <c r="F35" s="4"/>
      <c r="G35" s="4"/>
    </row>
    <row r="36" spans="1:7" x14ac:dyDescent="0.15">
      <c r="A36" s="9" t="s">
        <v>572</v>
      </c>
      <c r="B36" s="25">
        <v>10.7</v>
      </c>
      <c r="C36" s="25">
        <v>11</v>
      </c>
      <c r="D36" s="25">
        <v>9.8000000000000007</v>
      </c>
      <c r="E36" s="25">
        <v>11.9</v>
      </c>
      <c r="F36" s="25">
        <v>13.9</v>
      </c>
      <c r="G36" s="25">
        <v>14.8</v>
      </c>
    </row>
    <row r="37" spans="1:7" x14ac:dyDescent="0.15">
      <c r="A37" s="4"/>
      <c r="B37" s="4"/>
      <c r="C37" s="4"/>
      <c r="D37" s="4"/>
      <c r="E37" s="4"/>
      <c r="F37" s="4"/>
      <c r="G37" s="4"/>
    </row>
    <row r="38" spans="1:7" x14ac:dyDescent="0.15">
      <c r="A38" s="9" t="s">
        <v>564</v>
      </c>
      <c r="B38" s="4"/>
      <c r="C38" s="4"/>
      <c r="D38" s="4"/>
      <c r="E38" s="4"/>
      <c r="F38" s="4"/>
      <c r="G38" s="4"/>
    </row>
    <row r="39" spans="1:7" x14ac:dyDescent="0.15">
      <c r="A39" s="4" t="s">
        <v>573</v>
      </c>
      <c r="B39" s="17">
        <v>1.6</v>
      </c>
      <c r="C39" s="17">
        <v>1.9</v>
      </c>
      <c r="D39" s="17">
        <v>0.5</v>
      </c>
      <c r="E39" s="17">
        <v>2.8</v>
      </c>
      <c r="F39" s="17">
        <v>3.4</v>
      </c>
      <c r="G39" s="17">
        <v>3.6</v>
      </c>
    </row>
    <row r="40" spans="1:7" x14ac:dyDescent="0.15">
      <c r="A40" s="4" t="s">
        <v>574</v>
      </c>
      <c r="B40" s="17">
        <v>-12.3</v>
      </c>
      <c r="C40" s="17">
        <v>-12.9</v>
      </c>
      <c r="D40" s="17">
        <v>-15.2</v>
      </c>
      <c r="E40" s="17">
        <v>-14.5</v>
      </c>
      <c r="F40" s="17">
        <v>-17.3</v>
      </c>
      <c r="G40" s="17">
        <v>-18.399999999999999</v>
      </c>
    </row>
    <row r="41" spans="1:7" x14ac:dyDescent="0.15">
      <c r="A41" s="4"/>
      <c r="B41" s="4"/>
      <c r="C41" s="4"/>
      <c r="D41" s="4"/>
      <c r="E41" s="4"/>
      <c r="F41" s="4"/>
      <c r="G41" s="4"/>
    </row>
    <row r="42" spans="1:7" x14ac:dyDescent="0.15">
      <c r="A42" s="9" t="s">
        <v>567</v>
      </c>
      <c r="B42" s="4"/>
      <c r="C42" s="4"/>
      <c r="D42" s="4"/>
      <c r="E42" s="4"/>
      <c r="F42" s="4"/>
      <c r="G42" s="4"/>
    </row>
    <row r="43" spans="1:7" x14ac:dyDescent="0.15">
      <c r="A43" s="4" t="s">
        <v>568</v>
      </c>
      <c r="B43" s="17">
        <v>-12.3</v>
      </c>
      <c r="C43" s="17">
        <v>-12.9</v>
      </c>
      <c r="D43" s="17">
        <v>-15.2</v>
      </c>
      <c r="E43" s="17">
        <v>-14.5</v>
      </c>
      <c r="F43" s="17">
        <v>-17.3</v>
      </c>
      <c r="G43" s="17">
        <v>-18.399999999999999</v>
      </c>
    </row>
    <row r="44" spans="1:7" x14ac:dyDescent="0.15">
      <c r="A44" s="4"/>
      <c r="B44" s="4"/>
      <c r="C44" s="4"/>
      <c r="D44" s="4"/>
      <c r="E44" s="4"/>
      <c r="F44" s="4"/>
      <c r="G44" s="4"/>
    </row>
    <row r="45" spans="1:7" x14ac:dyDescent="0.15">
      <c r="A45" s="9" t="s">
        <v>569</v>
      </c>
      <c r="B45" s="4"/>
      <c r="C45" s="4"/>
      <c r="D45" s="4"/>
      <c r="E45" s="4"/>
      <c r="F45" s="4"/>
      <c r="G45" s="4"/>
    </row>
    <row r="46" spans="1:7" x14ac:dyDescent="0.15">
      <c r="A46" s="4" t="s">
        <v>570</v>
      </c>
      <c r="B46" s="28">
        <v>43343</v>
      </c>
      <c r="C46" s="28">
        <v>43708</v>
      </c>
      <c r="D46" s="28">
        <v>44074</v>
      </c>
      <c r="E46" s="28">
        <v>44439</v>
      </c>
      <c r="F46" s="28">
        <v>44804</v>
      </c>
      <c r="G46" s="28">
        <v>45169</v>
      </c>
    </row>
    <row r="47" spans="1:7" x14ac:dyDescent="0.15">
      <c r="A47" s="4"/>
      <c r="B47" s="4"/>
      <c r="C47" s="4"/>
      <c r="D47" s="4"/>
      <c r="E47" s="4"/>
      <c r="F47" s="4"/>
      <c r="G47" s="4"/>
    </row>
    <row r="48" spans="1:7" ht="72" x14ac:dyDescent="0.15">
      <c r="A48" s="33" t="s">
        <v>72</v>
      </c>
      <c r="B48" s="11"/>
      <c r="C48" s="11"/>
      <c r="D48" s="11"/>
      <c r="E48" s="11"/>
      <c r="F48" s="11"/>
      <c r="G48" s="11"/>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B64CB-AFC1-9246-9E90-21C777C315D7}">
  <sheetPr>
    <outlinePr summaryBelow="0" summaryRight="0"/>
    <pageSetUpPr autoPageBreaks="0"/>
  </sheetPr>
  <dimension ref="A5:IU57"/>
  <sheetViews>
    <sheetView workbookViewId="0"/>
  </sheetViews>
  <sheetFormatPr baseColWidth="10" defaultRowHeight="11" x14ac:dyDescent="0.15"/>
  <cols>
    <col min="1" max="1" width="45.83203125" customWidth="1"/>
    <col min="2" max="7" width="14.83203125" customWidth="1"/>
    <col min="8" max="256" width="8.83203125" customWidth="1"/>
  </cols>
  <sheetData>
    <row r="5" spans="1:255" ht="17" x14ac:dyDescent="0.2">
      <c r="A5" s="1" t="s">
        <v>575</v>
      </c>
    </row>
    <row r="7" spans="1:255" ht="12" x14ac:dyDescent="0.15">
      <c r="A7" s="2" t="s">
        <v>576</v>
      </c>
      <c r="B7" s="3" t="s">
        <v>577</v>
      </c>
      <c r="C7" t="s">
        <v>578</v>
      </c>
      <c r="D7" s="4" t="s">
        <v>4</v>
      </c>
      <c r="E7" s="3" t="s">
        <v>579</v>
      </c>
      <c r="F7" t="s">
        <v>78</v>
      </c>
    </row>
    <row r="8" spans="1:255" x14ac:dyDescent="0.15">
      <c r="A8" s="4"/>
      <c r="B8" s="3" t="s">
        <v>580</v>
      </c>
      <c r="C8" t="s">
        <v>80</v>
      </c>
      <c r="D8" s="4" t="s">
        <v>4</v>
      </c>
      <c r="E8" s="3" t="s">
        <v>581</v>
      </c>
      <c r="F8" t="s">
        <v>8</v>
      </c>
    </row>
    <row r="9" spans="1:255" x14ac:dyDescent="0.15">
      <c r="A9" s="4"/>
      <c r="B9" s="3" t="s">
        <v>582</v>
      </c>
      <c r="C9" t="s">
        <v>83</v>
      </c>
      <c r="D9" s="4" t="s">
        <v>4</v>
      </c>
      <c r="E9" s="3" t="s">
        <v>583</v>
      </c>
      <c r="F9" t="s">
        <v>6</v>
      </c>
    </row>
    <row r="10" spans="1:255" x14ac:dyDescent="0.15">
      <c r="A10" s="4"/>
      <c r="B10" s="3" t="s">
        <v>584</v>
      </c>
      <c r="C10" t="s">
        <v>10</v>
      </c>
      <c r="D10" s="4" t="s">
        <v>4</v>
      </c>
      <c r="E10" s="3" t="s">
        <v>585</v>
      </c>
      <c r="F10" s="5" t="s">
        <v>12</v>
      </c>
    </row>
    <row r="13" spans="1:255" x14ac:dyDescent="0.15">
      <c r="A13" s="6" t="s">
        <v>586</v>
      </c>
      <c r="B13" s="6"/>
      <c r="C13" s="6"/>
      <c r="D13" s="6"/>
      <c r="E13" s="6"/>
      <c r="F13" s="6"/>
      <c r="G13" s="6"/>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c r="FT13" s="61"/>
      <c r="FU13" s="61"/>
      <c r="FV13" s="61"/>
      <c r="FW13" s="61"/>
      <c r="FX13" s="61"/>
      <c r="FY13" s="61"/>
      <c r="FZ13" s="61"/>
      <c r="GA13" s="61"/>
      <c r="GB13" s="61"/>
      <c r="GC13" s="61"/>
      <c r="GD13" s="61"/>
      <c r="GE13" s="61"/>
      <c r="GF13" s="61"/>
      <c r="GG13" s="61"/>
      <c r="GH13" s="61"/>
      <c r="GI13" s="61"/>
      <c r="GJ13" s="61"/>
      <c r="GK13" s="61"/>
      <c r="GL13" s="61"/>
      <c r="GM13" s="61"/>
      <c r="GN13" s="61"/>
      <c r="GO13" s="61"/>
      <c r="GP13" s="61"/>
      <c r="GQ13" s="61"/>
      <c r="GR13" s="61"/>
      <c r="GS13" s="61"/>
      <c r="GT13" s="61"/>
      <c r="GU13" s="61"/>
      <c r="GV13" s="61"/>
      <c r="GW13" s="61"/>
      <c r="GX13" s="61"/>
      <c r="GY13" s="61"/>
      <c r="GZ13" s="61"/>
      <c r="HA13" s="61"/>
      <c r="HB13" s="61"/>
      <c r="HC13" s="61"/>
      <c r="HD13" s="61"/>
      <c r="HE13" s="61"/>
      <c r="HF13" s="61"/>
      <c r="HG13" s="61"/>
      <c r="HH13" s="61"/>
      <c r="HI13" s="61"/>
      <c r="HJ13" s="61"/>
      <c r="HK13" s="61"/>
      <c r="HL13" s="61"/>
      <c r="HM13" s="61"/>
      <c r="HN13" s="61"/>
      <c r="HO13" s="61"/>
      <c r="HP13" s="61"/>
      <c r="HQ13" s="61"/>
      <c r="HR13" s="61"/>
      <c r="HS13" s="61"/>
      <c r="HT13" s="61"/>
      <c r="HU13" s="61"/>
      <c r="HV13" s="61"/>
      <c r="HW13" s="61"/>
      <c r="HX13" s="61"/>
      <c r="HY13" s="61"/>
      <c r="HZ13" s="61"/>
      <c r="IA13" s="61"/>
      <c r="IB13" s="61"/>
      <c r="IC13" s="61"/>
      <c r="ID13" s="61"/>
      <c r="IE13" s="61"/>
      <c r="IF13" s="61"/>
      <c r="IG13" s="61"/>
      <c r="IH13" s="61"/>
      <c r="II13" s="61"/>
      <c r="IJ13" s="61"/>
      <c r="IK13" s="61"/>
      <c r="IL13" s="61"/>
      <c r="IM13" s="61"/>
      <c r="IN13" s="61"/>
      <c r="IO13" s="61"/>
      <c r="IP13" s="61"/>
      <c r="IQ13" s="61"/>
      <c r="IR13" s="61"/>
      <c r="IS13" s="61"/>
      <c r="IT13" s="61"/>
      <c r="IU13" s="61"/>
    </row>
    <row r="14" spans="1:255" ht="36" x14ac:dyDescent="0.15">
      <c r="A14" s="7" t="s">
        <v>16</v>
      </c>
      <c r="B14" s="12" t="s">
        <v>528</v>
      </c>
      <c r="C14" s="12" t="s">
        <v>90</v>
      </c>
      <c r="D14" s="12" t="s">
        <v>91</v>
      </c>
      <c r="E14" s="12" t="s">
        <v>92</v>
      </c>
      <c r="F14" s="12" t="s">
        <v>93</v>
      </c>
      <c r="G14" s="12" t="s">
        <v>94</v>
      </c>
    </row>
    <row r="15" spans="1:255" ht="12" x14ac:dyDescent="0.15">
      <c r="A15" s="8" t="s">
        <v>23</v>
      </c>
      <c r="B15" s="13" t="s">
        <v>24</v>
      </c>
      <c r="C15" s="13" t="s">
        <v>24</v>
      </c>
      <c r="D15" s="13" t="s">
        <v>24</v>
      </c>
      <c r="E15" s="13" t="s">
        <v>24</v>
      </c>
      <c r="F15" s="13" t="s">
        <v>24</v>
      </c>
      <c r="G15" s="13" t="s">
        <v>24</v>
      </c>
    </row>
    <row r="16" spans="1:255" x14ac:dyDescent="0.15">
      <c r="A16" s="9" t="s">
        <v>587</v>
      </c>
      <c r="B16" s="4"/>
      <c r="C16" s="4"/>
      <c r="D16" s="4"/>
      <c r="E16" s="4"/>
      <c r="F16" s="4"/>
      <c r="G16" s="4"/>
    </row>
    <row r="17" spans="1:7" x14ac:dyDescent="0.15">
      <c r="A17" s="4" t="s">
        <v>588</v>
      </c>
      <c r="B17" s="17">
        <v>2360.9259999999999</v>
      </c>
      <c r="C17" s="17">
        <v>2480.7440000000001</v>
      </c>
      <c r="D17" s="17">
        <v>2641.7919999999999</v>
      </c>
      <c r="E17" s="17">
        <v>2545.6179999999999</v>
      </c>
      <c r="F17" s="17">
        <v>3626.2109999999998</v>
      </c>
      <c r="G17" s="17">
        <v>3784.1770000000001</v>
      </c>
    </row>
    <row r="18" spans="1:7" x14ac:dyDescent="0.15">
      <c r="A18" s="4" t="s">
        <v>589</v>
      </c>
      <c r="B18" s="17">
        <v>241.37799999999999</v>
      </c>
      <c r="C18" s="17">
        <v>294.47199999999998</v>
      </c>
      <c r="D18" s="17">
        <v>217.983</v>
      </c>
      <c r="E18" s="17">
        <v>236.428</v>
      </c>
      <c r="F18" s="17">
        <v>134.833</v>
      </c>
      <c r="G18" s="17">
        <v>323.91500000000002</v>
      </c>
    </row>
    <row r="19" spans="1:7" ht="12" x14ac:dyDescent="0.15">
      <c r="A19" s="4" t="s">
        <v>590</v>
      </c>
      <c r="B19" s="17" t="s">
        <v>28</v>
      </c>
      <c r="C19" s="17" t="s">
        <v>28</v>
      </c>
      <c r="D19" s="17">
        <v>28.568000000000001</v>
      </c>
      <c r="E19" s="17">
        <v>37.558999999999997</v>
      </c>
      <c r="F19" s="17">
        <v>448.24</v>
      </c>
      <c r="G19" s="17">
        <v>542.19000000000005</v>
      </c>
    </row>
    <row r="20" spans="1:7" x14ac:dyDescent="0.15">
      <c r="A20" s="4" t="s">
        <v>591</v>
      </c>
      <c r="B20" s="17">
        <v>-54.1</v>
      </c>
      <c r="C20" s="17">
        <v>-89.4</v>
      </c>
      <c r="D20" s="17">
        <v>-51.8</v>
      </c>
      <c r="E20" s="17">
        <v>-61.7</v>
      </c>
      <c r="F20" s="17">
        <v>-109</v>
      </c>
      <c r="G20" s="17">
        <v>-349.9</v>
      </c>
    </row>
    <row r="21" spans="1:7" x14ac:dyDescent="0.15">
      <c r="A21" s="9" t="s">
        <v>592</v>
      </c>
      <c r="B21" s="14">
        <v>2548.2040000000002</v>
      </c>
      <c r="C21" s="14">
        <v>2688.0610000000001</v>
      </c>
      <c r="D21" s="14">
        <v>2836.5729999999999</v>
      </c>
      <c r="E21" s="14">
        <v>2757.857</v>
      </c>
      <c r="F21" s="14">
        <v>4100.3329999999996</v>
      </c>
      <c r="G21" s="14">
        <v>4300.3940000000002</v>
      </c>
    </row>
    <row r="22" spans="1:7" x14ac:dyDescent="0.15">
      <c r="A22" s="4"/>
      <c r="B22" s="4"/>
      <c r="C22" s="4"/>
      <c r="D22" s="4"/>
      <c r="E22" s="4"/>
      <c r="F22" s="4"/>
      <c r="G22" s="4"/>
    </row>
    <row r="23" spans="1:7" x14ac:dyDescent="0.15">
      <c r="A23" s="9" t="s">
        <v>593</v>
      </c>
      <c r="B23" s="4"/>
      <c r="C23" s="4"/>
      <c r="D23" s="4"/>
      <c r="E23" s="4"/>
      <c r="F23" s="4"/>
      <c r="G23" s="4"/>
    </row>
    <row r="24" spans="1:7" x14ac:dyDescent="0.15">
      <c r="A24" s="4" t="s">
        <v>588</v>
      </c>
      <c r="B24" s="17">
        <v>498.19900000000001</v>
      </c>
      <c r="C24" s="17">
        <v>451.37700000000001</v>
      </c>
      <c r="D24" s="17">
        <v>335.161</v>
      </c>
      <c r="E24" s="17">
        <v>84.307000000000002</v>
      </c>
      <c r="F24" s="17">
        <v>792.68</v>
      </c>
      <c r="G24" s="17">
        <v>606.73</v>
      </c>
    </row>
    <row r="25" spans="1:7" x14ac:dyDescent="0.15">
      <c r="A25" s="4" t="s">
        <v>589</v>
      </c>
      <c r="B25" s="17">
        <v>112.694</v>
      </c>
      <c r="C25" s="17">
        <v>152.40600000000001</v>
      </c>
      <c r="D25" s="17">
        <v>55.793999999999997</v>
      </c>
      <c r="E25" s="17">
        <v>31.597999999999999</v>
      </c>
      <c r="F25" s="17">
        <v>92.093999999999994</v>
      </c>
      <c r="G25" s="17">
        <v>19.681000000000001</v>
      </c>
    </row>
    <row r="26" spans="1:7" ht="12" x14ac:dyDescent="0.15">
      <c r="A26" s="4" t="s">
        <v>590</v>
      </c>
      <c r="B26" s="17" t="s">
        <v>28</v>
      </c>
      <c r="C26" s="17" t="s">
        <v>28</v>
      </c>
      <c r="D26" s="17">
        <v>-5.0999999999999996</v>
      </c>
      <c r="E26" s="17">
        <v>-27.7</v>
      </c>
      <c r="F26" s="17">
        <v>-26.4</v>
      </c>
      <c r="G26" s="17">
        <v>-46.3</v>
      </c>
    </row>
    <row r="27" spans="1:7" x14ac:dyDescent="0.15">
      <c r="A27" s="9" t="s">
        <v>594</v>
      </c>
      <c r="B27" s="14">
        <v>610.89300000000003</v>
      </c>
      <c r="C27" s="14">
        <v>603.78300000000002</v>
      </c>
      <c r="D27" s="14">
        <v>385.80799999999999</v>
      </c>
      <c r="E27" s="14">
        <v>88.251999999999995</v>
      </c>
      <c r="F27" s="14">
        <v>858.36599999999999</v>
      </c>
      <c r="G27" s="14">
        <v>580.12699999999995</v>
      </c>
    </row>
    <row r="28" spans="1:7" x14ac:dyDescent="0.15">
      <c r="A28" s="4"/>
      <c r="B28" s="4"/>
      <c r="C28" s="4"/>
      <c r="D28" s="4"/>
      <c r="E28" s="4"/>
      <c r="F28" s="4"/>
      <c r="G28" s="4"/>
    </row>
    <row r="29" spans="1:7" x14ac:dyDescent="0.15">
      <c r="A29" s="9" t="s">
        <v>595</v>
      </c>
      <c r="B29" s="4"/>
      <c r="C29" s="4"/>
      <c r="D29" s="4"/>
      <c r="E29" s="4"/>
      <c r="F29" s="4"/>
      <c r="G29" s="4"/>
    </row>
    <row r="30" spans="1:7" x14ac:dyDescent="0.15">
      <c r="A30" s="4" t="s">
        <v>588</v>
      </c>
      <c r="B30" s="17">
        <v>227.8</v>
      </c>
      <c r="C30" s="17">
        <v>252.33699999999999</v>
      </c>
      <c r="D30" s="17">
        <v>264.233</v>
      </c>
      <c r="E30" s="17">
        <v>272.53100000000001</v>
      </c>
      <c r="F30" s="17">
        <v>208.41399999999999</v>
      </c>
      <c r="G30" s="17">
        <v>251.68100000000001</v>
      </c>
    </row>
    <row r="31" spans="1:7" x14ac:dyDescent="0.15">
      <c r="A31" s="4" t="s">
        <v>589</v>
      </c>
      <c r="B31" s="17">
        <v>26.17</v>
      </c>
      <c r="C31" s="17">
        <v>21.047000000000001</v>
      </c>
      <c r="D31" s="17">
        <v>19.73</v>
      </c>
      <c r="E31" s="17">
        <v>24.029</v>
      </c>
      <c r="F31" s="17">
        <v>27.379000000000001</v>
      </c>
      <c r="G31" s="17">
        <v>27.981000000000002</v>
      </c>
    </row>
    <row r="32" spans="1:7" ht="12" x14ac:dyDescent="0.15">
      <c r="A32" s="4" t="s">
        <v>590</v>
      </c>
      <c r="B32" s="17" t="s">
        <v>28</v>
      </c>
      <c r="C32" s="17" t="s">
        <v>28</v>
      </c>
      <c r="D32" s="17" t="s">
        <v>28</v>
      </c>
      <c r="E32" s="17">
        <v>1.3029999999999999</v>
      </c>
      <c r="F32" s="17">
        <v>33.771999999999998</v>
      </c>
      <c r="G32" s="17">
        <v>35.4</v>
      </c>
    </row>
    <row r="33" spans="1:255" x14ac:dyDescent="0.15">
      <c r="A33" s="9" t="s">
        <v>596</v>
      </c>
      <c r="B33" s="14">
        <v>253.97</v>
      </c>
      <c r="C33" s="14">
        <v>273.38400000000001</v>
      </c>
      <c r="D33" s="14">
        <v>283.96300000000002</v>
      </c>
      <c r="E33" s="14">
        <v>297.863</v>
      </c>
      <c r="F33" s="14">
        <v>269.565</v>
      </c>
      <c r="G33" s="14">
        <v>315.06200000000001</v>
      </c>
    </row>
    <row r="34" spans="1:255" x14ac:dyDescent="0.15">
      <c r="A34" s="4"/>
      <c r="B34" s="4"/>
      <c r="C34" s="4"/>
      <c r="D34" s="4"/>
      <c r="E34" s="4"/>
      <c r="F34" s="4"/>
      <c r="G34" s="4"/>
    </row>
    <row r="35" spans="1:255" x14ac:dyDescent="0.15">
      <c r="A35" s="4"/>
      <c r="B35" s="4" t="s">
        <v>34</v>
      </c>
      <c r="C35" s="4" t="s">
        <v>34</v>
      </c>
      <c r="D35" s="4" t="s">
        <v>34</v>
      </c>
      <c r="E35" s="4" t="s">
        <v>34</v>
      </c>
      <c r="F35" s="4" t="s">
        <v>34</v>
      </c>
      <c r="G35" s="4" t="s">
        <v>34</v>
      </c>
    </row>
    <row r="36" spans="1:255" x14ac:dyDescent="0.15">
      <c r="A36" s="4" t="s">
        <v>151</v>
      </c>
      <c r="B36" s="28">
        <v>43787</v>
      </c>
      <c r="C36" s="28">
        <v>44151</v>
      </c>
      <c r="D36" s="28">
        <v>44517</v>
      </c>
      <c r="E36" s="28">
        <v>44881</v>
      </c>
      <c r="F36" s="28">
        <v>45245</v>
      </c>
      <c r="G36" s="28">
        <v>45245</v>
      </c>
    </row>
    <row r="37" spans="1:255" x14ac:dyDescent="0.15">
      <c r="A37" s="11"/>
      <c r="B37" s="11"/>
      <c r="C37" s="11"/>
      <c r="D37" s="11"/>
      <c r="E37" s="11"/>
      <c r="F37" s="11"/>
      <c r="G37" s="11"/>
    </row>
    <row r="39" spans="1:255" x14ac:dyDescent="0.15">
      <c r="A39" s="6" t="s">
        <v>597</v>
      </c>
      <c r="B39" s="6"/>
      <c r="C39" s="6"/>
      <c r="D39" s="6"/>
      <c r="E39" s="6"/>
      <c r="F39" s="6"/>
      <c r="G39" s="6"/>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c r="AK39" s="61"/>
      <c r="AL39" s="61"/>
      <c r="AM39" s="61"/>
      <c r="AN39" s="61"/>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1"/>
      <c r="BZ39" s="61"/>
      <c r="CA39" s="61"/>
      <c r="CB39" s="61"/>
      <c r="CC39" s="61"/>
      <c r="CD39" s="61"/>
      <c r="CE39" s="61"/>
      <c r="CF39" s="61"/>
      <c r="CG39" s="61"/>
      <c r="CH39" s="61"/>
      <c r="CI39" s="61"/>
      <c r="CJ39" s="61"/>
      <c r="CK39" s="61"/>
      <c r="CL39" s="61"/>
      <c r="CM39" s="61"/>
      <c r="CN39" s="61"/>
      <c r="CO39" s="61"/>
      <c r="CP39" s="61"/>
      <c r="CQ39" s="61"/>
      <c r="CR39" s="61"/>
      <c r="CS39" s="61"/>
      <c r="CT39" s="61"/>
      <c r="CU39" s="61"/>
      <c r="CV39" s="61"/>
      <c r="CW39" s="61"/>
      <c r="CX39" s="61"/>
      <c r="CY39" s="61"/>
      <c r="CZ39" s="61"/>
      <c r="DA39" s="61"/>
      <c r="DB39" s="61"/>
      <c r="DC39" s="61"/>
      <c r="DD39" s="61"/>
      <c r="DE39" s="61"/>
      <c r="DF39" s="61"/>
      <c r="DG39" s="61"/>
      <c r="DH39" s="61"/>
      <c r="DI39" s="61"/>
      <c r="DJ39" s="61"/>
      <c r="DK39" s="61"/>
      <c r="DL39" s="61"/>
      <c r="DM39" s="61"/>
      <c r="DN39" s="61"/>
      <c r="DO39" s="61"/>
      <c r="DP39" s="61"/>
      <c r="DQ39" s="61"/>
      <c r="DR39" s="61"/>
      <c r="DS39" s="61"/>
      <c r="DT39" s="61"/>
      <c r="DU39" s="61"/>
      <c r="DV39" s="61"/>
      <c r="DW39" s="61"/>
      <c r="DX39" s="61"/>
      <c r="DY39" s="61"/>
      <c r="DZ39" s="61"/>
      <c r="EA39" s="61"/>
      <c r="EB39" s="61"/>
      <c r="EC39" s="61"/>
      <c r="ED39" s="61"/>
      <c r="EE39" s="61"/>
      <c r="EF39" s="61"/>
      <c r="EG39" s="61"/>
      <c r="EH39" s="61"/>
      <c r="EI39" s="61"/>
      <c r="EJ39" s="61"/>
      <c r="EK39" s="61"/>
      <c r="EL39" s="61"/>
      <c r="EM39" s="61"/>
      <c r="EN39" s="61"/>
      <c r="EO39" s="61"/>
      <c r="EP39" s="61"/>
      <c r="EQ39" s="61"/>
      <c r="ER39" s="61"/>
      <c r="ES39" s="61"/>
      <c r="ET39" s="61"/>
      <c r="EU39" s="61"/>
      <c r="EV39" s="61"/>
      <c r="EW39" s="61"/>
      <c r="EX39" s="61"/>
      <c r="EY39" s="61"/>
      <c r="EZ39" s="61"/>
      <c r="FA39" s="61"/>
      <c r="FB39" s="61"/>
      <c r="FC39" s="61"/>
      <c r="FD39" s="61"/>
      <c r="FE39" s="61"/>
      <c r="FF39" s="61"/>
      <c r="FG39" s="61"/>
      <c r="FH39" s="61"/>
      <c r="FI39" s="61"/>
      <c r="FJ39" s="61"/>
      <c r="FK39" s="61"/>
      <c r="FL39" s="61"/>
      <c r="FM39" s="61"/>
      <c r="FN39" s="61"/>
      <c r="FO39" s="61"/>
      <c r="FP39" s="61"/>
      <c r="FQ39" s="61"/>
      <c r="FR39" s="61"/>
      <c r="FS39" s="61"/>
      <c r="FT39" s="61"/>
      <c r="FU39" s="61"/>
      <c r="FV39" s="61"/>
      <c r="FW39" s="61"/>
      <c r="FX39" s="61"/>
      <c r="FY39" s="61"/>
      <c r="FZ39" s="61"/>
      <c r="GA39" s="61"/>
      <c r="GB39" s="61"/>
      <c r="GC39" s="61"/>
      <c r="GD39" s="61"/>
      <c r="GE39" s="61"/>
      <c r="GF39" s="61"/>
      <c r="GG39" s="61"/>
      <c r="GH39" s="61"/>
      <c r="GI39" s="61"/>
      <c r="GJ39" s="61"/>
      <c r="GK39" s="61"/>
      <c r="GL39" s="61"/>
      <c r="GM39" s="61"/>
      <c r="GN39" s="61"/>
      <c r="GO39" s="61"/>
      <c r="GP39" s="61"/>
      <c r="GQ39" s="61"/>
      <c r="GR39" s="61"/>
      <c r="GS39" s="61"/>
      <c r="GT39" s="61"/>
      <c r="GU39" s="61"/>
      <c r="GV39" s="61"/>
      <c r="GW39" s="61"/>
      <c r="GX39" s="61"/>
      <c r="GY39" s="61"/>
      <c r="GZ39" s="61"/>
      <c r="HA39" s="61"/>
      <c r="HB39" s="61"/>
      <c r="HC39" s="61"/>
      <c r="HD39" s="61"/>
      <c r="HE39" s="61"/>
      <c r="HF39" s="61"/>
      <c r="HG39" s="61"/>
      <c r="HH39" s="61"/>
      <c r="HI39" s="61"/>
      <c r="HJ39" s="61"/>
      <c r="HK39" s="61"/>
      <c r="HL39" s="61"/>
      <c r="HM39" s="61"/>
      <c r="HN39" s="61"/>
      <c r="HO39" s="61"/>
      <c r="HP39" s="61"/>
      <c r="HQ39" s="61"/>
      <c r="HR39" s="61"/>
      <c r="HS39" s="61"/>
      <c r="HT39" s="61"/>
      <c r="HU39" s="61"/>
      <c r="HV39" s="61"/>
      <c r="HW39" s="61"/>
      <c r="HX39" s="61"/>
      <c r="HY39" s="61"/>
      <c r="HZ39" s="61"/>
      <c r="IA39" s="61"/>
      <c r="IB39" s="61"/>
      <c r="IC39" s="61"/>
      <c r="ID39" s="61"/>
      <c r="IE39" s="61"/>
      <c r="IF39" s="61"/>
      <c r="IG39" s="61"/>
      <c r="IH39" s="61"/>
      <c r="II39" s="61"/>
      <c r="IJ39" s="61"/>
      <c r="IK39" s="61"/>
      <c r="IL39" s="61"/>
      <c r="IM39" s="61"/>
      <c r="IN39" s="61"/>
      <c r="IO39" s="61"/>
      <c r="IP39" s="61"/>
      <c r="IQ39" s="61"/>
      <c r="IR39" s="61"/>
      <c r="IS39" s="61"/>
      <c r="IT39" s="61"/>
      <c r="IU39" s="61"/>
    </row>
    <row r="40" spans="1:255" ht="36" x14ac:dyDescent="0.15">
      <c r="A40" s="7" t="s">
        <v>16</v>
      </c>
      <c r="B40" s="12" t="s">
        <v>528</v>
      </c>
      <c r="C40" s="12" t="s">
        <v>90</v>
      </c>
      <c r="D40" s="12" t="s">
        <v>91</v>
      </c>
      <c r="E40" s="12" t="s">
        <v>92</v>
      </c>
      <c r="F40" s="12" t="s">
        <v>93</v>
      </c>
      <c r="G40" s="12" t="s">
        <v>94</v>
      </c>
    </row>
    <row r="41" spans="1:255" ht="12" x14ac:dyDescent="0.15">
      <c r="A41" s="8" t="s">
        <v>23</v>
      </c>
      <c r="B41" s="13" t="s">
        <v>24</v>
      </c>
      <c r="C41" s="13" t="s">
        <v>24</v>
      </c>
      <c r="D41" s="13" t="s">
        <v>24</v>
      </c>
      <c r="E41" s="13" t="s">
        <v>24</v>
      </c>
      <c r="F41" s="13" t="s">
        <v>24</v>
      </c>
      <c r="G41" s="13" t="s">
        <v>24</v>
      </c>
    </row>
    <row r="42" spans="1:255" x14ac:dyDescent="0.15">
      <c r="A42" s="9" t="s">
        <v>587</v>
      </c>
      <c r="B42" s="4"/>
      <c r="C42" s="4"/>
      <c r="D42" s="4"/>
      <c r="E42" s="4"/>
      <c r="F42" s="4"/>
      <c r="G42" s="4"/>
    </row>
    <row r="43" spans="1:255" x14ac:dyDescent="0.15">
      <c r="A43" s="4" t="s">
        <v>598</v>
      </c>
      <c r="B43" s="17">
        <v>1789</v>
      </c>
      <c r="C43" s="17">
        <v>2041.424</v>
      </c>
      <c r="D43" s="17">
        <v>2024.886</v>
      </c>
      <c r="E43" s="17">
        <v>2260.8510000000001</v>
      </c>
      <c r="F43" s="17">
        <v>2858.489</v>
      </c>
      <c r="G43" s="17">
        <v>2765.2069999999999</v>
      </c>
    </row>
    <row r="44" spans="1:255" x14ac:dyDescent="0.15">
      <c r="A44" s="4" t="s">
        <v>599</v>
      </c>
      <c r="B44" s="17">
        <v>664</v>
      </c>
      <c r="C44" s="17">
        <v>580.99599999999998</v>
      </c>
      <c r="D44" s="17">
        <v>715.596</v>
      </c>
      <c r="E44" s="17">
        <v>432.1</v>
      </c>
      <c r="F44" s="17">
        <v>1239.1110000000001</v>
      </c>
      <c r="G44" s="17">
        <v>1538.3820000000001</v>
      </c>
    </row>
    <row r="45" spans="1:255" ht="12" x14ac:dyDescent="0.15">
      <c r="A45" s="4" t="s">
        <v>600</v>
      </c>
      <c r="B45" s="17">
        <v>83</v>
      </c>
      <c r="C45" s="17">
        <v>65.641000000000005</v>
      </c>
      <c r="D45" s="17">
        <v>98.48</v>
      </c>
      <c r="E45" s="17">
        <v>66.174999999999997</v>
      </c>
      <c r="F45" s="17">
        <v>20.114999999999998</v>
      </c>
      <c r="G45" s="17" t="s">
        <v>28</v>
      </c>
    </row>
    <row r="46" spans="1:255" x14ac:dyDescent="0.15">
      <c r="A46" s="9" t="s">
        <v>592</v>
      </c>
      <c r="B46" s="14">
        <v>2536</v>
      </c>
      <c r="C46" s="14">
        <v>2688.0610000000001</v>
      </c>
      <c r="D46" s="14">
        <v>2838.962</v>
      </c>
      <c r="E46" s="14">
        <v>2759.1260000000002</v>
      </c>
      <c r="F46" s="14">
        <v>4117.7150000000001</v>
      </c>
      <c r="G46" s="14">
        <v>4303.5889999999999</v>
      </c>
    </row>
    <row r="47" spans="1:255" x14ac:dyDescent="0.15">
      <c r="A47" s="4"/>
      <c r="B47" s="4"/>
      <c r="C47" s="4"/>
      <c r="D47" s="4"/>
      <c r="E47" s="4"/>
      <c r="F47" s="4"/>
      <c r="G47" s="4"/>
    </row>
    <row r="48" spans="1:255" x14ac:dyDescent="0.15">
      <c r="A48" s="9" t="s">
        <v>601</v>
      </c>
      <c r="B48" s="4"/>
      <c r="C48" s="4"/>
      <c r="D48" s="4"/>
      <c r="E48" s="4"/>
      <c r="F48" s="4"/>
      <c r="G48" s="4"/>
    </row>
    <row r="49" spans="1:7" x14ac:dyDescent="0.15">
      <c r="A49" s="4" t="s">
        <v>598</v>
      </c>
      <c r="B49" s="17">
        <v>2297.9059999999999</v>
      </c>
      <c r="C49" s="17">
        <v>2567.8690000000001</v>
      </c>
      <c r="D49" s="17">
        <v>3078.53</v>
      </c>
      <c r="E49" s="17">
        <v>3700.1570000000002</v>
      </c>
      <c r="F49" s="17">
        <v>4097.8890000000001</v>
      </c>
      <c r="G49" s="17">
        <v>4576.95</v>
      </c>
    </row>
    <row r="50" spans="1:7" x14ac:dyDescent="0.15">
      <c r="A50" s="4" t="s">
        <v>599</v>
      </c>
      <c r="B50" s="17">
        <v>1577.288</v>
      </c>
      <c r="C50" s="17">
        <v>1576.175</v>
      </c>
      <c r="D50" s="17">
        <v>1280.366</v>
      </c>
      <c r="E50" s="17">
        <v>961.75599999999997</v>
      </c>
      <c r="F50" s="17">
        <v>1276.277</v>
      </c>
      <c r="G50" s="17">
        <v>1307.5139999999999</v>
      </c>
    </row>
    <row r="51" spans="1:7" ht="12" x14ac:dyDescent="0.15">
      <c r="A51" s="4" t="s">
        <v>600</v>
      </c>
      <c r="B51" s="17">
        <v>383.476</v>
      </c>
      <c r="C51" s="17">
        <v>371.00099999999998</v>
      </c>
      <c r="D51" s="17">
        <v>359.37599999999998</v>
      </c>
      <c r="E51" s="17" t="s">
        <v>28</v>
      </c>
      <c r="F51" s="17" t="s">
        <v>28</v>
      </c>
      <c r="G51" s="17" t="s">
        <v>28</v>
      </c>
    </row>
    <row r="52" spans="1:7" x14ac:dyDescent="0.15">
      <c r="A52" s="9" t="s">
        <v>506</v>
      </c>
      <c r="B52" s="14">
        <v>4258.67</v>
      </c>
      <c r="C52" s="14">
        <v>4515.0450000000001</v>
      </c>
      <c r="D52" s="14">
        <v>4718.2719999999999</v>
      </c>
      <c r="E52" s="14">
        <v>4661.9129999999996</v>
      </c>
      <c r="F52" s="14">
        <v>5374.1660000000002</v>
      </c>
      <c r="G52" s="14">
        <v>5884.4639999999999</v>
      </c>
    </row>
    <row r="53" spans="1:7" x14ac:dyDescent="0.15">
      <c r="A53" s="4"/>
      <c r="B53" s="4"/>
      <c r="C53" s="4"/>
      <c r="D53" s="4"/>
      <c r="E53" s="4"/>
      <c r="F53" s="4"/>
      <c r="G53" s="4"/>
    </row>
    <row r="54" spans="1:7" x14ac:dyDescent="0.15">
      <c r="A54" s="4"/>
      <c r="B54" s="4" t="s">
        <v>34</v>
      </c>
      <c r="C54" s="4" t="s">
        <v>34</v>
      </c>
      <c r="D54" s="4" t="s">
        <v>34</v>
      </c>
      <c r="E54" s="4" t="s">
        <v>34</v>
      </c>
      <c r="F54" s="4" t="s">
        <v>34</v>
      </c>
      <c r="G54" s="4" t="s">
        <v>34</v>
      </c>
    </row>
    <row r="55" spans="1:7" x14ac:dyDescent="0.15">
      <c r="A55" s="4" t="s">
        <v>151</v>
      </c>
      <c r="B55" s="28">
        <v>43787</v>
      </c>
      <c r="C55" s="28">
        <v>44151</v>
      </c>
      <c r="D55" s="28">
        <v>44517</v>
      </c>
      <c r="E55" s="28">
        <v>44881</v>
      </c>
      <c r="F55" s="28">
        <v>45245</v>
      </c>
      <c r="G55" s="28">
        <v>45245</v>
      </c>
    </row>
    <row r="56" spans="1:7" x14ac:dyDescent="0.15">
      <c r="A56" s="11"/>
      <c r="B56" s="11"/>
      <c r="C56" s="11"/>
      <c r="D56" s="11"/>
      <c r="E56" s="11"/>
      <c r="F56" s="11"/>
      <c r="G56" s="11"/>
    </row>
    <row r="57" spans="1:7" x14ac:dyDescent="0.15">
      <c r="A57" s="22" t="s">
        <v>72</v>
      </c>
    </row>
  </sheetData>
  <phoneticPr fontId="0" type="noConversion"/>
  <pageMargins left="0.2" right="0.2" top="0.5" bottom="0.5" header="0.5" footer="0.5"/>
  <pageSetup fitToWidth="0" fitToHeight="0"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17</vt:i4>
      </vt:variant>
    </vt:vector>
  </HeadingPairs>
  <TitlesOfParts>
    <vt:vector size="30" baseType="lpstr">
      <vt:lpstr>Key Stats</vt:lpstr>
      <vt:lpstr>Income Statement</vt:lpstr>
      <vt:lpstr>Balance Sheet</vt:lpstr>
      <vt:lpstr>Cash Flow</vt:lpstr>
      <vt:lpstr>Multiples</vt:lpstr>
      <vt:lpstr>Historical Capitalization</vt:lpstr>
      <vt:lpstr>Capital Structure Summary</vt:lpstr>
      <vt:lpstr>Capital Structure Details</vt:lpstr>
      <vt:lpstr>Ratios</vt:lpstr>
      <vt:lpstr>Supplemental</vt:lpstr>
      <vt:lpstr>Industry Specific</vt:lpstr>
      <vt:lpstr>Pension OPEB</vt:lpstr>
      <vt:lpstr>Segments</vt:lpstr>
      <vt:lpstr>fcff</vt:lpstr>
      <vt:lpstr>'Key Stats'!Print_Area</vt:lpstr>
      <vt:lpstr>'Balance Sheet'!Print_Titles</vt:lpstr>
      <vt:lpstr>'Capital Structure Details'!Print_Titles</vt:lpstr>
      <vt:lpstr>'Capital Structure Summary'!Print_Titles</vt:lpstr>
      <vt:lpstr>'Cash Flow'!Print_Titles</vt:lpstr>
      <vt:lpstr>'Historical Capitalization'!Print_Titles</vt:lpstr>
      <vt:lpstr>'Income Statement'!Print_Titles</vt:lpstr>
      <vt:lpstr>'Industry Specific'!Print_Titles</vt:lpstr>
      <vt:lpstr>'Key Stats'!Print_Titles</vt:lpstr>
      <vt:lpstr>Multiples!Print_Titles</vt:lpstr>
      <vt:lpstr>'Pension OPEB'!Print_Titles</vt:lpstr>
      <vt:lpstr>Ratios!Print_Titles</vt:lpstr>
      <vt:lpstr>Segments!Print_Titles</vt:lpstr>
      <vt:lpstr>Supplemental!Print_Titles</vt:lpstr>
      <vt:lpstr>tgr</vt:lpstr>
      <vt:lpstr>wacc</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2004-07-20T21:40:42Z</dcterms:created>
  <dcterms:modified xsi:type="dcterms:W3CDTF">2024-08-05T19:55:10Z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By">
    <vt:lpwstr>SoftArtisans OfficeWriter for Excel 8.6.2.281 (http://officewriter.softartisans.com)</vt:lpwstr>
  </property>
</Properties>
</file>